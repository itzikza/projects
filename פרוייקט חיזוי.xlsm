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37A63EE7-654F-3FA9-A528-636911D70600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itzik\Desktop\פרוייקטים לימודים\פרוייקט בתפי\"/>
    </mc:Choice>
  </mc:AlternateContent>
  <xr:revisionPtr revIDLastSave="0" documentId="13_ncr:1_{D6F32FBC-511A-4E83-AA1D-27136C78C625}" xr6:coauthVersionLast="47" xr6:coauthVersionMax="47" xr10:uidLastSave="{00000000-0000-0000-0000-000000000000}"/>
  <bookViews>
    <workbookView xWindow="-108" yWindow="-108" windowWidth="23256" windowHeight="12456" tabRatio="962" xr2:uid="{DA622E93-0627-456D-879F-29B47EE04B99}"/>
  </bookViews>
  <sheets>
    <sheet name="גליון פתיחה" sheetId="14" r:id="rId1"/>
    <sheet name="הזנת נתונים" sheetId="1" r:id="rId2"/>
    <sheet name="המרה למערך עונתי" sheetId="23" r:id="rId3"/>
    <sheet name="קבוע בזמן- ממוצע פשוט" sheetId="4" r:id="rId4"/>
    <sheet name="קבוע בזמן - ממוצע נע" sheetId="5" r:id="rId5"/>
    <sheet name="קבוע בזמן - החלקה אקספוננציאלית" sheetId="24" r:id="rId6"/>
    <sheet name="לינארי-רגרסיה" sheetId="25" r:id="rId7"/>
    <sheet name="לינארי - הולט" sheetId="11" r:id="rId8"/>
    <sheet name="לינארי-ממוצע נע כפול" sheetId="26" r:id="rId9"/>
    <sheet name="לינארי בראון" sheetId="13" r:id="rId10"/>
    <sheet name="אקספו' ריגרסיה" sheetId="15" r:id="rId11"/>
    <sheet name="אקספו' הולט" sheetId="16" r:id="rId12"/>
    <sheet name="מעריכי רגרסיה" sheetId="19" r:id="rId13"/>
    <sheet name="עונתי קבוע- דקומפוזיציה " sheetId="20" r:id="rId14"/>
    <sheet name="עונתי לינארי- דקומפוזיציה" sheetId="21" r:id="rId15"/>
    <sheet name="עונתי אקספו'- דקומפוזיציה" sheetId="22" r:id="rId16"/>
    <sheet name="גיליון עזר" sheetId="27" r:id="rId17"/>
  </sheets>
  <externalReferences>
    <externalReference r:id="rId18"/>
  </externalReferences>
  <definedNames>
    <definedName name="alpha_brown" localSheetId="8">'[1]לינארי בראון'!$L$1</definedName>
    <definedName name="alpha_brown">'לינארי בראון'!$L$1</definedName>
    <definedName name="K" localSheetId="8">'לינארי-ממוצע נע כפול'!$M$1</definedName>
    <definedName name="K">#REF!</definedName>
    <definedName name="solver_adj" localSheetId="11" hidden="1">'אקספו'' הולט'!$B$1:$B$2</definedName>
    <definedName name="solver_adj" localSheetId="7" hidden="1">'לינארי - הולט'!$B$1:$B$2</definedName>
    <definedName name="solver_adj" localSheetId="9" hidden="1">'לינארי בראון'!$L$1</definedName>
    <definedName name="solver_adj" localSheetId="5" hidden="1">'קבוע בזמן - החלקה אקספוננציאלית'!$B$1</definedName>
    <definedName name="solver_cvg" localSheetId="11" hidden="1">0.0001</definedName>
    <definedName name="solver_cvg" localSheetId="7" hidden="1">0.0001</definedName>
    <definedName name="solver_cvg" localSheetId="9" hidden="1">0.0001</definedName>
    <definedName name="solver_cvg" localSheetId="5" hidden="1">0.0001</definedName>
    <definedName name="solver_drv" localSheetId="11" hidden="1">2</definedName>
    <definedName name="solver_drv" localSheetId="7" hidden="1">1</definedName>
    <definedName name="solver_drv" localSheetId="9" hidden="1">1</definedName>
    <definedName name="solver_drv" localSheetId="5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5" hidden="1">1</definedName>
    <definedName name="solver_eng" localSheetId="4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5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5" hidden="1">2147483647</definedName>
    <definedName name="solver_lhs1" localSheetId="11" hidden="1">'אקספו'' הולט'!$B$1</definedName>
    <definedName name="solver_lhs1" localSheetId="7" hidden="1">'לינארי - הולט'!$B$1</definedName>
    <definedName name="solver_lhs1" localSheetId="9" hidden="1">'לינארי בראון'!$L$1</definedName>
    <definedName name="solver_lhs1" localSheetId="5" hidden="1">'קבוע בזמן - החלקה אקספוננציאלית'!$B$1</definedName>
    <definedName name="solver_lhs2" localSheetId="11" hidden="1">'אקספו'' הולט'!$B$1</definedName>
    <definedName name="solver_lhs2" localSheetId="7" hidden="1">'לינארי - הולט'!$B$1</definedName>
    <definedName name="solver_lhs2" localSheetId="9" hidden="1">'לינארי בראון'!$L$1</definedName>
    <definedName name="solver_lhs2" localSheetId="5" hidden="1">'קבוע בזמן - החלקה אקספוננציאלית'!$B$1</definedName>
    <definedName name="solver_lhs3" localSheetId="11" hidden="1">'אקספו'' הולט'!$B$2</definedName>
    <definedName name="solver_lhs3" localSheetId="7" hidden="1">'לינארי - הולט'!$B$2</definedName>
    <definedName name="solver_lhs3" localSheetId="5" hidden="1">'קבוע בזמן - החלקה אקספוננציאלית'!$B$1</definedName>
    <definedName name="solver_lhs4" localSheetId="11" hidden="1">'אקספו'' הולט'!$B$2</definedName>
    <definedName name="solver_lhs4" localSheetId="7" hidden="1">'לינארי - הולט'!$B$2</definedName>
    <definedName name="solver_lhs4" localSheetId="5" hidden="1">'קבוע בזמן - החלקה אקספוננציאלית'!$B$2</definedName>
    <definedName name="solver_lhs5" localSheetId="11" hidden="1">'אקספו'' הולט'!$B$2</definedName>
    <definedName name="solver_lhs5" localSheetId="7" hidden="1">'לינארי - הולט'!$B$2</definedName>
    <definedName name="solver_lhs5" localSheetId="5" hidden="1">'קבוע בזמן - החלקה אקספוננציאלית'!$B$2</definedName>
    <definedName name="solver_lhs6" localSheetId="11" hidden="1">'אקספו'' הולט'!$B$2</definedName>
    <definedName name="solver_lhs6" localSheetId="7" hidden="1">'לינארי - הולט'!$B$2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5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5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5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5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5" hidden="1">1</definedName>
    <definedName name="solver_neg" localSheetId="4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5" hidden="1">2147483647</definedName>
    <definedName name="solver_num" localSheetId="11" hidden="1">4</definedName>
    <definedName name="solver_num" localSheetId="7" hidden="1">4</definedName>
    <definedName name="solver_num" localSheetId="9" hidden="1">2</definedName>
    <definedName name="solver_num" localSheetId="5" hidden="1">2</definedName>
    <definedName name="solver_num" localSheetId="4" hidden="1">0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5" hidden="1">1</definedName>
    <definedName name="solver_opt" localSheetId="11" hidden="1">'אקספו'' הולט'!$B$4</definedName>
    <definedName name="solver_opt" localSheetId="7" hidden="1">'לינארי - הולט'!$B$4</definedName>
    <definedName name="solver_opt" localSheetId="9" hidden="1">'לינארי בראון'!$J$27</definedName>
    <definedName name="solver_opt" localSheetId="5" hidden="1">'קבוע בזמן - החלקה אקספוננציאלית'!$B$2</definedName>
    <definedName name="solver_opt" localSheetId="4" hidden="1">'קבוע בזמן - ממוצע נע'!$H$17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5" hidden="1">0.000001</definedName>
    <definedName name="solver_rbv" localSheetId="11" hidden="1">2</definedName>
    <definedName name="solver_rbv" localSheetId="7" hidden="1">1</definedName>
    <definedName name="solver_rbv" localSheetId="9" hidden="1">1</definedName>
    <definedName name="solver_rbv" localSheetId="5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5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5" hidden="1">3</definedName>
    <definedName name="solver_rel3" localSheetId="11" hidden="1">1</definedName>
    <definedName name="solver_rel3" localSheetId="7" hidden="1">1</definedName>
    <definedName name="solver_rel3" localSheetId="5" hidden="1">3</definedName>
    <definedName name="solver_rel4" localSheetId="11" hidden="1">3</definedName>
    <definedName name="solver_rel4" localSheetId="7" hidden="1">3</definedName>
    <definedName name="solver_rel4" localSheetId="5" hidden="1">1</definedName>
    <definedName name="solver_rel5" localSheetId="11" hidden="1">3</definedName>
    <definedName name="solver_rel5" localSheetId="7" hidden="1">3</definedName>
    <definedName name="solver_rel5" localSheetId="5" hidden="1">1</definedName>
    <definedName name="solver_rel6" localSheetId="11" hidden="1">3</definedName>
    <definedName name="solver_rel6" localSheetId="7" hidden="1">3</definedName>
    <definedName name="solver_rhs1" localSheetId="11" hidden="1">0.3</definedName>
    <definedName name="solver_rhs1" localSheetId="7" hidden="1">0.3</definedName>
    <definedName name="solver_rhs1" localSheetId="9" hidden="1">0.3</definedName>
    <definedName name="solver_rhs1" localSheetId="5" hidden="1">0.3</definedName>
    <definedName name="solver_rhs2" localSheetId="11" hidden="1">0.1</definedName>
    <definedName name="solver_rhs2" localSheetId="7" hidden="1">0.1</definedName>
    <definedName name="solver_rhs2" localSheetId="9" hidden="1">0.1</definedName>
    <definedName name="solver_rhs2" localSheetId="5" hidden="1">0.1</definedName>
    <definedName name="solver_rhs3" localSheetId="11" hidden="1">0.3</definedName>
    <definedName name="solver_rhs3" localSheetId="7" hidden="1">0.3</definedName>
    <definedName name="solver_rhs3" localSheetId="5" hidden="1">0.1</definedName>
    <definedName name="solver_rhs4" localSheetId="11" hidden="1">0.1</definedName>
    <definedName name="solver_rhs4" localSheetId="7" hidden="1">0.1</definedName>
    <definedName name="solver_rhs4" localSheetId="5" hidden="1">1</definedName>
    <definedName name="solver_rhs5" localSheetId="11" hidden="1">0.1</definedName>
    <definedName name="solver_rhs5" localSheetId="7" hidden="1">0.1</definedName>
    <definedName name="solver_rhs5" localSheetId="5" hidden="1">1</definedName>
    <definedName name="solver_rhs6" localSheetId="11" hidden="1">0.1</definedName>
    <definedName name="solver_rhs6" localSheetId="7" hidden="1">0.1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5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5" hidden="1">0</definedName>
    <definedName name="solver_scl" localSheetId="11" hidden="1">2</definedName>
    <definedName name="solver_scl" localSheetId="7" hidden="1">1</definedName>
    <definedName name="solver_scl" localSheetId="9" hidden="1">1</definedName>
    <definedName name="solver_scl" localSheetId="5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5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5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5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5" hidden="1">0.01</definedName>
    <definedName name="solver_typ" localSheetId="11" hidden="1">2</definedName>
    <definedName name="solver_typ" localSheetId="7" hidden="1">2</definedName>
    <definedName name="solver_typ" localSheetId="9" hidden="1">2</definedName>
    <definedName name="solver_typ" localSheetId="5" hidden="1">2</definedName>
    <definedName name="solver_typ" localSheetId="4" hidden="1">2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5" hidden="1">0</definedName>
    <definedName name="solver_val" localSheetId="4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5" hidden="1">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4" l="1"/>
  <c r="U14" i="14"/>
  <c r="T14" i="14"/>
  <c r="S14" i="14"/>
  <c r="R14" i="14"/>
  <c r="Q14" i="14"/>
  <c r="P14" i="14"/>
  <c r="O14" i="14"/>
  <c r="N14" i="14"/>
  <c r="M14" i="14"/>
  <c r="L14" i="14"/>
  <c r="K14" i="14"/>
  <c r="F14" i="14"/>
  <c r="J14" i="14"/>
  <c r="AR279" i="26"/>
  <c r="AQ279" i="26"/>
  <c r="AP279" i="26"/>
  <c r="AO279" i="26"/>
  <c r="AN279" i="26"/>
  <c r="AM279" i="26"/>
  <c r="AL279" i="26"/>
  <c r="AK279" i="26"/>
  <c r="AJ279" i="26"/>
  <c r="AI279" i="26"/>
  <c r="AH279" i="26"/>
  <c r="AG279" i="26"/>
  <c r="AE279" i="26"/>
  <c r="AR278" i="26"/>
  <c r="AQ278" i="26"/>
  <c r="AP278" i="26"/>
  <c r="AO278" i="26"/>
  <c r="AN278" i="26"/>
  <c r="AM278" i="26"/>
  <c r="AL278" i="26"/>
  <c r="AK278" i="26"/>
  <c r="AJ278" i="26"/>
  <c r="AI278" i="26"/>
  <c r="AH278" i="26"/>
  <c r="AG278" i="26"/>
  <c r="AE278" i="26"/>
  <c r="AR277" i="26"/>
  <c r="AQ277" i="26"/>
  <c r="AP277" i="26"/>
  <c r="AO277" i="26"/>
  <c r="AN277" i="26"/>
  <c r="AM277" i="26"/>
  <c r="AL277" i="26"/>
  <c r="AK277" i="26"/>
  <c r="AJ277" i="26"/>
  <c r="AI277" i="26"/>
  <c r="AH277" i="26"/>
  <c r="AG277" i="26"/>
  <c r="AE277" i="26"/>
  <c r="AR276" i="26"/>
  <c r="AQ276" i="26"/>
  <c r="AP276" i="26"/>
  <c r="AO276" i="26"/>
  <c r="AN276" i="26"/>
  <c r="AM276" i="26"/>
  <c r="AL276" i="26"/>
  <c r="AK276" i="26"/>
  <c r="AJ276" i="26"/>
  <c r="AI276" i="26"/>
  <c r="AH276" i="26"/>
  <c r="AG276" i="26"/>
  <c r="AE276" i="26"/>
  <c r="AR275" i="26"/>
  <c r="AQ275" i="26"/>
  <c r="AP275" i="26"/>
  <c r="AO275" i="26"/>
  <c r="AN275" i="26"/>
  <c r="AM275" i="26"/>
  <c r="AL275" i="26"/>
  <c r="AK275" i="26"/>
  <c r="AJ275" i="26"/>
  <c r="AI275" i="26"/>
  <c r="AH275" i="26"/>
  <c r="AG275" i="26"/>
  <c r="AE275" i="26"/>
  <c r="AR274" i="26"/>
  <c r="AQ274" i="26"/>
  <c r="AP274" i="26"/>
  <c r="AO274" i="26"/>
  <c r="AN274" i="26"/>
  <c r="AM274" i="26"/>
  <c r="AL274" i="26"/>
  <c r="AK274" i="26"/>
  <c r="AJ274" i="26"/>
  <c r="AI274" i="26"/>
  <c r="AH274" i="26"/>
  <c r="AG274" i="26"/>
  <c r="AE274" i="26"/>
  <c r="AR273" i="26"/>
  <c r="AQ273" i="26"/>
  <c r="AP273" i="26"/>
  <c r="AO273" i="26"/>
  <c r="AN273" i="26"/>
  <c r="AM273" i="26"/>
  <c r="AL273" i="26"/>
  <c r="AK273" i="26"/>
  <c r="AJ273" i="26"/>
  <c r="AI273" i="26"/>
  <c r="AH273" i="26"/>
  <c r="AG273" i="26"/>
  <c r="AE273" i="26"/>
  <c r="AR272" i="26"/>
  <c r="AQ272" i="26"/>
  <c r="AP272" i="26"/>
  <c r="AO272" i="26"/>
  <c r="AN272" i="26"/>
  <c r="AM272" i="26"/>
  <c r="AL272" i="26"/>
  <c r="AK272" i="26"/>
  <c r="AJ272" i="26"/>
  <c r="AI272" i="26"/>
  <c r="AH272" i="26"/>
  <c r="AG272" i="26"/>
  <c r="AE272" i="26"/>
  <c r="AR271" i="26"/>
  <c r="AQ271" i="26"/>
  <c r="AP271" i="26"/>
  <c r="AO271" i="26"/>
  <c r="AN271" i="26"/>
  <c r="AM271" i="26"/>
  <c r="AL271" i="26"/>
  <c r="AK271" i="26"/>
  <c r="AJ271" i="26"/>
  <c r="AI271" i="26"/>
  <c r="AH271" i="26"/>
  <c r="AG271" i="26"/>
  <c r="AE271" i="26"/>
  <c r="AR270" i="26"/>
  <c r="AQ270" i="26"/>
  <c r="AP270" i="26"/>
  <c r="AO270" i="26"/>
  <c r="AN270" i="26"/>
  <c r="AM270" i="26"/>
  <c r="AL270" i="26"/>
  <c r="AK270" i="26"/>
  <c r="AJ270" i="26"/>
  <c r="AI270" i="26"/>
  <c r="AH270" i="26"/>
  <c r="AG270" i="26"/>
  <c r="Z65" i="26"/>
  <c r="AE270" i="26"/>
  <c r="AR269" i="26"/>
  <c r="AQ269" i="26"/>
  <c r="AP269" i="26"/>
  <c r="AO269" i="26"/>
  <c r="AN269" i="26"/>
  <c r="AM269" i="26"/>
  <c r="AL269" i="26"/>
  <c r="AK269" i="26"/>
  <c r="AJ269" i="26"/>
  <c r="AI269" i="26"/>
  <c r="AH269" i="26"/>
  <c r="AG269" i="26"/>
  <c r="AE269" i="26"/>
  <c r="AR268" i="26"/>
  <c r="AQ268" i="26"/>
  <c r="AP268" i="26"/>
  <c r="AO268" i="26"/>
  <c r="AN268" i="26"/>
  <c r="AM268" i="26"/>
  <c r="AL268" i="26"/>
  <c r="AK268" i="26"/>
  <c r="AJ268" i="26"/>
  <c r="AI268" i="26"/>
  <c r="AH268" i="26"/>
  <c r="AG268" i="26"/>
  <c r="AE268" i="26"/>
  <c r="AR267" i="26"/>
  <c r="AQ267" i="26"/>
  <c r="AP267" i="26"/>
  <c r="AO267" i="26"/>
  <c r="AN267" i="26"/>
  <c r="AM267" i="26"/>
  <c r="AL267" i="26"/>
  <c r="AK267" i="26"/>
  <c r="AJ267" i="26"/>
  <c r="AI267" i="26"/>
  <c r="AH267" i="26"/>
  <c r="AG267" i="26"/>
  <c r="BB3" i="26"/>
  <c r="AE267" i="26"/>
  <c r="AR266" i="26"/>
  <c r="AQ266" i="26"/>
  <c r="AP266" i="26"/>
  <c r="AO266" i="26"/>
  <c r="AN266" i="26"/>
  <c r="AM266" i="26"/>
  <c r="AL266" i="26"/>
  <c r="AK266" i="26"/>
  <c r="AJ266" i="26"/>
  <c r="AI266" i="26"/>
  <c r="AH266" i="26"/>
  <c r="AG266" i="26"/>
  <c r="AE266" i="26"/>
  <c r="AR265" i="26"/>
  <c r="AQ265" i="26"/>
  <c r="AP265" i="26"/>
  <c r="AO265" i="26"/>
  <c r="AN265" i="26"/>
  <c r="AM265" i="26"/>
  <c r="AL265" i="26"/>
  <c r="AK265" i="26"/>
  <c r="AJ265" i="26"/>
  <c r="AI265" i="26"/>
  <c r="AH265" i="26"/>
  <c r="AG265" i="26"/>
  <c r="AE265" i="26"/>
  <c r="AR263" i="26"/>
  <c r="AQ263" i="26"/>
  <c r="AP263" i="26"/>
  <c r="AO263" i="26"/>
  <c r="AN263" i="26"/>
  <c r="AM263" i="26"/>
  <c r="AL263" i="26"/>
  <c r="AK263" i="26"/>
  <c r="AJ263" i="26"/>
  <c r="AI263" i="26"/>
  <c r="AH263" i="26"/>
  <c r="AG263" i="26"/>
  <c r="AE263" i="26"/>
  <c r="AR262" i="26"/>
  <c r="AQ262" i="26"/>
  <c r="AP262" i="26"/>
  <c r="AO262" i="26"/>
  <c r="AN262" i="26"/>
  <c r="AM262" i="26"/>
  <c r="AL262" i="26"/>
  <c r="AK262" i="26"/>
  <c r="AJ262" i="26"/>
  <c r="AI262" i="26"/>
  <c r="AH262" i="26"/>
  <c r="AG262" i="26"/>
  <c r="AE262" i="26"/>
  <c r="AR261" i="26"/>
  <c r="AQ261" i="26"/>
  <c r="AP261" i="26"/>
  <c r="AO261" i="26"/>
  <c r="AN261" i="26"/>
  <c r="AM261" i="26"/>
  <c r="AL261" i="26"/>
  <c r="AK261" i="26"/>
  <c r="AJ261" i="26"/>
  <c r="AI261" i="26"/>
  <c r="AH261" i="26"/>
  <c r="AG261" i="26"/>
  <c r="AE261" i="26"/>
  <c r="BF127" i="26"/>
  <c r="BF128" i="26"/>
  <c r="BF129" i="26"/>
  <c r="BF130" i="26"/>
  <c r="BF131" i="26"/>
  <c r="BF132" i="26"/>
  <c r="BF133" i="26"/>
  <c r="BF134" i="26"/>
  <c r="BF135" i="26"/>
  <c r="BF136" i="26"/>
  <c r="BF137" i="26"/>
  <c r="BF138" i="26"/>
  <c r="BF139" i="26"/>
  <c r="BF140" i="26"/>
  <c r="BF141" i="26"/>
  <c r="BF142" i="26"/>
  <c r="BF143" i="26"/>
  <c r="BF144" i="26"/>
  <c r="BF145" i="26"/>
  <c r="BF146" i="26"/>
  <c r="BF147" i="26"/>
  <c r="BF148" i="26"/>
  <c r="BF149" i="26"/>
  <c r="BF150" i="26"/>
  <c r="BF151" i="26"/>
  <c r="BF152" i="26"/>
  <c r="BF153" i="26"/>
  <c r="BF154" i="26"/>
  <c r="BF155" i="26"/>
  <c r="BF156" i="26"/>
  <c r="BF157" i="26"/>
  <c r="BF158" i="26"/>
  <c r="BF159" i="26"/>
  <c r="BF160" i="26"/>
  <c r="BF161" i="26"/>
  <c r="BF162" i="26"/>
  <c r="BF163" i="26"/>
  <c r="BF164" i="26"/>
  <c r="BF165" i="26"/>
  <c r="BF166" i="26"/>
  <c r="BF167" i="26"/>
  <c r="BF168" i="26"/>
  <c r="BF169" i="26"/>
  <c r="BF170" i="26"/>
  <c r="BF171" i="26"/>
  <c r="BF172" i="26"/>
  <c r="BF173" i="26"/>
  <c r="BF174" i="26"/>
  <c r="BF175" i="26"/>
  <c r="BF176" i="26"/>
  <c r="BF177" i="26"/>
  <c r="BF178" i="26"/>
  <c r="BF179" i="26"/>
  <c r="BF180" i="26"/>
  <c r="BF181" i="26"/>
  <c r="BF182" i="26"/>
  <c r="BF183" i="26"/>
  <c r="BF184" i="26"/>
  <c r="BF185" i="26"/>
  <c r="BF126" i="26"/>
  <c r="BF65" i="26"/>
  <c r="BF66" i="26"/>
  <c r="BF67" i="26"/>
  <c r="BF68" i="26"/>
  <c r="BF69" i="26"/>
  <c r="BF70" i="26"/>
  <c r="BF71" i="26"/>
  <c r="BF72" i="26"/>
  <c r="BF73" i="26"/>
  <c r="BF74" i="26"/>
  <c r="BF75" i="26"/>
  <c r="BF76" i="26"/>
  <c r="BF77" i="26"/>
  <c r="BF78" i="26"/>
  <c r="BF79" i="26"/>
  <c r="BF80" i="26"/>
  <c r="BF81" i="26"/>
  <c r="BF82" i="26"/>
  <c r="BF83" i="26"/>
  <c r="BF84" i="26"/>
  <c r="BF85" i="26"/>
  <c r="BF86" i="26"/>
  <c r="BF87" i="26"/>
  <c r="BF88" i="26"/>
  <c r="BF89" i="26"/>
  <c r="BF90" i="26"/>
  <c r="BF91" i="26"/>
  <c r="BF92" i="26"/>
  <c r="BF93" i="26"/>
  <c r="BF94" i="26"/>
  <c r="BF95" i="26"/>
  <c r="BF96" i="26"/>
  <c r="BF97" i="26"/>
  <c r="BF98" i="26"/>
  <c r="BF99" i="26"/>
  <c r="BF100" i="26"/>
  <c r="BF101" i="26"/>
  <c r="BF102" i="26"/>
  <c r="BF103" i="26"/>
  <c r="BF104" i="26"/>
  <c r="BF105" i="26"/>
  <c r="BF106" i="26"/>
  <c r="BF107" i="26"/>
  <c r="BF108" i="26"/>
  <c r="BF109" i="26"/>
  <c r="BF110" i="26"/>
  <c r="BF111" i="26"/>
  <c r="BF112" i="26"/>
  <c r="BF113" i="26"/>
  <c r="BF114" i="26"/>
  <c r="BF115" i="26"/>
  <c r="BF116" i="26"/>
  <c r="BF117" i="26"/>
  <c r="BF118" i="26"/>
  <c r="BF119" i="26"/>
  <c r="BF120" i="26"/>
  <c r="BF121" i="26"/>
  <c r="BF122" i="26"/>
  <c r="BF123" i="26"/>
  <c r="BF64" i="26"/>
  <c r="BF3" i="26"/>
  <c r="BF4" i="26"/>
  <c r="BF5" i="26"/>
  <c r="BF6" i="26"/>
  <c r="BF7" i="26"/>
  <c r="BF8" i="26"/>
  <c r="BF9" i="26"/>
  <c r="BF10" i="26"/>
  <c r="BF11" i="26"/>
  <c r="BF12" i="26"/>
  <c r="BF13" i="26"/>
  <c r="BF14" i="26"/>
  <c r="BF15" i="26"/>
  <c r="BF16" i="26"/>
  <c r="BF17" i="26"/>
  <c r="BF18" i="26"/>
  <c r="BF19" i="26"/>
  <c r="BF20" i="26"/>
  <c r="BF21" i="26"/>
  <c r="BF22" i="26"/>
  <c r="BF23" i="26"/>
  <c r="BF24" i="26"/>
  <c r="BF25" i="26"/>
  <c r="BF26" i="26"/>
  <c r="BF27" i="26"/>
  <c r="BF28" i="26"/>
  <c r="BF29" i="26"/>
  <c r="BF30" i="26"/>
  <c r="BF31" i="26"/>
  <c r="BF32" i="26"/>
  <c r="BF33" i="26"/>
  <c r="BF34" i="26"/>
  <c r="BF35" i="26"/>
  <c r="BF36" i="26"/>
  <c r="BF37" i="26"/>
  <c r="BF38" i="26"/>
  <c r="BF39" i="26"/>
  <c r="BF40" i="26"/>
  <c r="BF41" i="26"/>
  <c r="BF42" i="26"/>
  <c r="BF43" i="26"/>
  <c r="BF44" i="26"/>
  <c r="BF45" i="26"/>
  <c r="BF46" i="26"/>
  <c r="BF47" i="26"/>
  <c r="BF48" i="26"/>
  <c r="BF49" i="26"/>
  <c r="BF50" i="26"/>
  <c r="BF51" i="26"/>
  <c r="BF52" i="26"/>
  <c r="BF53" i="26"/>
  <c r="BF54" i="26"/>
  <c r="BF55" i="26"/>
  <c r="BF56" i="26"/>
  <c r="BF57" i="26"/>
  <c r="BF58" i="26"/>
  <c r="BF59" i="26"/>
  <c r="BF60" i="26"/>
  <c r="BF61" i="26"/>
  <c r="BF2" i="26"/>
  <c r="AR189" i="26"/>
  <c r="AR190" i="26"/>
  <c r="AR191" i="26"/>
  <c r="AR192" i="26"/>
  <c r="AR193" i="26"/>
  <c r="AR194" i="26"/>
  <c r="AR195" i="26"/>
  <c r="AR196" i="26"/>
  <c r="AR197" i="26"/>
  <c r="AR198" i="26"/>
  <c r="AR199" i="26"/>
  <c r="AR200" i="26"/>
  <c r="AR201" i="26"/>
  <c r="AR202" i="26"/>
  <c r="AR203" i="26"/>
  <c r="AR204" i="26"/>
  <c r="AR205" i="26"/>
  <c r="AR206" i="26"/>
  <c r="AR207" i="26"/>
  <c r="AR208" i="26"/>
  <c r="AR209" i="26"/>
  <c r="AR210" i="26"/>
  <c r="AR211" i="26"/>
  <c r="AR212" i="26"/>
  <c r="AR213" i="26"/>
  <c r="AR214" i="26"/>
  <c r="AR215" i="26"/>
  <c r="AR216" i="26"/>
  <c r="AR217" i="26"/>
  <c r="AR218" i="26"/>
  <c r="AR219" i="26"/>
  <c r="AR220" i="26"/>
  <c r="AR221" i="26"/>
  <c r="AR222" i="26"/>
  <c r="AR223" i="26"/>
  <c r="AR224" i="26"/>
  <c r="AR225" i="26"/>
  <c r="AR226" i="26"/>
  <c r="AR227" i="26"/>
  <c r="AR228" i="26"/>
  <c r="AR229" i="26"/>
  <c r="AR230" i="26"/>
  <c r="AR231" i="26"/>
  <c r="AR232" i="26"/>
  <c r="AR233" i="26"/>
  <c r="AR234" i="26"/>
  <c r="AR235" i="26"/>
  <c r="AR236" i="26"/>
  <c r="AR237" i="26"/>
  <c r="AR238" i="26"/>
  <c r="AR239" i="26"/>
  <c r="AR240" i="26"/>
  <c r="AR241" i="26"/>
  <c r="AR242" i="26"/>
  <c r="AR243" i="26"/>
  <c r="AR244" i="26"/>
  <c r="AR245" i="26"/>
  <c r="AR246" i="26"/>
  <c r="AR247" i="26"/>
  <c r="AR188" i="26"/>
  <c r="AR127" i="26"/>
  <c r="AR128" i="26"/>
  <c r="AR129" i="26"/>
  <c r="AR130" i="26"/>
  <c r="AR131" i="26"/>
  <c r="AR132" i="26"/>
  <c r="AR133" i="26"/>
  <c r="AR134" i="26"/>
  <c r="AR135" i="26"/>
  <c r="AR136" i="26"/>
  <c r="AR137" i="26"/>
  <c r="AR138" i="26"/>
  <c r="AR139" i="26"/>
  <c r="AR140" i="26"/>
  <c r="AR141" i="26"/>
  <c r="AR142" i="26"/>
  <c r="AR143" i="26"/>
  <c r="AR144" i="26"/>
  <c r="AR145" i="26"/>
  <c r="AR146" i="26"/>
  <c r="AR147" i="26"/>
  <c r="AR148" i="26"/>
  <c r="AR149" i="26"/>
  <c r="AR150" i="26"/>
  <c r="AR151" i="26"/>
  <c r="AR152" i="26"/>
  <c r="AR153" i="26"/>
  <c r="AR154" i="26"/>
  <c r="AR155" i="26"/>
  <c r="AR156" i="26"/>
  <c r="AR157" i="26"/>
  <c r="AR158" i="26"/>
  <c r="AR159" i="26"/>
  <c r="AR160" i="26"/>
  <c r="AR161" i="26"/>
  <c r="AR162" i="26"/>
  <c r="AR163" i="26"/>
  <c r="AR164" i="26"/>
  <c r="AR165" i="26"/>
  <c r="AR166" i="26"/>
  <c r="AR167" i="26"/>
  <c r="AR168" i="26"/>
  <c r="AR169" i="26"/>
  <c r="AR170" i="26"/>
  <c r="AR171" i="26"/>
  <c r="AR172" i="26"/>
  <c r="AR173" i="26"/>
  <c r="AR174" i="26"/>
  <c r="AR175" i="26"/>
  <c r="AR176" i="26"/>
  <c r="AR177" i="26"/>
  <c r="AR178" i="26"/>
  <c r="AR179" i="26"/>
  <c r="AR180" i="26"/>
  <c r="AR181" i="26"/>
  <c r="AR182" i="26"/>
  <c r="AR183" i="26"/>
  <c r="AR184" i="26"/>
  <c r="AR185" i="26"/>
  <c r="AR126" i="26"/>
  <c r="AR65" i="26"/>
  <c r="AR66" i="26"/>
  <c r="AR67" i="26"/>
  <c r="AR68" i="26"/>
  <c r="AR69" i="26"/>
  <c r="AR70" i="26"/>
  <c r="AR71" i="26"/>
  <c r="AR72" i="26"/>
  <c r="AR73" i="26"/>
  <c r="AR74" i="26"/>
  <c r="AR75" i="26"/>
  <c r="AR76" i="26"/>
  <c r="AR77" i="26"/>
  <c r="AR78" i="26"/>
  <c r="AR79" i="26"/>
  <c r="AR80" i="26"/>
  <c r="AR81" i="26"/>
  <c r="AR82" i="26"/>
  <c r="AR83" i="26"/>
  <c r="AR84" i="26"/>
  <c r="AR85" i="26"/>
  <c r="AR86" i="26"/>
  <c r="AR87" i="26"/>
  <c r="AR88" i="26"/>
  <c r="AR89" i="26"/>
  <c r="AR90" i="26"/>
  <c r="AR91" i="26"/>
  <c r="AR92" i="26"/>
  <c r="AR93" i="26"/>
  <c r="AR94" i="26"/>
  <c r="AR95" i="26"/>
  <c r="AR96" i="26"/>
  <c r="AR97" i="26"/>
  <c r="AR98" i="26"/>
  <c r="AR99" i="26"/>
  <c r="AR100" i="26"/>
  <c r="AR101" i="26"/>
  <c r="AR102" i="26"/>
  <c r="AR103" i="26"/>
  <c r="AR104" i="26"/>
  <c r="AR105" i="26"/>
  <c r="AR106" i="26"/>
  <c r="AR107" i="26"/>
  <c r="AR108" i="26"/>
  <c r="AR109" i="26"/>
  <c r="AR110" i="26"/>
  <c r="AR111" i="26"/>
  <c r="AR112" i="26"/>
  <c r="AR113" i="26"/>
  <c r="AR114" i="26"/>
  <c r="AR115" i="26"/>
  <c r="AR116" i="26"/>
  <c r="AR117" i="26"/>
  <c r="AR118" i="26"/>
  <c r="AR119" i="26"/>
  <c r="AR120" i="26"/>
  <c r="AR121" i="26"/>
  <c r="AR122" i="26"/>
  <c r="AR123" i="26"/>
  <c r="AR64" i="26"/>
  <c r="AR3" i="26"/>
  <c r="AR4" i="26"/>
  <c r="AR5" i="26"/>
  <c r="AR6" i="26"/>
  <c r="AR7" i="26"/>
  <c r="AR8" i="26"/>
  <c r="AR9" i="26"/>
  <c r="AR10" i="26"/>
  <c r="AR11" i="26"/>
  <c r="AR12" i="26"/>
  <c r="AR13" i="26"/>
  <c r="AR14" i="26"/>
  <c r="AR15" i="26"/>
  <c r="AR16" i="26"/>
  <c r="AR17" i="26"/>
  <c r="AR18" i="26"/>
  <c r="AR19" i="26"/>
  <c r="AR20" i="26"/>
  <c r="AR21" i="26"/>
  <c r="AR22" i="26"/>
  <c r="AR23" i="26"/>
  <c r="AR24" i="26"/>
  <c r="AR25" i="26"/>
  <c r="AR26" i="26"/>
  <c r="AR27" i="26"/>
  <c r="AR28" i="26"/>
  <c r="AR29" i="26"/>
  <c r="AR30" i="26"/>
  <c r="AR31" i="26"/>
  <c r="AR32" i="26"/>
  <c r="AR33" i="26"/>
  <c r="AR34" i="26"/>
  <c r="AR35" i="26"/>
  <c r="AR36" i="26"/>
  <c r="AR37" i="26"/>
  <c r="AR38" i="26"/>
  <c r="AR39" i="26"/>
  <c r="AR40" i="26"/>
  <c r="AR41" i="26"/>
  <c r="AR42" i="26"/>
  <c r="AR43" i="26"/>
  <c r="AR44" i="26"/>
  <c r="AR45" i="26"/>
  <c r="AR46" i="26"/>
  <c r="AR47" i="26"/>
  <c r="AR48" i="26"/>
  <c r="AR49" i="26"/>
  <c r="AR50" i="26"/>
  <c r="AR51" i="26"/>
  <c r="AR52" i="26"/>
  <c r="AR53" i="26"/>
  <c r="AR54" i="26"/>
  <c r="AR55" i="26"/>
  <c r="AR56" i="26"/>
  <c r="AR57" i="26"/>
  <c r="AR58" i="26"/>
  <c r="AR59" i="26"/>
  <c r="AR60" i="26"/>
  <c r="AR61" i="26"/>
  <c r="AR2" i="26"/>
  <c r="AD189" i="26"/>
  <c r="AD190" i="26"/>
  <c r="AD191" i="26"/>
  <c r="AD192" i="26"/>
  <c r="AD193" i="26"/>
  <c r="AD194" i="26"/>
  <c r="AD195" i="26"/>
  <c r="AD196" i="26"/>
  <c r="AD197" i="26"/>
  <c r="AD198" i="26"/>
  <c r="AD199" i="26"/>
  <c r="AD200" i="26"/>
  <c r="AD201" i="26"/>
  <c r="AD202" i="26"/>
  <c r="AD203" i="26"/>
  <c r="AD204" i="26"/>
  <c r="AD205" i="26"/>
  <c r="AD206" i="26"/>
  <c r="AD207" i="26"/>
  <c r="AD208" i="26"/>
  <c r="AD209" i="26"/>
  <c r="AD210" i="26"/>
  <c r="AD211" i="26"/>
  <c r="AD212" i="26"/>
  <c r="AD213" i="26"/>
  <c r="AD214" i="26"/>
  <c r="AD215" i="26"/>
  <c r="AD216" i="26"/>
  <c r="AD217" i="26"/>
  <c r="AD218" i="26"/>
  <c r="AD219" i="26"/>
  <c r="AD220" i="26"/>
  <c r="AD221" i="26"/>
  <c r="AD222" i="26"/>
  <c r="AD223" i="26"/>
  <c r="AD224" i="26"/>
  <c r="AD225" i="26"/>
  <c r="AD226" i="26"/>
  <c r="AD227" i="26"/>
  <c r="AD228" i="26"/>
  <c r="AD229" i="26"/>
  <c r="AD230" i="26"/>
  <c r="AD231" i="26"/>
  <c r="AD232" i="26"/>
  <c r="AD233" i="26"/>
  <c r="AD234" i="26"/>
  <c r="AD235" i="26"/>
  <c r="AD236" i="26"/>
  <c r="AD237" i="26"/>
  <c r="AD238" i="26"/>
  <c r="AD239" i="26"/>
  <c r="AD240" i="26"/>
  <c r="AD241" i="26"/>
  <c r="AD242" i="26"/>
  <c r="AD243" i="26"/>
  <c r="AD244" i="26"/>
  <c r="AD245" i="26"/>
  <c r="AD246" i="26"/>
  <c r="AD247" i="26"/>
  <c r="AD188" i="26"/>
  <c r="AD127" i="26"/>
  <c r="AD128" i="26"/>
  <c r="AD129" i="26"/>
  <c r="AD130" i="26"/>
  <c r="AD131" i="26"/>
  <c r="AD132" i="26"/>
  <c r="AD133" i="26"/>
  <c r="AD134" i="26"/>
  <c r="AD135" i="26"/>
  <c r="AD136" i="26"/>
  <c r="AD137" i="26"/>
  <c r="AD138" i="26"/>
  <c r="AD139" i="26"/>
  <c r="AD140" i="26"/>
  <c r="AD141" i="26"/>
  <c r="AD142" i="26"/>
  <c r="AD143" i="26"/>
  <c r="AD144" i="26"/>
  <c r="AD145" i="26"/>
  <c r="AD146" i="26"/>
  <c r="AD147" i="26"/>
  <c r="AD148" i="26"/>
  <c r="AD149" i="26"/>
  <c r="AD150" i="26"/>
  <c r="AD151" i="26"/>
  <c r="AD152" i="26"/>
  <c r="AD153" i="26"/>
  <c r="AD154" i="26"/>
  <c r="AD155" i="26"/>
  <c r="AD156" i="26"/>
  <c r="AD157" i="26"/>
  <c r="AD158" i="26"/>
  <c r="AD159" i="26"/>
  <c r="AD160" i="26"/>
  <c r="AD161" i="26"/>
  <c r="AD162" i="26"/>
  <c r="AD163" i="26"/>
  <c r="AD164" i="26"/>
  <c r="AD165" i="26"/>
  <c r="AD166" i="26"/>
  <c r="AD167" i="26"/>
  <c r="AD168" i="26"/>
  <c r="AD169" i="26"/>
  <c r="AD170" i="26"/>
  <c r="AD171" i="26"/>
  <c r="AD172" i="26"/>
  <c r="AD173" i="26"/>
  <c r="AD174" i="26"/>
  <c r="AD175" i="26"/>
  <c r="AD176" i="26"/>
  <c r="AD177" i="26"/>
  <c r="AD178" i="26"/>
  <c r="AD179" i="26"/>
  <c r="AD180" i="26"/>
  <c r="AD181" i="26"/>
  <c r="AD182" i="26"/>
  <c r="AD183" i="26"/>
  <c r="AD184" i="26"/>
  <c r="AD185" i="26"/>
  <c r="AD126" i="26"/>
  <c r="AD65" i="26"/>
  <c r="AD66" i="26"/>
  <c r="AD67" i="26"/>
  <c r="AD68" i="26"/>
  <c r="AD69" i="26"/>
  <c r="AD70" i="26"/>
  <c r="AD71" i="26"/>
  <c r="AD72" i="26"/>
  <c r="AD73" i="26"/>
  <c r="AD74" i="26"/>
  <c r="AD75" i="26"/>
  <c r="AD76" i="26"/>
  <c r="AD77" i="26"/>
  <c r="AD78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92" i="26"/>
  <c r="AD93" i="26"/>
  <c r="AD94" i="26"/>
  <c r="AD95" i="26"/>
  <c r="AD96" i="26"/>
  <c r="AD97" i="26"/>
  <c r="AD98" i="26"/>
  <c r="AD99" i="26"/>
  <c r="AD100" i="26"/>
  <c r="AD101" i="26"/>
  <c r="AD102" i="26"/>
  <c r="AD103" i="26"/>
  <c r="AD104" i="26"/>
  <c r="AD105" i="26"/>
  <c r="AD106" i="26"/>
  <c r="AD107" i="26"/>
  <c r="AD108" i="26"/>
  <c r="AD109" i="26"/>
  <c r="AD110" i="26"/>
  <c r="AD111" i="26"/>
  <c r="AD112" i="26"/>
  <c r="AD113" i="26"/>
  <c r="AD114" i="26"/>
  <c r="AD115" i="26"/>
  <c r="AD116" i="26"/>
  <c r="AD117" i="26"/>
  <c r="AD118" i="26"/>
  <c r="AD119" i="26"/>
  <c r="AD120" i="26"/>
  <c r="AD121" i="26"/>
  <c r="AD122" i="26"/>
  <c r="AD123" i="26"/>
  <c r="AD64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D34" i="26"/>
  <c r="AD35" i="26"/>
  <c r="AD36" i="26"/>
  <c r="AD37" i="26"/>
  <c r="AD38" i="26"/>
  <c r="AD39" i="26"/>
  <c r="AD40" i="26"/>
  <c r="AD41" i="26"/>
  <c r="AD42" i="26"/>
  <c r="AD43" i="26"/>
  <c r="AD44" i="26"/>
  <c r="AD45" i="26"/>
  <c r="AD46" i="26"/>
  <c r="AD47" i="26"/>
  <c r="AD48" i="26"/>
  <c r="AD49" i="26"/>
  <c r="AD50" i="26"/>
  <c r="AD51" i="26"/>
  <c r="AD52" i="26"/>
  <c r="AD53" i="26"/>
  <c r="AD54" i="26"/>
  <c r="AD55" i="26"/>
  <c r="AD56" i="26"/>
  <c r="AD57" i="26"/>
  <c r="AD58" i="26"/>
  <c r="AD59" i="26"/>
  <c r="AD60" i="26"/>
  <c r="AD61" i="26"/>
  <c r="AD2" i="26"/>
  <c r="P189" i="26"/>
  <c r="P190" i="26"/>
  <c r="P191" i="26"/>
  <c r="P192" i="26"/>
  <c r="P193" i="26"/>
  <c r="P194" i="26"/>
  <c r="P195" i="26"/>
  <c r="P196" i="26"/>
  <c r="P197" i="26"/>
  <c r="P198" i="26"/>
  <c r="P199" i="26"/>
  <c r="P200" i="26"/>
  <c r="P201" i="26"/>
  <c r="P202" i="26"/>
  <c r="P203" i="26"/>
  <c r="P204" i="26"/>
  <c r="P205" i="26"/>
  <c r="P206" i="26"/>
  <c r="P207" i="26"/>
  <c r="P208" i="26"/>
  <c r="P209" i="26"/>
  <c r="P210" i="26"/>
  <c r="P211" i="26"/>
  <c r="P212" i="26"/>
  <c r="P213" i="26"/>
  <c r="P214" i="26"/>
  <c r="P215" i="26"/>
  <c r="P216" i="26"/>
  <c r="P217" i="26"/>
  <c r="P218" i="26"/>
  <c r="P219" i="26"/>
  <c r="P220" i="26"/>
  <c r="P221" i="26"/>
  <c r="P222" i="26"/>
  <c r="P223" i="26"/>
  <c r="P224" i="26"/>
  <c r="P225" i="26"/>
  <c r="P226" i="26"/>
  <c r="P227" i="26"/>
  <c r="P228" i="26"/>
  <c r="P229" i="26"/>
  <c r="P230" i="26"/>
  <c r="P231" i="26"/>
  <c r="P232" i="26"/>
  <c r="P233" i="26"/>
  <c r="P234" i="26"/>
  <c r="P235" i="26"/>
  <c r="P236" i="26"/>
  <c r="P237" i="26"/>
  <c r="P238" i="26"/>
  <c r="P239" i="26"/>
  <c r="P240" i="26"/>
  <c r="P241" i="26"/>
  <c r="P242" i="26"/>
  <c r="P243" i="26"/>
  <c r="P244" i="26"/>
  <c r="P245" i="26"/>
  <c r="P246" i="26"/>
  <c r="P247" i="26"/>
  <c r="P188" i="26"/>
  <c r="P127" i="26"/>
  <c r="P128" i="26"/>
  <c r="P129" i="26"/>
  <c r="P130" i="26"/>
  <c r="P131" i="26"/>
  <c r="P132" i="26"/>
  <c r="P133" i="26"/>
  <c r="P134" i="26"/>
  <c r="P135" i="26"/>
  <c r="P136" i="26"/>
  <c r="P137" i="26"/>
  <c r="P138" i="26"/>
  <c r="P139" i="26"/>
  <c r="P140" i="26"/>
  <c r="P141" i="26"/>
  <c r="P142" i="26"/>
  <c r="P143" i="26"/>
  <c r="P144" i="26"/>
  <c r="P145" i="26"/>
  <c r="P146" i="26"/>
  <c r="P147" i="26"/>
  <c r="P148" i="26"/>
  <c r="P149" i="26"/>
  <c r="P150" i="26"/>
  <c r="P151" i="26"/>
  <c r="P152" i="26"/>
  <c r="P153" i="26"/>
  <c r="P154" i="26"/>
  <c r="P155" i="26"/>
  <c r="P156" i="26"/>
  <c r="P157" i="26"/>
  <c r="P158" i="26"/>
  <c r="P159" i="26"/>
  <c r="P160" i="26"/>
  <c r="P161" i="26"/>
  <c r="P162" i="26"/>
  <c r="P163" i="26"/>
  <c r="P164" i="26"/>
  <c r="P165" i="26"/>
  <c r="P166" i="26"/>
  <c r="P167" i="26"/>
  <c r="P168" i="26"/>
  <c r="P169" i="26"/>
  <c r="P170" i="26"/>
  <c r="P171" i="26"/>
  <c r="P172" i="26"/>
  <c r="P173" i="26"/>
  <c r="P174" i="26"/>
  <c r="P175" i="26"/>
  <c r="P176" i="26"/>
  <c r="P177" i="26"/>
  <c r="P178" i="26"/>
  <c r="P179" i="26"/>
  <c r="P180" i="26"/>
  <c r="P181" i="26"/>
  <c r="P182" i="26"/>
  <c r="P183" i="26"/>
  <c r="P184" i="26"/>
  <c r="P185" i="26"/>
  <c r="P126" i="26"/>
  <c r="P65" i="26"/>
  <c r="P66" i="26"/>
  <c r="P67" i="26"/>
  <c r="P68" i="26"/>
  <c r="P69" i="26"/>
  <c r="P70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P87" i="26"/>
  <c r="P88" i="26"/>
  <c r="P89" i="26"/>
  <c r="P90" i="26"/>
  <c r="P91" i="26"/>
  <c r="P92" i="26"/>
  <c r="P93" i="26"/>
  <c r="P94" i="26"/>
  <c r="P95" i="26"/>
  <c r="P96" i="26"/>
  <c r="P97" i="26"/>
  <c r="P98" i="26"/>
  <c r="P99" i="26"/>
  <c r="P100" i="26"/>
  <c r="P101" i="26"/>
  <c r="P102" i="26"/>
  <c r="P103" i="26"/>
  <c r="P104" i="26"/>
  <c r="P105" i="26"/>
  <c r="P106" i="26"/>
  <c r="P107" i="26"/>
  <c r="P108" i="26"/>
  <c r="P109" i="26"/>
  <c r="P110" i="26"/>
  <c r="P111" i="26"/>
  <c r="P112" i="26"/>
  <c r="P113" i="26"/>
  <c r="P114" i="26"/>
  <c r="P115" i="26"/>
  <c r="P116" i="26"/>
  <c r="P117" i="26"/>
  <c r="P118" i="26"/>
  <c r="P119" i="26"/>
  <c r="P120" i="26"/>
  <c r="P121" i="26"/>
  <c r="P122" i="26"/>
  <c r="P123" i="26"/>
  <c r="P64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2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B202" i="26"/>
  <c r="B203" i="26"/>
  <c r="B204" i="26"/>
  <c r="B205" i="26"/>
  <c r="B206" i="26"/>
  <c r="B207" i="26"/>
  <c r="B208" i="26"/>
  <c r="B209" i="26"/>
  <c r="B210" i="26"/>
  <c r="B211" i="26"/>
  <c r="B212" i="26"/>
  <c r="B213" i="26"/>
  <c r="B214" i="26"/>
  <c r="B215" i="26"/>
  <c r="B216" i="26"/>
  <c r="B217" i="26"/>
  <c r="B218" i="26"/>
  <c r="B219" i="26"/>
  <c r="B220" i="26"/>
  <c r="B221" i="26"/>
  <c r="B222" i="26"/>
  <c r="B223" i="26"/>
  <c r="B224" i="26"/>
  <c r="B225" i="26"/>
  <c r="B226" i="26"/>
  <c r="B227" i="26"/>
  <c r="B228" i="26"/>
  <c r="B229" i="26"/>
  <c r="B230" i="26"/>
  <c r="B231" i="26"/>
  <c r="B232" i="26"/>
  <c r="B233" i="26"/>
  <c r="B234" i="26"/>
  <c r="B235" i="26"/>
  <c r="B236" i="26"/>
  <c r="B237" i="26"/>
  <c r="B238" i="26"/>
  <c r="B239" i="26"/>
  <c r="B240" i="26"/>
  <c r="B241" i="26"/>
  <c r="B242" i="26"/>
  <c r="B243" i="26"/>
  <c r="B244" i="26"/>
  <c r="B245" i="26"/>
  <c r="B246" i="26"/>
  <c r="B247" i="26"/>
  <c r="B188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26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64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2" i="26"/>
  <c r="AS247" i="26" l="1"/>
  <c r="AE247" i="26"/>
  <c r="Q247" i="26"/>
  <c r="C247" i="26"/>
  <c r="AS246" i="26"/>
  <c r="AE246" i="26"/>
  <c r="Q246" i="26"/>
  <c r="C246" i="26"/>
  <c r="AS245" i="26"/>
  <c r="AE245" i="26"/>
  <c r="Q245" i="26"/>
  <c r="R246" i="26" s="1"/>
  <c r="C245" i="26"/>
  <c r="AS244" i="26"/>
  <c r="AE244" i="26"/>
  <c r="Q244" i="26"/>
  <c r="C244" i="26"/>
  <c r="AS243" i="26"/>
  <c r="AE243" i="26"/>
  <c r="AF245" i="26" s="1"/>
  <c r="AG245" i="26" s="1"/>
  <c r="Q243" i="26"/>
  <c r="C243" i="26"/>
  <c r="AS242" i="26"/>
  <c r="AE242" i="26"/>
  <c r="Q242" i="26"/>
  <c r="C242" i="26"/>
  <c r="AS241" i="26"/>
  <c r="AE241" i="26"/>
  <c r="Q241" i="26"/>
  <c r="C241" i="26"/>
  <c r="AS240" i="26"/>
  <c r="AE240" i="26"/>
  <c r="Q240" i="26"/>
  <c r="C240" i="26"/>
  <c r="AS239" i="26"/>
  <c r="AE239" i="26"/>
  <c r="AF241" i="26" s="1"/>
  <c r="AG241" i="26" s="1"/>
  <c r="Q239" i="26"/>
  <c r="R240" i="26" s="1"/>
  <c r="C239" i="26"/>
  <c r="AS238" i="26"/>
  <c r="AF238" i="26"/>
  <c r="AE238" i="26"/>
  <c r="Q238" i="26"/>
  <c r="C238" i="26"/>
  <c r="AS237" i="26"/>
  <c r="AE237" i="26"/>
  <c r="Q237" i="26"/>
  <c r="C237" i="26"/>
  <c r="AS236" i="26"/>
  <c r="AE236" i="26"/>
  <c r="Q236" i="26"/>
  <c r="C236" i="26"/>
  <c r="AS235" i="26"/>
  <c r="AE235" i="26"/>
  <c r="Q235" i="26"/>
  <c r="C235" i="26"/>
  <c r="AS234" i="26"/>
  <c r="AE234" i="26"/>
  <c r="AF236" i="26" s="1"/>
  <c r="Q234" i="26"/>
  <c r="C234" i="26"/>
  <c r="AS233" i="26"/>
  <c r="AE233" i="26"/>
  <c r="AF235" i="26" s="1"/>
  <c r="Q233" i="26"/>
  <c r="C233" i="26"/>
  <c r="AS232" i="26"/>
  <c r="AE232" i="26"/>
  <c r="AF234" i="26" s="1"/>
  <c r="Q232" i="26"/>
  <c r="C232" i="26"/>
  <c r="AS231" i="26"/>
  <c r="AE231" i="26"/>
  <c r="AF233" i="26" s="1"/>
  <c r="Q231" i="26"/>
  <c r="C231" i="26"/>
  <c r="AS230" i="26"/>
  <c r="AT232" i="26" s="1"/>
  <c r="AE230" i="26"/>
  <c r="Q230" i="26"/>
  <c r="R231" i="26" s="1"/>
  <c r="T231" i="26" s="1"/>
  <c r="C230" i="26"/>
  <c r="AS229" i="26"/>
  <c r="AE229" i="26"/>
  <c r="Q229" i="26"/>
  <c r="C229" i="26"/>
  <c r="AS228" i="26"/>
  <c r="AE228" i="26"/>
  <c r="AF230" i="26" s="1"/>
  <c r="Q228" i="26"/>
  <c r="R229" i="26" s="1"/>
  <c r="C228" i="26"/>
  <c r="AS227" i="26"/>
  <c r="AF227" i="26"/>
  <c r="AE227" i="26"/>
  <c r="Q227" i="26"/>
  <c r="C227" i="26"/>
  <c r="AS226" i="26"/>
  <c r="AE226" i="26"/>
  <c r="Q226" i="26"/>
  <c r="C226" i="26"/>
  <c r="D245" i="26" s="1"/>
  <c r="AS225" i="26"/>
  <c r="AE225" i="26"/>
  <c r="Q225" i="26"/>
  <c r="C225" i="26"/>
  <c r="AS224" i="26"/>
  <c r="AE224" i="26"/>
  <c r="Q224" i="26"/>
  <c r="C224" i="26"/>
  <c r="AS223" i="26"/>
  <c r="AE223" i="26"/>
  <c r="Q223" i="26"/>
  <c r="R224" i="26" s="1"/>
  <c r="C223" i="26"/>
  <c r="AT222" i="26"/>
  <c r="AU222" i="26" s="1"/>
  <c r="AS222" i="26"/>
  <c r="AE222" i="26"/>
  <c r="Q222" i="26"/>
  <c r="S222" i="26" s="1"/>
  <c r="C222" i="26"/>
  <c r="AS221" i="26"/>
  <c r="AE221" i="26"/>
  <c r="R221" i="26"/>
  <c r="Q221" i="26"/>
  <c r="R222" i="26" s="1"/>
  <c r="T222" i="26" s="1"/>
  <c r="C221" i="26"/>
  <c r="AS220" i="26"/>
  <c r="AE220" i="26"/>
  <c r="Q220" i="26"/>
  <c r="C220" i="26"/>
  <c r="AS219" i="26"/>
  <c r="AE219" i="26"/>
  <c r="Q219" i="26"/>
  <c r="C219" i="26"/>
  <c r="AS218" i="26"/>
  <c r="AH218" i="26"/>
  <c r="AE218" i="26"/>
  <c r="Q218" i="26"/>
  <c r="C218" i="26"/>
  <c r="AS217" i="26"/>
  <c r="AE217" i="26"/>
  <c r="Q217" i="26"/>
  <c r="C217" i="26"/>
  <c r="AS216" i="26"/>
  <c r="AE216" i="26"/>
  <c r="AF218" i="26" s="1"/>
  <c r="AG218" i="26" s="1"/>
  <c r="Q216" i="26"/>
  <c r="C216" i="26"/>
  <c r="AS215" i="26"/>
  <c r="AE215" i="26"/>
  <c r="Q215" i="26"/>
  <c r="R216" i="26" s="1"/>
  <c r="T216" i="26" s="1"/>
  <c r="C215" i="26"/>
  <c r="AS214" i="26"/>
  <c r="AE214" i="26"/>
  <c r="AF216" i="26" s="1"/>
  <c r="Q214" i="26"/>
  <c r="C214" i="26"/>
  <c r="AS213" i="26"/>
  <c r="AE213" i="26"/>
  <c r="AF215" i="26" s="1"/>
  <c r="AG215" i="26" s="1"/>
  <c r="Q213" i="26"/>
  <c r="R214" i="26" s="1"/>
  <c r="C213" i="26"/>
  <c r="AS212" i="26"/>
  <c r="AE212" i="26"/>
  <c r="AF214" i="26" s="1"/>
  <c r="Q212" i="26"/>
  <c r="C212" i="26"/>
  <c r="AS211" i="26"/>
  <c r="AT214" i="26" s="1"/>
  <c r="AE211" i="26"/>
  <c r="Q211" i="26"/>
  <c r="R211" i="26" s="1"/>
  <c r="C211" i="26"/>
  <c r="AS210" i="26"/>
  <c r="AE210" i="26"/>
  <c r="T210" i="26"/>
  <c r="U211" i="26" s="1"/>
  <c r="V211" i="26" s="1"/>
  <c r="W211" i="26" s="1"/>
  <c r="R210" i="26"/>
  <c r="S210" i="26" s="1"/>
  <c r="Q210" i="26"/>
  <c r="C210" i="26"/>
  <c r="AS209" i="26"/>
  <c r="AE209" i="26"/>
  <c r="Q209" i="26"/>
  <c r="C209" i="26"/>
  <c r="AS208" i="26"/>
  <c r="AE208" i="26"/>
  <c r="Q208" i="26"/>
  <c r="R209" i="26" s="1"/>
  <c r="T209" i="26" s="1"/>
  <c r="C208" i="26"/>
  <c r="AS207" i="26"/>
  <c r="AE207" i="26"/>
  <c r="Q207" i="26"/>
  <c r="C207" i="26"/>
  <c r="AS206" i="26"/>
  <c r="AE206" i="26"/>
  <c r="AF208" i="26" s="1"/>
  <c r="AH208" i="26" s="1"/>
  <c r="Q206" i="26"/>
  <c r="AS205" i="26"/>
  <c r="AT207" i="26" s="1"/>
  <c r="AE205" i="26"/>
  <c r="Q205" i="26"/>
  <c r="R206" i="26" s="1"/>
  <c r="T206" i="26" s="1"/>
  <c r="AS204" i="26"/>
  <c r="AE204" i="26"/>
  <c r="Q204" i="26"/>
  <c r="R204" i="26" s="1"/>
  <c r="AS203" i="26"/>
  <c r="AE203" i="26"/>
  <c r="Q203" i="26"/>
  <c r="AS202" i="26"/>
  <c r="AE202" i="26"/>
  <c r="AF204" i="26" s="1"/>
  <c r="AG204" i="26" s="1"/>
  <c r="Q202" i="26"/>
  <c r="R202" i="26" s="1"/>
  <c r="AS201" i="26"/>
  <c r="AE201" i="26"/>
  <c r="AF203" i="26" s="1"/>
  <c r="Q201" i="26"/>
  <c r="AS200" i="26"/>
  <c r="AE200" i="26"/>
  <c r="AF202" i="26" s="1"/>
  <c r="AH202" i="26" s="1"/>
  <c r="Q200" i="26"/>
  <c r="AS199" i="26"/>
  <c r="AE199" i="26"/>
  <c r="Q199" i="26"/>
  <c r="AS198" i="26"/>
  <c r="AE198" i="26"/>
  <c r="Q198" i="26"/>
  <c r="AS197" i="26"/>
  <c r="AE197" i="26"/>
  <c r="Q197" i="26"/>
  <c r="AS196" i="26"/>
  <c r="AT199" i="26" s="1"/>
  <c r="AE196" i="26"/>
  <c r="Q196" i="26"/>
  <c r="AS195" i="26"/>
  <c r="AE195" i="26"/>
  <c r="AF197" i="26" s="1"/>
  <c r="Q195" i="26"/>
  <c r="AS194" i="26"/>
  <c r="AT197" i="26" s="1"/>
  <c r="AF194" i="26"/>
  <c r="AE194" i="26"/>
  <c r="AF196" i="26" s="1"/>
  <c r="AH196" i="26" s="1"/>
  <c r="R194" i="26"/>
  <c r="Q194" i="26"/>
  <c r="AS193" i="26"/>
  <c r="AE193" i="26"/>
  <c r="Q193" i="26"/>
  <c r="AS192" i="26"/>
  <c r="AT195" i="26" s="1"/>
  <c r="AU195" i="26" s="1"/>
  <c r="AE192" i="26"/>
  <c r="Q192" i="26"/>
  <c r="AS191" i="26"/>
  <c r="AE191" i="26"/>
  <c r="Q191" i="26"/>
  <c r="AE190" i="26"/>
  <c r="Q190" i="26"/>
  <c r="Q189" i="26"/>
  <c r="BG185" i="26"/>
  <c r="AS185" i="26"/>
  <c r="AE185" i="26"/>
  <c r="Q185" i="26"/>
  <c r="C185" i="26"/>
  <c r="BG184" i="26"/>
  <c r="AS184" i="26"/>
  <c r="AE184" i="26"/>
  <c r="Q184" i="26"/>
  <c r="C184" i="26"/>
  <c r="BG183" i="26"/>
  <c r="AS183" i="26"/>
  <c r="AE183" i="26"/>
  <c r="Q183" i="26"/>
  <c r="C183" i="26"/>
  <c r="BG182" i="26"/>
  <c r="AS182" i="26"/>
  <c r="AE182" i="26"/>
  <c r="Q182" i="26"/>
  <c r="C182" i="26"/>
  <c r="BG181" i="26"/>
  <c r="AS181" i="26"/>
  <c r="AE181" i="26"/>
  <c r="Q181" i="26"/>
  <c r="C181" i="26"/>
  <c r="BG180" i="26"/>
  <c r="AS180" i="26"/>
  <c r="AE180" i="26"/>
  <c r="Q180" i="26"/>
  <c r="C180" i="26"/>
  <c r="BG179" i="26"/>
  <c r="AS179" i="26"/>
  <c r="AE179" i="26"/>
  <c r="Q179" i="26"/>
  <c r="C179" i="26"/>
  <c r="BG178" i="26"/>
  <c r="AS178" i="26"/>
  <c r="AE178" i="26"/>
  <c r="Q178" i="26"/>
  <c r="C178" i="26"/>
  <c r="BG177" i="26"/>
  <c r="AS177" i="26"/>
  <c r="AE177" i="26"/>
  <c r="Q177" i="26"/>
  <c r="C177" i="26"/>
  <c r="BG176" i="26"/>
  <c r="AS176" i="26"/>
  <c r="AE176" i="26"/>
  <c r="Q176" i="26"/>
  <c r="C176" i="26"/>
  <c r="BG175" i="26"/>
  <c r="AS175" i="26"/>
  <c r="AE175" i="26"/>
  <c r="Q175" i="26"/>
  <c r="C175" i="26"/>
  <c r="BG174" i="26"/>
  <c r="AS174" i="26"/>
  <c r="AE174" i="26"/>
  <c r="Q174" i="26"/>
  <c r="C174" i="26"/>
  <c r="BG173" i="26"/>
  <c r="AS173" i="26"/>
  <c r="AE173" i="26"/>
  <c r="Q173" i="26"/>
  <c r="C173" i="26"/>
  <c r="BG172" i="26"/>
  <c r="AS172" i="26"/>
  <c r="AE172" i="26"/>
  <c r="Q172" i="26"/>
  <c r="C172" i="26"/>
  <c r="BG171" i="26"/>
  <c r="AS171" i="26"/>
  <c r="AE171" i="26"/>
  <c r="Q171" i="26"/>
  <c r="C171" i="26"/>
  <c r="BG170" i="26"/>
  <c r="AS170" i="26"/>
  <c r="AE170" i="26"/>
  <c r="Q170" i="26"/>
  <c r="C170" i="26"/>
  <c r="BG169" i="26"/>
  <c r="AS169" i="26"/>
  <c r="AE169" i="26"/>
  <c r="Q169" i="26"/>
  <c r="C169" i="26"/>
  <c r="BG168" i="26"/>
  <c r="AS168" i="26"/>
  <c r="AE168" i="26"/>
  <c r="Q168" i="26"/>
  <c r="C168" i="26"/>
  <c r="BG167" i="26"/>
  <c r="AS167" i="26"/>
  <c r="AE167" i="26"/>
  <c r="Q167" i="26"/>
  <c r="C167" i="26"/>
  <c r="BG166" i="26"/>
  <c r="AS166" i="26"/>
  <c r="AE166" i="26"/>
  <c r="Q166" i="26"/>
  <c r="C166" i="26"/>
  <c r="BG165" i="26"/>
  <c r="AS165" i="26"/>
  <c r="AE165" i="26"/>
  <c r="Q165" i="26"/>
  <c r="C165" i="26"/>
  <c r="BG164" i="26"/>
  <c r="AS164" i="26"/>
  <c r="AE164" i="26"/>
  <c r="Q164" i="26"/>
  <c r="C164" i="26"/>
  <c r="BG163" i="26"/>
  <c r="AS163" i="26"/>
  <c r="AE163" i="26"/>
  <c r="Q163" i="26"/>
  <c r="C163" i="26"/>
  <c r="F163" i="26" s="1"/>
  <c r="G164" i="26" s="1"/>
  <c r="H164" i="26" s="1"/>
  <c r="I164" i="26" s="1"/>
  <c r="BG162" i="26"/>
  <c r="AS162" i="26"/>
  <c r="AE162" i="26"/>
  <c r="Q162" i="26"/>
  <c r="C162" i="26"/>
  <c r="BG161" i="26"/>
  <c r="AS161" i="26"/>
  <c r="AE161" i="26"/>
  <c r="Q161" i="26"/>
  <c r="C161" i="26"/>
  <c r="BG160" i="26"/>
  <c r="AS160" i="26"/>
  <c r="AE160" i="26"/>
  <c r="Q160" i="26"/>
  <c r="C160" i="26"/>
  <c r="BG159" i="26"/>
  <c r="AS159" i="26"/>
  <c r="AE159" i="26"/>
  <c r="Q159" i="26"/>
  <c r="C159" i="26"/>
  <c r="BG158" i="26"/>
  <c r="AS158" i="26"/>
  <c r="AE158" i="26"/>
  <c r="Q158" i="26"/>
  <c r="R173" i="26" s="1"/>
  <c r="C158" i="26"/>
  <c r="BG157" i="26"/>
  <c r="BH174" i="26" s="1"/>
  <c r="AS157" i="26"/>
  <c r="AE157" i="26"/>
  <c r="Q157" i="26"/>
  <c r="C157" i="26"/>
  <c r="BG156" i="26"/>
  <c r="AS156" i="26"/>
  <c r="AE156" i="26"/>
  <c r="Q156" i="26"/>
  <c r="C156" i="26"/>
  <c r="BG155" i="26"/>
  <c r="AS155" i="26"/>
  <c r="AE155" i="26"/>
  <c r="Q155" i="26"/>
  <c r="C155" i="26"/>
  <c r="BG154" i="26"/>
  <c r="AS154" i="26"/>
  <c r="AE154" i="26"/>
  <c r="Q154" i="26"/>
  <c r="C154" i="26"/>
  <c r="BG153" i="26"/>
  <c r="AS153" i="26"/>
  <c r="AE153" i="26"/>
  <c r="Q153" i="26"/>
  <c r="C153" i="26"/>
  <c r="BG152" i="26"/>
  <c r="AS152" i="26"/>
  <c r="AE152" i="26"/>
  <c r="Q152" i="26"/>
  <c r="C152" i="26"/>
  <c r="BG151" i="26"/>
  <c r="AS151" i="26"/>
  <c r="AE151" i="26"/>
  <c r="Q151" i="26"/>
  <c r="C151" i="26"/>
  <c r="BG150" i="26"/>
  <c r="AS150" i="26"/>
  <c r="AE150" i="26"/>
  <c r="Q150" i="26"/>
  <c r="C150" i="26"/>
  <c r="BG149" i="26"/>
  <c r="AS149" i="26"/>
  <c r="AE149" i="26"/>
  <c r="Q149" i="26"/>
  <c r="C149" i="26"/>
  <c r="D163" i="26" s="1"/>
  <c r="E163" i="26" s="1"/>
  <c r="BG148" i="26"/>
  <c r="AS148" i="26"/>
  <c r="AE148" i="26"/>
  <c r="Q148" i="26"/>
  <c r="C148" i="26"/>
  <c r="BG147" i="26"/>
  <c r="AS147" i="26"/>
  <c r="AE147" i="26"/>
  <c r="Q147" i="26"/>
  <c r="C147" i="26"/>
  <c r="BG146" i="26"/>
  <c r="AS146" i="26"/>
  <c r="AE146" i="26"/>
  <c r="Q146" i="26"/>
  <c r="C146" i="26"/>
  <c r="BG145" i="26"/>
  <c r="AS145" i="26"/>
  <c r="AE145" i="26"/>
  <c r="Q145" i="26"/>
  <c r="C145" i="26"/>
  <c r="BG144" i="26"/>
  <c r="AS144" i="26"/>
  <c r="AE144" i="26"/>
  <c r="Q144" i="26"/>
  <c r="C144" i="26"/>
  <c r="AS143" i="26"/>
  <c r="AE143" i="26"/>
  <c r="Q143" i="26"/>
  <c r="C143" i="26"/>
  <c r="AE142" i="26"/>
  <c r="Q142" i="26"/>
  <c r="C142" i="26"/>
  <c r="Q141" i="26"/>
  <c r="C141" i="26"/>
  <c r="C140" i="26"/>
  <c r="BG123" i="26"/>
  <c r="AS123" i="26"/>
  <c r="AE123" i="26"/>
  <c r="Q123" i="26"/>
  <c r="C123" i="26"/>
  <c r="BG122" i="26"/>
  <c r="AS122" i="26"/>
  <c r="AE122" i="26"/>
  <c r="Q122" i="26"/>
  <c r="C122" i="26"/>
  <c r="BG121" i="26"/>
  <c r="AS121" i="26"/>
  <c r="AE121" i="26"/>
  <c r="Q121" i="26"/>
  <c r="C121" i="26"/>
  <c r="BG120" i="26"/>
  <c r="AS120" i="26"/>
  <c r="AE120" i="26"/>
  <c r="Q120" i="26"/>
  <c r="C120" i="26"/>
  <c r="BG119" i="26"/>
  <c r="AS119" i="26"/>
  <c r="AE119" i="26"/>
  <c r="Q119" i="26"/>
  <c r="C119" i="26"/>
  <c r="BG118" i="26"/>
  <c r="AS118" i="26"/>
  <c r="AE118" i="26"/>
  <c r="Q118" i="26"/>
  <c r="C118" i="26"/>
  <c r="BG117" i="26"/>
  <c r="AS117" i="26"/>
  <c r="AE117" i="26"/>
  <c r="Q117" i="26"/>
  <c r="C117" i="26"/>
  <c r="BG116" i="26"/>
  <c r="AS116" i="26"/>
  <c r="AE116" i="26"/>
  <c r="AF119" i="26" s="1"/>
  <c r="AG119" i="26" s="1"/>
  <c r="Q116" i="26"/>
  <c r="C116" i="26"/>
  <c r="BG115" i="26"/>
  <c r="AS115" i="26"/>
  <c r="AE115" i="26"/>
  <c r="Q115" i="26"/>
  <c r="C115" i="26"/>
  <c r="BG114" i="26"/>
  <c r="AS114" i="26"/>
  <c r="AE114" i="26"/>
  <c r="Q114" i="26"/>
  <c r="C114" i="26"/>
  <c r="BG113" i="26"/>
  <c r="AS113" i="26"/>
  <c r="AE113" i="26"/>
  <c r="Q113" i="26"/>
  <c r="C113" i="26"/>
  <c r="BG112" i="26"/>
  <c r="AS112" i="26"/>
  <c r="AE112" i="26"/>
  <c r="Q112" i="26"/>
  <c r="C112" i="26"/>
  <c r="BG111" i="26"/>
  <c r="AS111" i="26"/>
  <c r="AE111" i="26"/>
  <c r="Q111" i="26"/>
  <c r="C111" i="26"/>
  <c r="D120" i="26" s="1"/>
  <c r="BG110" i="26"/>
  <c r="AS110" i="26"/>
  <c r="AE110" i="26"/>
  <c r="Q110" i="26"/>
  <c r="C110" i="26"/>
  <c r="BG109" i="26"/>
  <c r="AS109" i="26"/>
  <c r="AE109" i="26"/>
  <c r="Q109" i="26"/>
  <c r="C109" i="26"/>
  <c r="BG108" i="26"/>
  <c r="AS108" i="26"/>
  <c r="AE108" i="26"/>
  <c r="Q108" i="26"/>
  <c r="R118" i="26" s="1"/>
  <c r="T118" i="26" s="1"/>
  <c r="C108" i="26"/>
  <c r="BG107" i="26"/>
  <c r="AS107" i="26"/>
  <c r="AE107" i="26"/>
  <c r="Q107" i="26"/>
  <c r="C107" i="26"/>
  <c r="BG106" i="26"/>
  <c r="AS106" i="26"/>
  <c r="AE106" i="26"/>
  <c r="Q106" i="26"/>
  <c r="C106" i="26"/>
  <c r="BG105" i="26"/>
  <c r="AS105" i="26"/>
  <c r="AE105" i="26"/>
  <c r="Q105" i="26"/>
  <c r="C105" i="26"/>
  <c r="D110" i="26" s="1"/>
  <c r="BG104" i="26"/>
  <c r="AS104" i="26"/>
  <c r="AE104" i="26"/>
  <c r="Q104" i="26"/>
  <c r="C104" i="26"/>
  <c r="BG103" i="26"/>
  <c r="AS103" i="26"/>
  <c r="AE103" i="26"/>
  <c r="Q103" i="26"/>
  <c r="C103" i="26"/>
  <c r="BG102" i="26"/>
  <c r="AS102" i="26"/>
  <c r="AE102" i="26"/>
  <c r="Q102" i="26"/>
  <c r="C102" i="26"/>
  <c r="BG101" i="26"/>
  <c r="AS101" i="26"/>
  <c r="AE101" i="26"/>
  <c r="Q101" i="26"/>
  <c r="C101" i="26"/>
  <c r="BG100" i="26"/>
  <c r="AS100" i="26"/>
  <c r="AE100" i="26"/>
  <c r="Q100" i="26"/>
  <c r="C100" i="26"/>
  <c r="D109" i="26" s="1"/>
  <c r="BG99" i="26"/>
  <c r="AS99" i="26"/>
  <c r="AE99" i="26"/>
  <c r="Q99" i="26"/>
  <c r="C99" i="26"/>
  <c r="BG98" i="26"/>
  <c r="AS98" i="26"/>
  <c r="AE98" i="26"/>
  <c r="Q98" i="26"/>
  <c r="C98" i="26"/>
  <c r="BG97" i="26"/>
  <c r="AS97" i="26"/>
  <c r="AE97" i="26"/>
  <c r="AF108" i="26" s="1"/>
  <c r="Q97" i="26"/>
  <c r="C97" i="26"/>
  <c r="BG96" i="26"/>
  <c r="AS96" i="26"/>
  <c r="AE96" i="26"/>
  <c r="Q96" i="26"/>
  <c r="C96" i="26"/>
  <c r="BG95" i="26"/>
  <c r="AS95" i="26"/>
  <c r="AE95" i="26"/>
  <c r="Q95" i="26"/>
  <c r="R105" i="26" s="1"/>
  <c r="C95" i="26"/>
  <c r="BG94" i="26"/>
  <c r="BH107" i="26" s="1"/>
  <c r="BI107" i="26" s="1"/>
  <c r="AS94" i="26"/>
  <c r="AE94" i="26"/>
  <c r="AF105" i="26" s="1"/>
  <c r="AH105" i="26" s="1"/>
  <c r="Q94" i="26"/>
  <c r="C94" i="26"/>
  <c r="BG93" i="26"/>
  <c r="AS93" i="26"/>
  <c r="AE93" i="26"/>
  <c r="Q93" i="26"/>
  <c r="C93" i="26"/>
  <c r="BG92" i="26"/>
  <c r="AS92" i="26"/>
  <c r="AT104" i="26" s="1"/>
  <c r="AU104" i="26" s="1"/>
  <c r="AE92" i="26"/>
  <c r="Q92" i="26"/>
  <c r="C92" i="26"/>
  <c r="BG91" i="26"/>
  <c r="AS91" i="26"/>
  <c r="AT103" i="26" s="1"/>
  <c r="AE91" i="26"/>
  <c r="Q91" i="26"/>
  <c r="C91" i="26"/>
  <c r="BG90" i="26"/>
  <c r="AS90" i="26"/>
  <c r="AE90" i="26"/>
  <c r="AF101" i="26" s="1"/>
  <c r="AG101" i="26" s="1"/>
  <c r="Q90" i="26"/>
  <c r="C90" i="26"/>
  <c r="BG89" i="26"/>
  <c r="AS89" i="26"/>
  <c r="AE89" i="26"/>
  <c r="Q89" i="26"/>
  <c r="C89" i="26"/>
  <c r="BG88" i="26"/>
  <c r="BH99" i="26" s="1"/>
  <c r="BI99" i="26" s="1"/>
  <c r="AS88" i="26"/>
  <c r="AE88" i="26"/>
  <c r="AH88" i="26" s="1"/>
  <c r="Q88" i="26"/>
  <c r="C88" i="26"/>
  <c r="BG87" i="26"/>
  <c r="AS87" i="26"/>
  <c r="AE87" i="26"/>
  <c r="Q87" i="26"/>
  <c r="C87" i="26"/>
  <c r="BG86" i="26"/>
  <c r="AS86" i="26"/>
  <c r="AE86" i="26"/>
  <c r="Q86" i="26"/>
  <c r="C86" i="26"/>
  <c r="D95" i="26" s="1"/>
  <c r="BG85" i="26"/>
  <c r="BH98" i="26" s="1"/>
  <c r="AS85" i="26"/>
  <c r="AE85" i="26"/>
  <c r="AF96" i="26" s="1"/>
  <c r="Q85" i="26"/>
  <c r="C85" i="26"/>
  <c r="BG84" i="26"/>
  <c r="AS84" i="26"/>
  <c r="AE84" i="26"/>
  <c r="Q84" i="26"/>
  <c r="C84" i="26"/>
  <c r="BG83" i="26"/>
  <c r="AS83" i="26"/>
  <c r="AT95" i="26" s="1"/>
  <c r="AE83" i="26"/>
  <c r="Q83" i="26"/>
  <c r="C83" i="26"/>
  <c r="BG82" i="26"/>
  <c r="AS82" i="26"/>
  <c r="AE82" i="26"/>
  <c r="Q82" i="26"/>
  <c r="C82" i="26"/>
  <c r="BG81" i="26"/>
  <c r="AS81" i="26"/>
  <c r="AE81" i="26"/>
  <c r="AF92" i="26" s="1"/>
  <c r="Q81" i="26"/>
  <c r="C81" i="26"/>
  <c r="BG80" i="26"/>
  <c r="AS80" i="26"/>
  <c r="AE80" i="26"/>
  <c r="Q80" i="26"/>
  <c r="C80" i="26"/>
  <c r="BG79" i="26"/>
  <c r="AS79" i="26"/>
  <c r="AE79" i="26"/>
  <c r="Q79" i="26"/>
  <c r="C79" i="26"/>
  <c r="BG78" i="26"/>
  <c r="AS78" i="26"/>
  <c r="AE78" i="26"/>
  <c r="Q78" i="26"/>
  <c r="C78" i="26"/>
  <c r="BG77" i="26"/>
  <c r="AS77" i="26"/>
  <c r="AE77" i="26"/>
  <c r="AF88" i="26" s="1"/>
  <c r="Q77" i="26"/>
  <c r="R87" i="26" s="1"/>
  <c r="S87" i="26" s="1"/>
  <c r="C77" i="26"/>
  <c r="AS76" i="26"/>
  <c r="AE76" i="26"/>
  <c r="Q76" i="26"/>
  <c r="C76" i="26"/>
  <c r="AE75" i="26"/>
  <c r="Q75" i="26"/>
  <c r="R85" i="26" s="1"/>
  <c r="C75" i="26"/>
  <c r="Q74" i="26"/>
  <c r="C74" i="26"/>
  <c r="C73" i="26"/>
  <c r="D82" i="26" s="1"/>
  <c r="BG61" i="26"/>
  <c r="AS61" i="26"/>
  <c r="AE61" i="26"/>
  <c r="Q61" i="26"/>
  <c r="BG60" i="26"/>
  <c r="AS60" i="26"/>
  <c r="AE60" i="26"/>
  <c r="Q60" i="26"/>
  <c r="BG59" i="26"/>
  <c r="AS59" i="26"/>
  <c r="AE59" i="26"/>
  <c r="Q59" i="26"/>
  <c r="BG58" i="26"/>
  <c r="AS58" i="26"/>
  <c r="AE58" i="26"/>
  <c r="Q58" i="26"/>
  <c r="C58" i="26"/>
  <c r="BH57" i="26"/>
  <c r="BJ57" i="26" s="1"/>
  <c r="BG57" i="26"/>
  <c r="AS57" i="26"/>
  <c r="AE57" i="26"/>
  <c r="Q57" i="26"/>
  <c r="BG56" i="26"/>
  <c r="AS56" i="26"/>
  <c r="AE56" i="26"/>
  <c r="AF61" i="26" s="1"/>
  <c r="Q56" i="26"/>
  <c r="C60" i="26"/>
  <c r="BG55" i="26"/>
  <c r="AS55" i="26"/>
  <c r="AE55" i="26"/>
  <c r="Q55" i="26"/>
  <c r="BG54" i="26"/>
  <c r="AS54" i="26"/>
  <c r="AE54" i="26"/>
  <c r="AF57" i="26" s="1"/>
  <c r="Q54" i="26"/>
  <c r="BG53" i="26"/>
  <c r="AS53" i="26"/>
  <c r="AE53" i="26"/>
  <c r="Q53" i="26"/>
  <c r="C57" i="26"/>
  <c r="BH52" i="26"/>
  <c r="BG52" i="26"/>
  <c r="AS52" i="26"/>
  <c r="AE52" i="26"/>
  <c r="Q52" i="26"/>
  <c r="C56" i="26"/>
  <c r="BG51" i="26"/>
  <c r="AS51" i="26"/>
  <c r="AE51" i="26"/>
  <c r="Q51" i="26"/>
  <c r="BG50" i="26"/>
  <c r="AS50" i="26"/>
  <c r="AE50" i="26"/>
  <c r="Q50" i="26"/>
  <c r="BG49" i="26"/>
  <c r="AS49" i="26"/>
  <c r="AE49" i="26"/>
  <c r="Q49" i="26"/>
  <c r="BG48" i="26"/>
  <c r="AS48" i="26"/>
  <c r="AE48" i="26"/>
  <c r="Q48" i="26"/>
  <c r="BG47" i="26"/>
  <c r="AS47" i="26"/>
  <c r="AE47" i="26"/>
  <c r="AF53" i="26" s="1"/>
  <c r="Q47" i="26"/>
  <c r="BG46" i="26"/>
  <c r="AS46" i="26"/>
  <c r="AE46" i="26"/>
  <c r="Q46" i="26"/>
  <c r="BG45" i="26"/>
  <c r="AS45" i="26"/>
  <c r="AE45" i="26"/>
  <c r="AF47" i="26" s="1"/>
  <c r="Q45" i="26"/>
  <c r="BG44" i="26"/>
  <c r="AS44" i="26"/>
  <c r="AE44" i="26"/>
  <c r="Q44" i="26"/>
  <c r="BG43" i="26"/>
  <c r="AS43" i="26"/>
  <c r="AE43" i="26"/>
  <c r="Q43" i="26"/>
  <c r="BG42" i="26"/>
  <c r="BH50" i="26" s="1"/>
  <c r="AS42" i="26"/>
  <c r="AT49" i="26" s="1"/>
  <c r="AU49" i="26" s="1"/>
  <c r="AE42" i="26"/>
  <c r="Q42" i="26"/>
  <c r="R47" i="26" s="1"/>
  <c r="S47" i="26" s="1"/>
  <c r="BG41" i="26"/>
  <c r="BH49" i="26" s="1"/>
  <c r="BJ49" i="26" s="1"/>
  <c r="AS41" i="26"/>
  <c r="AE41" i="26"/>
  <c r="Q41" i="26"/>
  <c r="BG40" i="26"/>
  <c r="AS40" i="26"/>
  <c r="AE40" i="26"/>
  <c r="Q40" i="26"/>
  <c r="BG39" i="26"/>
  <c r="BH47" i="26" s="1"/>
  <c r="BJ47" i="26" s="1"/>
  <c r="AS39" i="26"/>
  <c r="AE39" i="26"/>
  <c r="Q39" i="26"/>
  <c r="BG38" i="26"/>
  <c r="BH46" i="26" s="1"/>
  <c r="AS38" i="26"/>
  <c r="AE38" i="26"/>
  <c r="Q38" i="26"/>
  <c r="BG37" i="26"/>
  <c r="BH45" i="26" s="1"/>
  <c r="BJ45" i="26" s="1"/>
  <c r="AS37" i="26"/>
  <c r="AE37" i="26"/>
  <c r="Q37" i="26"/>
  <c r="BG36" i="26"/>
  <c r="BH44" i="26" s="1"/>
  <c r="AS36" i="26"/>
  <c r="AE36" i="26"/>
  <c r="Q36" i="26"/>
  <c r="BG35" i="26"/>
  <c r="BH43" i="26" s="1"/>
  <c r="BI43" i="26" s="1"/>
  <c r="AS35" i="26"/>
  <c r="AE35" i="26"/>
  <c r="Q35" i="26"/>
  <c r="BG34" i="26"/>
  <c r="AS34" i="26"/>
  <c r="AE34" i="26"/>
  <c r="AF40" i="26" s="1"/>
  <c r="Q34" i="26"/>
  <c r="R39" i="26" s="1"/>
  <c r="S39" i="26" s="1"/>
  <c r="BG33" i="26"/>
  <c r="BH41" i="26" s="1"/>
  <c r="BJ41" i="26" s="1"/>
  <c r="AS33" i="26"/>
  <c r="AE33" i="26"/>
  <c r="Q33" i="26"/>
  <c r="BG32" i="26"/>
  <c r="AS32" i="26"/>
  <c r="AT39" i="26" s="1"/>
  <c r="AU39" i="26" s="1"/>
  <c r="AE32" i="26"/>
  <c r="AF37" i="26" s="1"/>
  <c r="R32" i="26"/>
  <c r="T32" i="26" s="1"/>
  <c r="Q32" i="26"/>
  <c r="BG31" i="26"/>
  <c r="AS31" i="26"/>
  <c r="AE31" i="26"/>
  <c r="Q31" i="26"/>
  <c r="BG30" i="26"/>
  <c r="AS30" i="26"/>
  <c r="AE30" i="26"/>
  <c r="Q30" i="26"/>
  <c r="BG29" i="26"/>
  <c r="AS29" i="26"/>
  <c r="AE29" i="26"/>
  <c r="Q29" i="26"/>
  <c r="R34" i="26" s="1"/>
  <c r="S34" i="26" s="1"/>
  <c r="BG28" i="26"/>
  <c r="AS28" i="26"/>
  <c r="AE28" i="26"/>
  <c r="Q28" i="26"/>
  <c r="BG27" i="26"/>
  <c r="AS27" i="26"/>
  <c r="AE27" i="26"/>
  <c r="Q27" i="26"/>
  <c r="BG26" i="26"/>
  <c r="AS26" i="26"/>
  <c r="AE26" i="26"/>
  <c r="Q26" i="26"/>
  <c r="BG25" i="26"/>
  <c r="AS25" i="26"/>
  <c r="AE25" i="26"/>
  <c r="Q25" i="26"/>
  <c r="BG24" i="26"/>
  <c r="AS24" i="26"/>
  <c r="AE24" i="26"/>
  <c r="Q24" i="26"/>
  <c r="C28" i="26"/>
  <c r="BG23" i="26"/>
  <c r="AS23" i="26"/>
  <c r="AE23" i="26"/>
  <c r="Q23" i="26"/>
  <c r="BG22" i="26"/>
  <c r="AS22" i="26"/>
  <c r="AE22" i="26"/>
  <c r="Q22" i="26"/>
  <c r="BG21" i="26"/>
  <c r="AS21" i="26"/>
  <c r="AE21" i="26"/>
  <c r="Q21" i="26"/>
  <c r="BG20" i="26"/>
  <c r="AS20" i="26"/>
  <c r="AE20" i="26"/>
  <c r="Q20" i="26"/>
  <c r="C24" i="26"/>
  <c r="BG19" i="26"/>
  <c r="AS19" i="26"/>
  <c r="AE19" i="26"/>
  <c r="Q19" i="26"/>
  <c r="C23" i="26"/>
  <c r="BG18" i="26"/>
  <c r="AS18" i="26"/>
  <c r="AT25" i="26" s="1"/>
  <c r="AF18" i="26"/>
  <c r="AH18" i="26" s="1"/>
  <c r="AE18" i="26"/>
  <c r="Q18" i="26"/>
  <c r="BG17" i="26"/>
  <c r="BH25" i="26" s="1"/>
  <c r="AS17" i="26"/>
  <c r="AE17" i="26"/>
  <c r="Q17" i="26"/>
  <c r="BG16" i="26"/>
  <c r="BH24" i="26" s="1"/>
  <c r="BJ24" i="26" s="1"/>
  <c r="AS16" i="26"/>
  <c r="AE16" i="26"/>
  <c r="Q16" i="26"/>
  <c r="C17" i="26"/>
  <c r="BG15" i="26"/>
  <c r="AS15" i="26"/>
  <c r="AE15" i="26"/>
  <c r="Q15" i="26"/>
  <c r="R20" i="26" s="1"/>
  <c r="T20" i="26" s="1"/>
  <c r="C15" i="26"/>
  <c r="BG14" i="26"/>
  <c r="AS14" i="26"/>
  <c r="AE14" i="26"/>
  <c r="AF20" i="26" s="1"/>
  <c r="Q14" i="26"/>
  <c r="BG13" i="26"/>
  <c r="AS13" i="26"/>
  <c r="AE13" i="26"/>
  <c r="AF19" i="26" s="1"/>
  <c r="Q13" i="26"/>
  <c r="BG12" i="26"/>
  <c r="AS12" i="26"/>
  <c r="AE12" i="26"/>
  <c r="Q12" i="26"/>
  <c r="C16" i="26"/>
  <c r="BG11" i="26"/>
  <c r="AS11" i="26"/>
  <c r="AE11" i="26"/>
  <c r="AF17" i="26" s="1"/>
  <c r="Q11" i="26"/>
  <c r="R16" i="26" s="1"/>
  <c r="T16" i="26" s="1"/>
  <c r="BG10" i="26"/>
  <c r="AS10" i="26"/>
  <c r="AE10" i="26"/>
  <c r="Q10" i="26"/>
  <c r="R15" i="26" s="1"/>
  <c r="C14" i="26"/>
  <c r="AS9" i="26"/>
  <c r="AT16" i="26" s="1"/>
  <c r="AV16" i="26" s="1"/>
  <c r="AE9" i="26"/>
  <c r="AF15" i="26" s="1"/>
  <c r="AG15" i="26" s="1"/>
  <c r="Q9" i="26"/>
  <c r="R14" i="26" s="1"/>
  <c r="S14" i="26" s="1"/>
  <c r="C13" i="26"/>
  <c r="AE8" i="26"/>
  <c r="Q8" i="26"/>
  <c r="R13" i="26" s="1"/>
  <c r="Q7" i="26"/>
  <c r="R12" i="26" s="1"/>
  <c r="BH162" i="26" l="1"/>
  <c r="BH169" i="26"/>
  <c r="BJ108" i="26"/>
  <c r="BH117" i="26"/>
  <c r="BH95" i="26"/>
  <c r="BJ95" i="26" s="1"/>
  <c r="BH92" i="26"/>
  <c r="BJ92" i="26" s="1"/>
  <c r="BH100" i="26"/>
  <c r="BJ100" i="26" s="1"/>
  <c r="BH108" i="26"/>
  <c r="BH119" i="26"/>
  <c r="BH102" i="26"/>
  <c r="BJ102" i="26" s="1"/>
  <c r="BH90" i="26"/>
  <c r="BH51" i="26"/>
  <c r="BJ51" i="26" s="1"/>
  <c r="BH27" i="26"/>
  <c r="BI27" i="26" s="1"/>
  <c r="BJ43" i="26"/>
  <c r="BH53" i="26"/>
  <c r="BI53" i="26" s="1"/>
  <c r="BK44" i="26"/>
  <c r="BL44" i="26" s="1"/>
  <c r="BM44" i="26" s="1"/>
  <c r="BI45" i="26"/>
  <c r="BK46" i="26" s="1"/>
  <c r="BL46" i="26" s="1"/>
  <c r="BM46" i="26" s="1"/>
  <c r="BH48" i="26"/>
  <c r="BI48" i="26" s="1"/>
  <c r="BH22" i="26"/>
  <c r="BJ22" i="26" s="1"/>
  <c r="BH19" i="26"/>
  <c r="BI19" i="26" s="1"/>
  <c r="BH42" i="26"/>
  <c r="BJ42" i="26" s="1"/>
  <c r="BH21" i="26"/>
  <c r="BI21" i="26" s="1"/>
  <c r="BJ27" i="26"/>
  <c r="BJ44" i="26"/>
  <c r="BH55" i="26"/>
  <c r="BJ55" i="26" s="1"/>
  <c r="BH23" i="26"/>
  <c r="BI23" i="26" s="1"/>
  <c r="BH28" i="26"/>
  <c r="BH30" i="26"/>
  <c r="BH37" i="26"/>
  <c r="BI37" i="26" s="1"/>
  <c r="BI47" i="26"/>
  <c r="BK48" i="26" s="1"/>
  <c r="BL48" i="26" s="1"/>
  <c r="BM48" i="26" s="1"/>
  <c r="AT196" i="26"/>
  <c r="AV196" i="26" s="1"/>
  <c r="AT236" i="26"/>
  <c r="AU236" i="26" s="1"/>
  <c r="AV195" i="26"/>
  <c r="AW196" i="26" s="1"/>
  <c r="AX196" i="26" s="1"/>
  <c r="AY196" i="26" s="1"/>
  <c r="AT194" i="26"/>
  <c r="AV194" i="26" s="1"/>
  <c r="AW195" i="26" s="1"/>
  <c r="AX195" i="26" s="1"/>
  <c r="AY195" i="26" s="1"/>
  <c r="AT211" i="26"/>
  <c r="AT166" i="26"/>
  <c r="AV166" i="26" s="1"/>
  <c r="AT163" i="26"/>
  <c r="AT184" i="26"/>
  <c r="AU184" i="26" s="1"/>
  <c r="AT160" i="26"/>
  <c r="AV160" i="26" s="1"/>
  <c r="AT88" i="26"/>
  <c r="AT101" i="26"/>
  <c r="AU101" i="26" s="1"/>
  <c r="AT98" i="26"/>
  <c r="AV98" i="26" s="1"/>
  <c r="AT97" i="26"/>
  <c r="AV97" i="26" s="1"/>
  <c r="AV104" i="26"/>
  <c r="AW105" i="26" s="1"/>
  <c r="AX105" i="26" s="1"/>
  <c r="AY105" i="26" s="1"/>
  <c r="AT89" i="26"/>
  <c r="AU89" i="26" s="1"/>
  <c r="AT105" i="26"/>
  <c r="AV105" i="26" s="1"/>
  <c r="AT41" i="26"/>
  <c r="AU41" i="26" s="1"/>
  <c r="AT34" i="26"/>
  <c r="AT19" i="26"/>
  <c r="AV19" i="26" s="1"/>
  <c r="AT17" i="26"/>
  <c r="AU17" i="26" s="1"/>
  <c r="AW18" i="26" s="1"/>
  <c r="AX18" i="26" s="1"/>
  <c r="AY18" i="26" s="1"/>
  <c r="AT31" i="26"/>
  <c r="AU31" i="26" s="1"/>
  <c r="AV25" i="26"/>
  <c r="AH235" i="26"/>
  <c r="AG235" i="26"/>
  <c r="AF232" i="26"/>
  <c r="AF193" i="26"/>
  <c r="AH193" i="26" s="1"/>
  <c r="AF210" i="26"/>
  <c r="AG210" i="26" s="1"/>
  <c r="AF221" i="26"/>
  <c r="AG221" i="26" s="1"/>
  <c r="AF228" i="26"/>
  <c r="AF212" i="26"/>
  <c r="AF219" i="26"/>
  <c r="AG219" i="26" s="1"/>
  <c r="AF222" i="26"/>
  <c r="AG222" i="26" s="1"/>
  <c r="AF223" i="26"/>
  <c r="AH223" i="26" s="1"/>
  <c r="AI224" i="26" s="1"/>
  <c r="AJ224" i="26" s="1"/>
  <c r="AK224" i="26" s="1"/>
  <c r="AG223" i="26"/>
  <c r="AF207" i="26"/>
  <c r="AG207" i="26" s="1"/>
  <c r="AF220" i="26"/>
  <c r="AH220" i="26" s="1"/>
  <c r="AF173" i="26"/>
  <c r="AG173" i="26" s="1"/>
  <c r="AF111" i="26"/>
  <c r="AF90" i="26"/>
  <c r="AH90" i="26" s="1"/>
  <c r="AF98" i="26"/>
  <c r="AG98" i="26" s="1"/>
  <c r="AF121" i="26"/>
  <c r="AH121" i="26" s="1"/>
  <c r="AF95" i="26"/>
  <c r="AH95" i="26" s="1"/>
  <c r="AF117" i="26"/>
  <c r="AG117" i="26" s="1"/>
  <c r="AF87" i="26"/>
  <c r="AF89" i="26"/>
  <c r="AG105" i="26"/>
  <c r="AI106" i="26" s="1"/>
  <c r="AJ106" i="26" s="1"/>
  <c r="AK106" i="26" s="1"/>
  <c r="AF94" i="26"/>
  <c r="AH94" i="26" s="1"/>
  <c r="AH98" i="26"/>
  <c r="AF97" i="26"/>
  <c r="AH97" i="26" s="1"/>
  <c r="AF100" i="26"/>
  <c r="AH100" i="26" s="1"/>
  <c r="AF120" i="26"/>
  <c r="AH120" i="26" s="1"/>
  <c r="AF91" i="26"/>
  <c r="AF46" i="26"/>
  <c r="AH53" i="26"/>
  <c r="AF16" i="26"/>
  <c r="AG16" i="26" s="1"/>
  <c r="AF39" i="26"/>
  <c r="AF41" i="26"/>
  <c r="AH41" i="26" s="1"/>
  <c r="AF14" i="26"/>
  <c r="AG14" i="26" s="1"/>
  <c r="AF60" i="26"/>
  <c r="AH60" i="26" s="1"/>
  <c r="U232" i="26"/>
  <c r="V232" i="26" s="1"/>
  <c r="W232" i="26" s="1"/>
  <c r="R197" i="26"/>
  <c r="S197" i="26" s="1"/>
  <c r="S206" i="26"/>
  <c r="R213" i="26"/>
  <c r="T213" i="26" s="1"/>
  <c r="R242" i="26"/>
  <c r="R196" i="26"/>
  <c r="T196" i="26" s="1"/>
  <c r="R244" i="26"/>
  <c r="R232" i="26"/>
  <c r="R190" i="26"/>
  <c r="T190" i="26" s="1"/>
  <c r="R217" i="26"/>
  <c r="S217" i="26" s="1"/>
  <c r="R205" i="26"/>
  <c r="S231" i="26"/>
  <c r="R181" i="26"/>
  <c r="R84" i="26"/>
  <c r="R122" i="26"/>
  <c r="R86" i="26"/>
  <c r="S86" i="26" s="1"/>
  <c r="R107" i="26"/>
  <c r="T107" i="26" s="1"/>
  <c r="R88" i="26"/>
  <c r="T88" i="26" s="1"/>
  <c r="R17" i="26"/>
  <c r="R53" i="26"/>
  <c r="R19" i="26"/>
  <c r="R24" i="26"/>
  <c r="T24" i="26" s="1"/>
  <c r="T13" i="26"/>
  <c r="R21" i="26"/>
  <c r="S21" i="26" s="1"/>
  <c r="U22" i="26" s="1"/>
  <c r="V22" i="26" s="1"/>
  <c r="W22" i="26" s="1"/>
  <c r="R26" i="26"/>
  <c r="T26" i="26" s="1"/>
  <c r="R30" i="26"/>
  <c r="T30" i="26" s="1"/>
  <c r="R28" i="26"/>
  <c r="T28" i="26" s="1"/>
  <c r="D235" i="26"/>
  <c r="D157" i="26"/>
  <c r="D155" i="26"/>
  <c r="D161" i="26"/>
  <c r="D101" i="26"/>
  <c r="D104" i="26"/>
  <c r="F104" i="26" s="1"/>
  <c r="D108" i="26"/>
  <c r="E108" i="26" s="1"/>
  <c r="D87" i="26"/>
  <c r="F87" i="26" s="1"/>
  <c r="D102" i="26"/>
  <c r="D121" i="26"/>
  <c r="E121" i="26" s="1"/>
  <c r="D91" i="26"/>
  <c r="F91" i="26" s="1"/>
  <c r="D85" i="26"/>
  <c r="D90" i="26"/>
  <c r="F90" i="26" s="1"/>
  <c r="C22" i="26"/>
  <c r="C25" i="26"/>
  <c r="C12" i="26"/>
  <c r="D16" i="26" s="1"/>
  <c r="C27" i="26"/>
  <c r="C6" i="26"/>
  <c r="C30" i="26"/>
  <c r="C7" i="26"/>
  <c r="C26" i="26"/>
  <c r="D26" i="26" s="1"/>
  <c r="E26" i="26" s="1"/>
  <c r="C21" i="26"/>
  <c r="BH18" i="26"/>
  <c r="BJ18" i="26" s="1"/>
  <c r="S19" i="26"/>
  <c r="T19" i="26"/>
  <c r="T21" i="26"/>
  <c r="T18" i="26"/>
  <c r="R23" i="26"/>
  <c r="C10" i="26"/>
  <c r="C11" i="26"/>
  <c r="AF24" i="26"/>
  <c r="S20" i="26"/>
  <c r="U21" i="26" s="1"/>
  <c r="V21" i="26" s="1"/>
  <c r="W21" i="26" s="1"/>
  <c r="AW40" i="26"/>
  <c r="AX40" i="26" s="1"/>
  <c r="AY40" i="26" s="1"/>
  <c r="T17" i="26"/>
  <c r="S17" i="26"/>
  <c r="AF21" i="26"/>
  <c r="AH21" i="26" s="1"/>
  <c r="AH20" i="26"/>
  <c r="BJ21" i="26"/>
  <c r="BK22" i="26" s="1"/>
  <c r="BL22" i="26" s="1"/>
  <c r="BM22" i="26" s="1"/>
  <c r="D17" i="26"/>
  <c r="E17" i="26" s="1"/>
  <c r="R22" i="26"/>
  <c r="T22" i="26" s="1"/>
  <c r="C8" i="26"/>
  <c r="AT20" i="26"/>
  <c r="AU16" i="26"/>
  <c r="AW17" i="26" s="1"/>
  <c r="AX17" i="26" s="1"/>
  <c r="AY17" i="26" s="1"/>
  <c r="AF23" i="26"/>
  <c r="AH23" i="26" s="1"/>
  <c r="AV20" i="26"/>
  <c r="AH19" i="26"/>
  <c r="AG19" i="26"/>
  <c r="AI20" i="26" s="1"/>
  <c r="AJ20" i="26" s="1"/>
  <c r="AK20" i="26" s="1"/>
  <c r="AF25" i="26"/>
  <c r="AG25" i="26" s="1"/>
  <c r="AG17" i="26"/>
  <c r="AH17" i="26"/>
  <c r="AV17" i="26"/>
  <c r="AT24" i="26"/>
  <c r="AU24" i="26" s="1"/>
  <c r="AT22" i="26"/>
  <c r="AV22" i="26" s="1"/>
  <c r="AT23" i="26"/>
  <c r="AV23" i="26" s="1"/>
  <c r="AT21" i="26"/>
  <c r="AV21" i="26" s="1"/>
  <c r="AF22" i="26"/>
  <c r="AH22" i="26" s="1"/>
  <c r="C9" i="26"/>
  <c r="AT18" i="26"/>
  <c r="AU18" i="26" s="1"/>
  <c r="C18" i="26"/>
  <c r="C19" i="26"/>
  <c r="C20" i="26"/>
  <c r="BI25" i="26"/>
  <c r="BJ25" i="26"/>
  <c r="AF27" i="26"/>
  <c r="AH27" i="26" s="1"/>
  <c r="S28" i="26"/>
  <c r="U29" i="26" s="1"/>
  <c r="V29" i="26" s="1"/>
  <c r="W29" i="26" s="1"/>
  <c r="BH32" i="26"/>
  <c r="BI32" i="26" s="1"/>
  <c r="AH40" i="26"/>
  <c r="AG40" i="26"/>
  <c r="BH36" i="26"/>
  <c r="BJ37" i="26"/>
  <c r="BK38" i="26" s="1"/>
  <c r="BL38" i="26" s="1"/>
  <c r="BM38" i="26" s="1"/>
  <c r="AG39" i="26"/>
  <c r="AT47" i="26"/>
  <c r="AU47" i="26" s="1"/>
  <c r="AV49" i="26"/>
  <c r="AW50" i="26" s="1"/>
  <c r="AX50" i="26" s="1"/>
  <c r="AY50" i="26" s="1"/>
  <c r="AV95" i="26"/>
  <c r="AU95" i="26"/>
  <c r="AW96" i="26" s="1"/>
  <c r="AX96" i="26" s="1"/>
  <c r="AY96" i="26" s="1"/>
  <c r="BJ98" i="26"/>
  <c r="BI98" i="26"/>
  <c r="BK99" i="26" s="1"/>
  <c r="BL99" i="26" s="1"/>
  <c r="BM99" i="26" s="1"/>
  <c r="S13" i="26"/>
  <c r="T14" i="26"/>
  <c r="U15" i="26" s="1"/>
  <c r="V15" i="26" s="1"/>
  <c r="W15" i="26" s="1"/>
  <c r="S15" i="26"/>
  <c r="AH15" i="26"/>
  <c r="AI16" i="26" s="1"/>
  <c r="AJ16" i="26" s="1"/>
  <c r="AK16" i="26" s="1"/>
  <c r="S16" i="26"/>
  <c r="U17" i="26" s="1"/>
  <c r="V17" i="26" s="1"/>
  <c r="W17" i="26" s="1"/>
  <c r="R18" i="26"/>
  <c r="S18" i="26" s="1"/>
  <c r="AG18" i="26"/>
  <c r="AI19" i="26" s="1"/>
  <c r="AJ19" i="26" s="1"/>
  <c r="AK19" i="26" s="1"/>
  <c r="AU21" i="26"/>
  <c r="C29" i="26"/>
  <c r="AU25" i="26"/>
  <c r="AW26" i="26" s="1"/>
  <c r="AX26" i="26" s="1"/>
  <c r="AY26" i="26" s="1"/>
  <c r="AU28" i="26"/>
  <c r="AW29" i="26" s="1"/>
  <c r="AX29" i="26" s="1"/>
  <c r="AY29" i="26" s="1"/>
  <c r="C33" i="26"/>
  <c r="AF29" i="26"/>
  <c r="AG29" i="26" s="1"/>
  <c r="BH39" i="26"/>
  <c r="C38" i="26"/>
  <c r="C39" i="26"/>
  <c r="AT42" i="26"/>
  <c r="AF42" i="26"/>
  <c r="AH37" i="26"/>
  <c r="BH38" i="26"/>
  <c r="BJ38" i="26" s="1"/>
  <c r="AG41" i="26"/>
  <c r="AI42" i="26" s="1"/>
  <c r="AJ42" i="26" s="1"/>
  <c r="AK42" i="26" s="1"/>
  <c r="BI41" i="26"/>
  <c r="BK42" i="26" s="1"/>
  <c r="BL42" i="26" s="1"/>
  <c r="BM42" i="26" s="1"/>
  <c r="R49" i="26"/>
  <c r="S49" i="26" s="1"/>
  <c r="R50" i="26"/>
  <c r="C55" i="26"/>
  <c r="C54" i="26"/>
  <c r="BH93" i="26"/>
  <c r="BI93" i="26" s="1"/>
  <c r="R48" i="26"/>
  <c r="C52" i="26"/>
  <c r="C53" i="26"/>
  <c r="AV103" i="26"/>
  <c r="AU103" i="26"/>
  <c r="T15" i="26"/>
  <c r="AG23" i="26"/>
  <c r="R25" i="26"/>
  <c r="BH26" i="26"/>
  <c r="BJ26" i="26" s="1"/>
  <c r="C35" i="26"/>
  <c r="AF31" i="26"/>
  <c r="AH31" i="26" s="1"/>
  <c r="S32" i="26"/>
  <c r="U33" i="26" s="1"/>
  <c r="V33" i="26" s="1"/>
  <c r="W33" i="26" s="1"/>
  <c r="AT35" i="26"/>
  <c r="AU35" i="26" s="1"/>
  <c r="C40" i="26"/>
  <c r="C41" i="26"/>
  <c r="AT44" i="26"/>
  <c r="AV44" i="26" s="1"/>
  <c r="AH39" i="26"/>
  <c r="BH40" i="26"/>
  <c r="BJ40" i="26" s="1"/>
  <c r="R51" i="26"/>
  <c r="S51" i="26" s="1"/>
  <c r="R52" i="26"/>
  <c r="T47" i="26"/>
  <c r="U48" i="26" s="1"/>
  <c r="V48" i="26" s="1"/>
  <c r="W48" i="26" s="1"/>
  <c r="AT55" i="26"/>
  <c r="AV55" i="26" s="1"/>
  <c r="AT51" i="26"/>
  <c r="AU51" i="26" s="1"/>
  <c r="AV53" i="26"/>
  <c r="BH91" i="26"/>
  <c r="BJ91" i="26" s="1"/>
  <c r="BH106" i="26"/>
  <c r="C36" i="26"/>
  <c r="C37" i="26"/>
  <c r="R60" i="26"/>
  <c r="S60" i="26" s="1"/>
  <c r="AH212" i="26"/>
  <c r="AG212" i="26"/>
  <c r="AF28" i="26"/>
  <c r="BI22" i="26"/>
  <c r="BK23" i="26" s="1"/>
  <c r="BL23" i="26" s="1"/>
  <c r="BM23" i="26" s="1"/>
  <c r="AF30" i="26"/>
  <c r="AG30" i="26" s="1"/>
  <c r="BI24" i="26"/>
  <c r="BK25" i="26" s="1"/>
  <c r="BL25" i="26" s="1"/>
  <c r="BM25" i="26" s="1"/>
  <c r="AF32" i="26"/>
  <c r="AG32" i="26" s="1"/>
  <c r="AT26" i="26"/>
  <c r="AV26" i="26" s="1"/>
  <c r="AT27" i="26"/>
  <c r="AU27" i="26" s="1"/>
  <c r="AT36" i="26"/>
  <c r="AU36" i="26" s="1"/>
  <c r="U35" i="26"/>
  <c r="V35" i="26" s="1"/>
  <c r="W35" i="26" s="1"/>
  <c r="R40" i="26"/>
  <c r="C44" i="26"/>
  <c r="C45" i="26"/>
  <c r="AT48" i="26"/>
  <c r="AV48" i="26" s="1"/>
  <c r="AF48" i="26"/>
  <c r="AF45" i="26"/>
  <c r="AH45" i="26" s="1"/>
  <c r="AG47" i="26"/>
  <c r="R56" i="26"/>
  <c r="S56" i="26" s="1"/>
  <c r="AT59" i="26"/>
  <c r="AU59" i="26" s="1"/>
  <c r="F110" i="26"/>
  <c r="E110" i="26"/>
  <c r="AF33" i="26"/>
  <c r="AH33" i="26" s="1"/>
  <c r="AH46" i="26"/>
  <c r="AG46" i="26"/>
  <c r="R54" i="26"/>
  <c r="BI95" i="26"/>
  <c r="BK96" i="26" s="1"/>
  <c r="BL96" i="26" s="1"/>
  <c r="BM96" i="26" s="1"/>
  <c r="S12" i="26"/>
  <c r="AU20" i="26"/>
  <c r="R27" i="26"/>
  <c r="T27" i="26" s="1"/>
  <c r="R29" i="26"/>
  <c r="S29" i="26" s="1"/>
  <c r="R31" i="26"/>
  <c r="S31" i="26" s="1"/>
  <c r="AF26" i="26"/>
  <c r="AF34" i="26"/>
  <c r="BJ28" i="26"/>
  <c r="T29" i="26"/>
  <c r="AT29" i="26"/>
  <c r="AU29" i="26" s="1"/>
  <c r="AT38" i="26"/>
  <c r="AU38" i="26" s="1"/>
  <c r="T34" i="26"/>
  <c r="S36" i="26"/>
  <c r="U37" i="26" s="1"/>
  <c r="V37" i="26" s="1"/>
  <c r="W37" i="26" s="1"/>
  <c r="R42" i="26"/>
  <c r="C46" i="26"/>
  <c r="C47" i="26"/>
  <c r="AT50" i="26"/>
  <c r="AU50" i="26" s="1"/>
  <c r="AF50" i="26"/>
  <c r="AF55" i="26"/>
  <c r="AH55" i="26" s="1"/>
  <c r="AG49" i="26"/>
  <c r="BI49" i="26"/>
  <c r="BK50" i="26" s="1"/>
  <c r="BL50" i="26" s="1"/>
  <c r="BM50" i="26" s="1"/>
  <c r="R58" i="26"/>
  <c r="S58" i="26" s="1"/>
  <c r="T53" i="26"/>
  <c r="AT61" i="26"/>
  <c r="AU61" i="26" s="1"/>
  <c r="R61" i="26"/>
  <c r="T61" i="26" s="1"/>
  <c r="T56" i="26"/>
  <c r="AH89" i="26"/>
  <c r="AG89" i="26"/>
  <c r="BH97" i="26"/>
  <c r="BJ97" i="26" s="1"/>
  <c r="AG100" i="26"/>
  <c r="AV34" i="26"/>
  <c r="AU34" i="26"/>
  <c r="C42" i="26"/>
  <c r="C43" i="26"/>
  <c r="AT57" i="26"/>
  <c r="AU57" i="26" s="1"/>
  <c r="T12" i="26"/>
  <c r="AG20" i="26"/>
  <c r="AI21" i="26" s="1"/>
  <c r="AJ21" i="26" s="1"/>
  <c r="AK21" i="26" s="1"/>
  <c r="BH29" i="26"/>
  <c r="BI29" i="26" s="1"/>
  <c r="AG22" i="26"/>
  <c r="BH31" i="26"/>
  <c r="AG24" i="26"/>
  <c r="BH33" i="26"/>
  <c r="AG26" i="26"/>
  <c r="C31" i="26"/>
  <c r="BJ30" i="26"/>
  <c r="R36" i="26"/>
  <c r="T36" i="26" s="1"/>
  <c r="C32" i="26"/>
  <c r="AT40" i="26"/>
  <c r="AV40" i="26" s="1"/>
  <c r="R44" i="26"/>
  <c r="T39" i="26"/>
  <c r="U40" i="26" s="1"/>
  <c r="V40" i="26" s="1"/>
  <c r="W40" i="26" s="1"/>
  <c r="AU40" i="26"/>
  <c r="AT43" i="26"/>
  <c r="AU43" i="26" s="1"/>
  <c r="C48" i="26"/>
  <c r="C49" i="26"/>
  <c r="AT52" i="26"/>
  <c r="AV52" i="26" s="1"/>
  <c r="AF52" i="26"/>
  <c r="AH47" i="26"/>
  <c r="AF49" i="26"/>
  <c r="AG51" i="26"/>
  <c r="AI52" i="26" s="1"/>
  <c r="AJ52" i="26" s="1"/>
  <c r="AK52" i="26" s="1"/>
  <c r="BI51" i="26"/>
  <c r="BK52" i="26" s="1"/>
  <c r="BL52" i="26" s="1"/>
  <c r="BM52" i="26" s="1"/>
  <c r="S53" i="26"/>
  <c r="D84" i="26"/>
  <c r="F84" i="26" s="1"/>
  <c r="D83" i="26"/>
  <c r="E83" i="26" s="1"/>
  <c r="S88" i="26"/>
  <c r="U89" i="26" s="1"/>
  <c r="V89" i="26" s="1"/>
  <c r="W89" i="26" s="1"/>
  <c r="R99" i="26"/>
  <c r="T99" i="26" s="1"/>
  <c r="R97" i="26"/>
  <c r="R98" i="26"/>
  <c r="T98" i="26" s="1"/>
  <c r="AH92" i="26"/>
  <c r="AG92" i="26"/>
  <c r="T105" i="26"/>
  <c r="S105" i="26"/>
  <c r="AH108" i="26"/>
  <c r="AG108" i="26"/>
  <c r="BH20" i="26"/>
  <c r="AT37" i="26"/>
  <c r="AU37" i="26" s="1"/>
  <c r="AT46" i="26"/>
  <c r="AU46" i="26" s="1"/>
  <c r="AF43" i="26"/>
  <c r="AH43" i="26" s="1"/>
  <c r="AT53" i="26"/>
  <c r="AU53" i="26" s="1"/>
  <c r="AT28" i="26"/>
  <c r="AV28" i="26" s="1"/>
  <c r="AT30" i="26"/>
  <c r="AV30" i="26" s="1"/>
  <c r="AH24" i="26"/>
  <c r="AT32" i="26"/>
  <c r="AU32" i="26" s="1"/>
  <c r="S26" i="26"/>
  <c r="U27" i="26" s="1"/>
  <c r="V27" i="26" s="1"/>
  <c r="W27" i="26" s="1"/>
  <c r="AH26" i="26"/>
  <c r="AG27" i="26"/>
  <c r="BH35" i="26"/>
  <c r="R38" i="26"/>
  <c r="T38" i="26" s="1"/>
  <c r="T33" i="26"/>
  <c r="AT33" i="26"/>
  <c r="AU33" i="26" s="1"/>
  <c r="C34" i="26"/>
  <c r="BH34" i="26"/>
  <c r="BJ34" i="26" s="1"/>
  <c r="AF35" i="26"/>
  <c r="AH35" i="26" s="1"/>
  <c r="BJ36" i="26"/>
  <c r="AG37" i="26"/>
  <c r="R45" i="26"/>
  <c r="S45" i="26" s="1"/>
  <c r="R46" i="26"/>
  <c r="AV42" i="26"/>
  <c r="AU42" i="26"/>
  <c r="AT45" i="26"/>
  <c r="AU45" i="26" s="1"/>
  <c r="C50" i="26"/>
  <c r="C51" i="26"/>
  <c r="AT54" i="26"/>
  <c r="AV54" i="26" s="1"/>
  <c r="AF54" i="26"/>
  <c r="AH49" i="26"/>
  <c r="AF51" i="26"/>
  <c r="AH51" i="26" s="1"/>
  <c r="AF59" i="26"/>
  <c r="AG59" i="26" s="1"/>
  <c r="AI60" i="26" s="1"/>
  <c r="AJ60" i="26" s="1"/>
  <c r="AK60" i="26" s="1"/>
  <c r="AG53" i="26"/>
  <c r="AI54" i="26" s="1"/>
  <c r="AJ54" i="26" s="1"/>
  <c r="AK54" i="26" s="1"/>
  <c r="AF56" i="26"/>
  <c r="AI99" i="26"/>
  <c r="AJ99" i="26" s="1"/>
  <c r="AK99" i="26" s="1"/>
  <c r="F102" i="26"/>
  <c r="E102" i="26"/>
  <c r="D106" i="26"/>
  <c r="D105" i="26"/>
  <c r="F105" i="26" s="1"/>
  <c r="AU97" i="26"/>
  <c r="AW98" i="26" s="1"/>
  <c r="AX98" i="26" s="1"/>
  <c r="AY98" i="26" s="1"/>
  <c r="R110" i="26"/>
  <c r="AF114" i="26"/>
  <c r="E104" i="26"/>
  <c r="G105" i="26" s="1"/>
  <c r="H105" i="26" s="1"/>
  <c r="I105" i="26" s="1"/>
  <c r="AT118" i="26"/>
  <c r="BH122" i="26"/>
  <c r="BJ122" i="26" s="1"/>
  <c r="F120" i="26"/>
  <c r="E120" i="26"/>
  <c r="G121" i="26" s="1"/>
  <c r="H121" i="26" s="1"/>
  <c r="I121" i="26" s="1"/>
  <c r="AV27" i="26"/>
  <c r="R33" i="26"/>
  <c r="S33" i="26" s="1"/>
  <c r="R35" i="26"/>
  <c r="T35" i="26" s="1"/>
  <c r="AV35" i="26"/>
  <c r="R37" i="26"/>
  <c r="S37" i="26" s="1"/>
  <c r="AV37" i="26"/>
  <c r="AV39" i="26"/>
  <c r="R41" i="26"/>
  <c r="S41" i="26" s="1"/>
  <c r="AV41" i="26"/>
  <c r="AW42" i="26" s="1"/>
  <c r="AX42" i="26" s="1"/>
  <c r="AY42" i="26" s="1"/>
  <c r="R43" i="26"/>
  <c r="S43" i="26" s="1"/>
  <c r="BH54" i="26"/>
  <c r="BJ54" i="26" s="1"/>
  <c r="AV47" i="26"/>
  <c r="BH56" i="26"/>
  <c r="BJ56" i="26" s="1"/>
  <c r="BH58" i="26"/>
  <c r="BJ58" i="26" s="1"/>
  <c r="BH60" i="26"/>
  <c r="AH57" i="26"/>
  <c r="T59" i="26"/>
  <c r="BI61" i="26"/>
  <c r="AT91" i="26"/>
  <c r="R91" i="26"/>
  <c r="T91" i="26" s="1"/>
  <c r="AT94" i="26"/>
  <c r="BH96" i="26"/>
  <c r="BI96" i="26" s="1"/>
  <c r="F85" i="26"/>
  <c r="E85" i="26"/>
  <c r="D96" i="26"/>
  <c r="F96" i="26" s="1"/>
  <c r="E87" i="26"/>
  <c r="AT99" i="26"/>
  <c r="AG88" i="26"/>
  <c r="AI89" i="26" s="1"/>
  <c r="AJ89" i="26" s="1"/>
  <c r="AK89" i="26" s="1"/>
  <c r="D99" i="26"/>
  <c r="AT102" i="26"/>
  <c r="AV102" i="26" s="1"/>
  <c r="AU90" i="26"/>
  <c r="R103" i="26"/>
  <c r="S103" i="26" s="1"/>
  <c r="AH96" i="26"/>
  <c r="AF107" i="26"/>
  <c r="AH107" i="26" s="1"/>
  <c r="AG96" i="26"/>
  <c r="AT111" i="26"/>
  <c r="AV111" i="26" s="1"/>
  <c r="AV99" i="26"/>
  <c r="AU99" i="26"/>
  <c r="BH115" i="26"/>
  <c r="BI115" i="26" s="1"/>
  <c r="D115" i="26"/>
  <c r="F115" i="26" s="1"/>
  <c r="F106" i="26"/>
  <c r="E106" i="26"/>
  <c r="R119" i="26"/>
  <c r="T119" i="26" s="1"/>
  <c r="D113" i="26"/>
  <c r="F113" i="26" s="1"/>
  <c r="AF161" i="26"/>
  <c r="BI28" i="26"/>
  <c r="BI30" i="26"/>
  <c r="BI34" i="26"/>
  <c r="BI36" i="26"/>
  <c r="BK37" i="26" s="1"/>
  <c r="BL37" i="26" s="1"/>
  <c r="BM37" i="26" s="1"/>
  <c r="BI40" i="26"/>
  <c r="BI44" i="26"/>
  <c r="BI46" i="26"/>
  <c r="BI50" i="26"/>
  <c r="AF58" i="26"/>
  <c r="BI52" i="26"/>
  <c r="BK53" i="26" s="1"/>
  <c r="BL53" i="26" s="1"/>
  <c r="BM53" i="26" s="1"/>
  <c r="BI55" i="26"/>
  <c r="BK56" i="26" s="1"/>
  <c r="BL56" i="26" s="1"/>
  <c r="BM56" i="26" s="1"/>
  <c r="C61" i="26"/>
  <c r="AH59" i="26"/>
  <c r="D89" i="26"/>
  <c r="E89" i="26" s="1"/>
  <c r="AT93" i="26"/>
  <c r="AU93" i="26" s="1"/>
  <c r="F83" i="26"/>
  <c r="T85" i="26"/>
  <c r="T86" i="26"/>
  <c r="R96" i="26"/>
  <c r="T96" i="26" s="1"/>
  <c r="T87" i="26"/>
  <c r="BH103" i="26"/>
  <c r="AH91" i="26"/>
  <c r="AH93" i="26"/>
  <c r="D94" i="26"/>
  <c r="AV94" i="26"/>
  <c r="AT108" i="26"/>
  <c r="F101" i="26"/>
  <c r="D112" i="26"/>
  <c r="E112" i="26" s="1"/>
  <c r="AF36" i="26"/>
  <c r="AF38" i="26"/>
  <c r="AG38" i="26" s="1"/>
  <c r="AF44" i="26"/>
  <c r="BJ46" i="26"/>
  <c r="R55" i="26"/>
  <c r="S55" i="26" s="1"/>
  <c r="BJ50" i="26"/>
  <c r="R57" i="26"/>
  <c r="T57" i="26" s="1"/>
  <c r="BJ52" i="26"/>
  <c r="R59" i="26"/>
  <c r="S59" i="26" s="1"/>
  <c r="C59" i="26"/>
  <c r="D60" i="26" s="1"/>
  <c r="T58" i="26"/>
  <c r="AH61" i="26"/>
  <c r="D86" i="26"/>
  <c r="F86" i="26" s="1"/>
  <c r="AT90" i="26"/>
  <c r="AV90" i="26" s="1"/>
  <c r="R90" i="26"/>
  <c r="T90" i="26" s="1"/>
  <c r="BH94" i="26"/>
  <c r="BJ94" i="26" s="1"/>
  <c r="U88" i="26"/>
  <c r="V88" i="26" s="1"/>
  <c r="W88" i="26" s="1"/>
  <c r="D88" i="26"/>
  <c r="AT100" i="26"/>
  <c r="R102" i="26"/>
  <c r="BI92" i="26"/>
  <c r="BK93" i="26" s="1"/>
  <c r="BL93" i="26" s="1"/>
  <c r="BM93" i="26" s="1"/>
  <c r="AF93" i="26"/>
  <c r="AF106" i="26"/>
  <c r="AG106" i="26" s="1"/>
  <c r="AG95" i="26"/>
  <c r="AT96" i="26"/>
  <c r="AV96" i="26" s="1"/>
  <c r="AT110" i="26"/>
  <c r="AV110" i="26" s="1"/>
  <c r="BH114" i="26"/>
  <c r="D103" i="26"/>
  <c r="E103" i="26" s="1"/>
  <c r="D114" i="26"/>
  <c r="F114" i="26" s="1"/>
  <c r="E105" i="26"/>
  <c r="G106" i="26" s="1"/>
  <c r="H106" i="26" s="1"/>
  <c r="I106" i="26" s="1"/>
  <c r="R106" i="26"/>
  <c r="S106" i="26" s="1"/>
  <c r="AF109" i="26"/>
  <c r="AG109" i="26" s="1"/>
  <c r="AT123" i="26"/>
  <c r="AU123" i="26" s="1"/>
  <c r="D178" i="26"/>
  <c r="AF181" i="26"/>
  <c r="AG181" i="26" s="1"/>
  <c r="BH59" i="26"/>
  <c r="BI59" i="26" s="1"/>
  <c r="BH61" i="26"/>
  <c r="BJ61" i="26" s="1"/>
  <c r="BI58" i="26"/>
  <c r="BK59" i="26" s="1"/>
  <c r="BL59" i="26" s="1"/>
  <c r="BM59" i="26" s="1"/>
  <c r="T60" i="26"/>
  <c r="R94" i="26"/>
  <c r="BH101" i="26"/>
  <c r="BJ101" i="26" s="1"/>
  <c r="D100" i="26"/>
  <c r="E100" i="26" s="1"/>
  <c r="AV91" i="26"/>
  <c r="AU91" i="26"/>
  <c r="R104" i="26"/>
  <c r="D107" i="26"/>
  <c r="R111" i="26"/>
  <c r="T111" i="26" s="1"/>
  <c r="BH116" i="26"/>
  <c r="AF115" i="26"/>
  <c r="AT119" i="26"/>
  <c r="AU119" i="26" s="1"/>
  <c r="AV107" i="26"/>
  <c r="AT56" i="26"/>
  <c r="AT58" i="26"/>
  <c r="AT60" i="26"/>
  <c r="AV60" i="26" s="1"/>
  <c r="BI57" i="26"/>
  <c r="BK58" i="26" s="1"/>
  <c r="BL58" i="26" s="1"/>
  <c r="BM58" i="26" s="1"/>
  <c r="AV59" i="26"/>
  <c r="BJ60" i="26"/>
  <c r="AT92" i="26"/>
  <c r="R93" i="26"/>
  <c r="S93" i="26" s="1"/>
  <c r="AF86" i="26"/>
  <c r="AH86" i="26" s="1"/>
  <c r="D98" i="26"/>
  <c r="F98" i="26" s="1"/>
  <c r="E91" i="26"/>
  <c r="G92" i="26" s="1"/>
  <c r="H92" i="26" s="1"/>
  <c r="I92" i="26" s="1"/>
  <c r="AF103" i="26"/>
  <c r="AG103" i="26" s="1"/>
  <c r="AT107" i="26"/>
  <c r="AU107" i="26" s="1"/>
  <c r="BJ96" i="26"/>
  <c r="AG97" i="26"/>
  <c r="AI98" i="26" s="1"/>
  <c r="AJ98" i="26" s="1"/>
  <c r="AK98" i="26" s="1"/>
  <c r="R115" i="26"/>
  <c r="AV109" i="26"/>
  <c r="BH111" i="26"/>
  <c r="BJ111" i="26" s="1"/>
  <c r="AT113" i="26"/>
  <c r="R89" i="26"/>
  <c r="T89" i="26" s="1"/>
  <c r="R92" i="26"/>
  <c r="T92" i="26" s="1"/>
  <c r="D97" i="26"/>
  <c r="F97" i="26" s="1"/>
  <c r="R100" i="26"/>
  <c r="S100" i="26" s="1"/>
  <c r="R113" i="26"/>
  <c r="S113" i="26" s="1"/>
  <c r="AT106" i="26"/>
  <c r="AV106" i="26" s="1"/>
  <c r="D117" i="26"/>
  <c r="R108" i="26"/>
  <c r="T108" i="26" s="1"/>
  <c r="BH109" i="26"/>
  <c r="BI109" i="26" s="1"/>
  <c r="AT116" i="26"/>
  <c r="AU116" i="26" s="1"/>
  <c r="F157" i="26"/>
  <c r="E157" i="26"/>
  <c r="AF162" i="26"/>
  <c r="AH162" i="26" s="1"/>
  <c r="AF170" i="26"/>
  <c r="R172" i="26"/>
  <c r="T172" i="26" s="1"/>
  <c r="AT182" i="26"/>
  <c r="AU182" i="26" s="1"/>
  <c r="AU169" i="26"/>
  <c r="D92" i="26"/>
  <c r="E92" i="26" s="1"/>
  <c r="R95" i="26"/>
  <c r="S95" i="26" s="1"/>
  <c r="BH112" i="26"/>
  <c r="BJ112" i="26" s="1"/>
  <c r="AF112" i="26"/>
  <c r="AH112" i="26" s="1"/>
  <c r="BH104" i="26"/>
  <c r="BI104" i="26" s="1"/>
  <c r="BH120" i="26"/>
  <c r="AT109" i="26"/>
  <c r="AU109" i="26" s="1"/>
  <c r="BH110" i="26"/>
  <c r="BJ110" i="26" s="1"/>
  <c r="R121" i="26"/>
  <c r="S121" i="26" s="1"/>
  <c r="BI111" i="26"/>
  <c r="BK112" i="26" s="1"/>
  <c r="BL112" i="26" s="1"/>
  <c r="BM112" i="26" s="1"/>
  <c r="R123" i="26"/>
  <c r="T123" i="26" s="1"/>
  <c r="T113" i="26"/>
  <c r="AT114" i="26"/>
  <c r="AU114" i="26" s="1"/>
  <c r="S118" i="26"/>
  <c r="U119" i="26" s="1"/>
  <c r="V119" i="26" s="1"/>
  <c r="W119" i="26" s="1"/>
  <c r="AT121" i="26"/>
  <c r="R158" i="26"/>
  <c r="AV163" i="26"/>
  <c r="AU163" i="26"/>
  <c r="R163" i="26"/>
  <c r="D167" i="26"/>
  <c r="E167" i="26" s="1"/>
  <c r="AT171" i="26"/>
  <c r="AV171" i="26" s="1"/>
  <c r="AF176" i="26"/>
  <c r="BH181" i="26"/>
  <c r="BJ181" i="26" s="1"/>
  <c r="AG57" i="26"/>
  <c r="AG61" i="26"/>
  <c r="E82" i="26"/>
  <c r="S85" i="26"/>
  <c r="BI90" i="26"/>
  <c r="F92" i="26"/>
  <c r="AG93" i="26"/>
  <c r="E95" i="26"/>
  <c r="S98" i="26"/>
  <c r="R101" i="26"/>
  <c r="T101" i="26" s="1"/>
  <c r="R114" i="26"/>
  <c r="S114" i="26" s="1"/>
  <c r="AF104" i="26"/>
  <c r="AG104" i="26" s="1"/>
  <c r="BH118" i="26"/>
  <c r="BJ118" i="26" s="1"/>
  <c r="D118" i="26"/>
  <c r="E118" i="26" s="1"/>
  <c r="R109" i="26"/>
  <c r="T109" i="26" s="1"/>
  <c r="AT122" i="26"/>
  <c r="AV122" i="26" s="1"/>
  <c r="AG113" i="26"/>
  <c r="BJ114" i="26"/>
  <c r="R116" i="26"/>
  <c r="T116" i="26" s="1"/>
  <c r="BI119" i="26"/>
  <c r="BK120" i="26" s="1"/>
  <c r="BL120" i="26" s="1"/>
  <c r="BM120" i="26" s="1"/>
  <c r="T122" i="26"/>
  <c r="S122" i="26"/>
  <c r="U123" i="26" s="1"/>
  <c r="V123" i="26" s="1"/>
  <c r="W123" i="26" s="1"/>
  <c r="AT165" i="26"/>
  <c r="AV165" i="26" s="1"/>
  <c r="R165" i="26"/>
  <c r="AF169" i="26"/>
  <c r="AG169" i="26" s="1"/>
  <c r="D169" i="26"/>
  <c r="F169" i="26" s="1"/>
  <c r="F155" i="26"/>
  <c r="E155" i="26"/>
  <c r="BH176" i="26"/>
  <c r="AT179" i="26"/>
  <c r="F82" i="26"/>
  <c r="BJ90" i="26"/>
  <c r="D93" i="26"/>
  <c r="F93" i="26" s="1"/>
  <c r="F95" i="26"/>
  <c r="AF99" i="26"/>
  <c r="AH99" i="26" s="1"/>
  <c r="BJ99" i="26"/>
  <c r="BK100" i="26" s="1"/>
  <c r="BL100" i="26" s="1"/>
  <c r="BM100" i="26" s="1"/>
  <c r="BH113" i="26"/>
  <c r="AH101" i="26"/>
  <c r="AI102" i="26" s="1"/>
  <c r="AJ102" i="26" s="1"/>
  <c r="AK102" i="26" s="1"/>
  <c r="F103" i="26"/>
  <c r="AT117" i="26"/>
  <c r="AU117" i="26" s="1"/>
  <c r="BH105" i="26"/>
  <c r="BJ105" i="26" s="1"/>
  <c r="R117" i="26"/>
  <c r="T117" i="26" s="1"/>
  <c r="BJ107" i="26"/>
  <c r="BK108" i="26" s="1"/>
  <c r="BL108" i="26" s="1"/>
  <c r="BM108" i="26" s="1"/>
  <c r="BH121" i="26"/>
  <c r="AH109" i="26"/>
  <c r="AH111" i="26"/>
  <c r="AF123" i="26"/>
  <c r="AG123" i="26" s="1"/>
  <c r="AF113" i="26"/>
  <c r="BI114" i="26"/>
  <c r="BK115" i="26" s="1"/>
  <c r="BL115" i="26" s="1"/>
  <c r="BM115" i="26" s="1"/>
  <c r="BJ115" i="26"/>
  <c r="BJ117" i="26"/>
  <c r="BI118" i="26"/>
  <c r="BK119" i="26" s="1"/>
  <c r="BL119" i="26" s="1"/>
  <c r="BM119" i="26" s="1"/>
  <c r="AF164" i="26"/>
  <c r="AG164" i="26" s="1"/>
  <c r="D164" i="26"/>
  <c r="F164" i="26" s="1"/>
  <c r="AT168" i="26"/>
  <c r="AU168" i="26" s="1"/>
  <c r="AF172" i="26"/>
  <c r="AH172" i="26" s="1"/>
  <c r="D174" i="26"/>
  <c r="F174" i="26" s="1"/>
  <c r="BH178" i="26"/>
  <c r="BJ178" i="26" s="1"/>
  <c r="BK179" i="26" s="1"/>
  <c r="BL179" i="26" s="1"/>
  <c r="BM179" i="26" s="1"/>
  <c r="BH179" i="26"/>
  <c r="BI179" i="26" s="1"/>
  <c r="BI60" i="26"/>
  <c r="S84" i="26"/>
  <c r="AU88" i="26"/>
  <c r="AG90" i="26"/>
  <c r="AG91" i="26"/>
  <c r="E93" i="26"/>
  <c r="AU94" i="26"/>
  <c r="AW95" i="26" s="1"/>
  <c r="AX95" i="26" s="1"/>
  <c r="AY95" i="26" s="1"/>
  <c r="S96" i="26"/>
  <c r="AG99" i="26"/>
  <c r="AT112" i="26"/>
  <c r="AU112" i="26" s="1"/>
  <c r="E101" i="26"/>
  <c r="G102" i="26" s="1"/>
  <c r="H102" i="26" s="1"/>
  <c r="I102" i="26" s="1"/>
  <c r="R112" i="26"/>
  <c r="AF102" i="26"/>
  <c r="AH102" i="26" s="1"/>
  <c r="AU102" i="26"/>
  <c r="S104" i="26"/>
  <c r="AF116" i="26"/>
  <c r="AH116" i="26" s="1"/>
  <c r="D116" i="26"/>
  <c r="E116" i="26" s="1"/>
  <c r="AT120" i="26"/>
  <c r="AU120" i="26" s="1"/>
  <c r="E109" i="26"/>
  <c r="R120" i="26"/>
  <c r="AF110" i="26"/>
  <c r="AH110" i="26" s="1"/>
  <c r="AH113" i="26"/>
  <c r="AH114" i="26"/>
  <c r="AG114" i="26"/>
  <c r="AF118" i="26"/>
  <c r="BJ119" i="26"/>
  <c r="BJ120" i="26"/>
  <c r="BI120" i="26"/>
  <c r="AG121" i="26"/>
  <c r="AI122" i="26" s="1"/>
  <c r="AJ122" i="26" s="1"/>
  <c r="AK122" i="26" s="1"/>
  <c r="R159" i="26"/>
  <c r="T159" i="26" s="1"/>
  <c r="AT167" i="26"/>
  <c r="AU167" i="26" s="1"/>
  <c r="R166" i="26"/>
  <c r="BH171" i="26"/>
  <c r="BI171" i="26" s="1"/>
  <c r="D159" i="26"/>
  <c r="E159" i="26" s="1"/>
  <c r="D160" i="26"/>
  <c r="E160" i="26" s="1"/>
  <c r="F161" i="26"/>
  <c r="E161" i="26"/>
  <c r="D175" i="26"/>
  <c r="E175" i="26" s="1"/>
  <c r="D181" i="26"/>
  <c r="T84" i="26"/>
  <c r="AV88" i="26"/>
  <c r="BI100" i="26"/>
  <c r="BK101" i="26" s="1"/>
  <c r="BL101" i="26" s="1"/>
  <c r="BM101" i="26" s="1"/>
  <c r="D111" i="26"/>
  <c r="E111" i="26" s="1"/>
  <c r="AT115" i="26"/>
  <c r="AV115" i="26" s="1"/>
  <c r="T104" i="26"/>
  <c r="AU105" i="26"/>
  <c r="BI108" i="26"/>
  <c r="BK109" i="26" s="1"/>
  <c r="BL109" i="26" s="1"/>
  <c r="BM109" i="26" s="1"/>
  <c r="F109" i="26"/>
  <c r="D119" i="26"/>
  <c r="E119" i="26" s="1"/>
  <c r="D122" i="26"/>
  <c r="F122" i="26" s="1"/>
  <c r="AG116" i="26"/>
  <c r="AH117" i="26"/>
  <c r="AI118" i="26" s="1"/>
  <c r="AJ118" i="26" s="1"/>
  <c r="AK118" i="26" s="1"/>
  <c r="AH119" i="26"/>
  <c r="AI120" i="26" s="1"/>
  <c r="AJ120" i="26" s="1"/>
  <c r="AK120" i="26" s="1"/>
  <c r="S123" i="26"/>
  <c r="AF159" i="26"/>
  <c r="AT164" i="26"/>
  <c r="R164" i="26"/>
  <c r="S164" i="26" s="1"/>
  <c r="R182" i="26"/>
  <c r="S182" i="26" s="1"/>
  <c r="T167" i="26"/>
  <c r="AF180" i="26"/>
  <c r="AG180" i="26" s="1"/>
  <c r="D180" i="26"/>
  <c r="AT185" i="26"/>
  <c r="AU185" i="26" s="1"/>
  <c r="AV168" i="26"/>
  <c r="AW169" i="26" s="1"/>
  <c r="AX169" i="26" s="1"/>
  <c r="AY169" i="26" s="1"/>
  <c r="T185" i="26"/>
  <c r="R238" i="26"/>
  <c r="S238" i="26" s="1"/>
  <c r="T237" i="26"/>
  <c r="S237" i="26"/>
  <c r="R237" i="26"/>
  <c r="AF122" i="26"/>
  <c r="D154" i="26"/>
  <c r="F154" i="26" s="1"/>
  <c r="BH164" i="26"/>
  <c r="BH172" i="26"/>
  <c r="D170" i="26"/>
  <c r="F170" i="26" s="1"/>
  <c r="AT173" i="26"/>
  <c r="D173" i="26"/>
  <c r="F173" i="26" s="1"/>
  <c r="F159" i="26"/>
  <c r="D162" i="26"/>
  <c r="BH182" i="26"/>
  <c r="BJ182" i="26" s="1"/>
  <c r="D166" i="26"/>
  <c r="E166" i="26" s="1"/>
  <c r="T173" i="26"/>
  <c r="S173" i="26"/>
  <c r="AV179" i="26"/>
  <c r="AU179" i="26"/>
  <c r="AG111" i="26"/>
  <c r="AI112" i="26" s="1"/>
  <c r="AJ112" i="26" s="1"/>
  <c r="AK112" i="26" s="1"/>
  <c r="S116" i="26"/>
  <c r="BI117" i="26"/>
  <c r="BI122" i="26"/>
  <c r="BK123" i="26" s="1"/>
  <c r="BL123" i="26" s="1"/>
  <c r="BM123" i="26" s="1"/>
  <c r="R156" i="26"/>
  <c r="D158" i="26"/>
  <c r="AT162" i="26"/>
  <c r="R162" i="26"/>
  <c r="BH166" i="26"/>
  <c r="AF166" i="26"/>
  <c r="AT170" i="26"/>
  <c r="AV170" i="26" s="1"/>
  <c r="AT174" i="26"/>
  <c r="AV174" i="26" s="1"/>
  <c r="R176" i="26"/>
  <c r="T176" i="26" s="1"/>
  <c r="AT161" i="26"/>
  <c r="BH180" i="26"/>
  <c r="BJ162" i="26"/>
  <c r="BI162" i="26"/>
  <c r="AH164" i="26"/>
  <c r="AI165" i="26" s="1"/>
  <c r="AJ165" i="26" s="1"/>
  <c r="AK165" i="26" s="1"/>
  <c r="R167" i="26"/>
  <c r="S167" i="26" s="1"/>
  <c r="AV167" i="26"/>
  <c r="AW168" i="26" s="1"/>
  <c r="AX168" i="26" s="1"/>
  <c r="AY168" i="26" s="1"/>
  <c r="F235" i="26"/>
  <c r="E235" i="26"/>
  <c r="D123" i="26"/>
  <c r="F123" i="26" s="1"/>
  <c r="D156" i="26"/>
  <c r="BH163" i="26"/>
  <c r="BJ163" i="26" s="1"/>
  <c r="AF163" i="26"/>
  <c r="AH163" i="26" s="1"/>
  <c r="R174" i="26"/>
  <c r="S174" i="26" s="1"/>
  <c r="R160" i="26"/>
  <c r="R161" i="26"/>
  <c r="S161" i="26" s="1"/>
  <c r="BJ169" i="26"/>
  <c r="BI169" i="26"/>
  <c r="AV182" i="26"/>
  <c r="BH123" i="26"/>
  <c r="R157" i="26"/>
  <c r="S157" i="26" s="1"/>
  <c r="AF160" i="26"/>
  <c r="BH168" i="26"/>
  <c r="AF168" i="26"/>
  <c r="D168" i="26"/>
  <c r="F168" i="26" s="1"/>
  <c r="R170" i="26"/>
  <c r="S170" i="26" s="1"/>
  <c r="AT176" i="26"/>
  <c r="AU176" i="26" s="1"/>
  <c r="R179" i="26"/>
  <c r="BH183" i="26"/>
  <c r="BI183" i="26" s="1"/>
  <c r="AF183" i="26"/>
  <c r="AH183" i="26" s="1"/>
  <c r="BH167" i="26"/>
  <c r="R183" i="26"/>
  <c r="S168" i="26"/>
  <c r="D184" i="26"/>
  <c r="D183" i="26"/>
  <c r="E183" i="26" s="1"/>
  <c r="D185" i="26"/>
  <c r="F185" i="26" s="1"/>
  <c r="AH176" i="26"/>
  <c r="AG176" i="26"/>
  <c r="AF184" i="26"/>
  <c r="AH184" i="26" s="1"/>
  <c r="R178" i="26"/>
  <c r="S178" i="26" s="1"/>
  <c r="U223" i="26"/>
  <c r="V223" i="26" s="1"/>
  <c r="W223" i="26" s="1"/>
  <c r="AU122" i="26"/>
  <c r="AW123" i="26" s="1"/>
  <c r="AX123" i="26" s="1"/>
  <c r="AY123" i="26" s="1"/>
  <c r="AF158" i="26"/>
  <c r="AH158" i="26" s="1"/>
  <c r="AF165" i="26"/>
  <c r="AG165" i="26" s="1"/>
  <c r="D165" i="26"/>
  <c r="F165" i="26" s="1"/>
  <c r="AF171" i="26"/>
  <c r="AG171" i="26" s="1"/>
  <c r="AF174" i="26"/>
  <c r="AF177" i="26"/>
  <c r="AG177" i="26" s="1"/>
  <c r="BH165" i="26"/>
  <c r="BI165" i="26" s="1"/>
  <c r="AF167" i="26"/>
  <c r="AG167" i="26" s="1"/>
  <c r="S180" i="26"/>
  <c r="AT169" i="26"/>
  <c r="AV169" i="26" s="1"/>
  <c r="AT172" i="26"/>
  <c r="AU172" i="26" s="1"/>
  <c r="D171" i="26"/>
  <c r="E171" i="26" s="1"/>
  <c r="BH175" i="26"/>
  <c r="BI175" i="26" s="1"/>
  <c r="AT180" i="26"/>
  <c r="AU180" i="26" s="1"/>
  <c r="R180" i="26"/>
  <c r="T180" i="26" s="1"/>
  <c r="BH184" i="26"/>
  <c r="AH246" i="26"/>
  <c r="AG246" i="26"/>
  <c r="AF247" i="26"/>
  <c r="AF246" i="26"/>
  <c r="BH170" i="26"/>
  <c r="BJ170" i="26" s="1"/>
  <c r="BH173" i="26"/>
  <c r="BJ173" i="26" s="1"/>
  <c r="R171" i="26"/>
  <c r="T171" i="26" s="1"/>
  <c r="D172" i="26"/>
  <c r="AT177" i="26"/>
  <c r="AF178" i="26"/>
  <c r="AF179" i="26"/>
  <c r="AH179" i="26" s="1"/>
  <c r="D179" i="26"/>
  <c r="E179" i="26" s="1"/>
  <c r="AT183" i="26"/>
  <c r="AH169" i="26"/>
  <c r="AI170" i="26" s="1"/>
  <c r="AJ170" i="26" s="1"/>
  <c r="AK170" i="26" s="1"/>
  <c r="R185" i="26"/>
  <c r="AH173" i="26"/>
  <c r="AI174" i="26" s="1"/>
  <c r="AJ174" i="26" s="1"/>
  <c r="AK174" i="26" s="1"/>
  <c r="AV176" i="26"/>
  <c r="AW177" i="26" s="1"/>
  <c r="AX177" i="26" s="1"/>
  <c r="AY177" i="26" s="1"/>
  <c r="F179" i="26"/>
  <c r="G180" i="26" s="1"/>
  <c r="H180" i="26" s="1"/>
  <c r="I180" i="26" s="1"/>
  <c r="BJ179" i="26"/>
  <c r="BK180" i="26" s="1"/>
  <c r="BL180" i="26" s="1"/>
  <c r="BM180" i="26" s="1"/>
  <c r="F183" i="26"/>
  <c r="G184" i="26" s="1"/>
  <c r="H184" i="26" s="1"/>
  <c r="I184" i="26" s="1"/>
  <c r="R199" i="26"/>
  <c r="T199" i="26" s="1"/>
  <c r="R203" i="26"/>
  <c r="T203" i="26" s="1"/>
  <c r="T202" i="26"/>
  <c r="S202" i="26"/>
  <c r="AT231" i="26"/>
  <c r="AV228" i="26"/>
  <c r="AT230" i="26"/>
  <c r="AU230" i="26" s="1"/>
  <c r="F245" i="26"/>
  <c r="E245" i="26"/>
  <c r="R177" i="26"/>
  <c r="T177" i="26" s="1"/>
  <c r="AF182" i="26"/>
  <c r="D182" i="26"/>
  <c r="F182" i="26" s="1"/>
  <c r="AH168" i="26"/>
  <c r="AG168" i="26"/>
  <c r="BI170" i="26"/>
  <c r="AH180" i="26"/>
  <c r="F181" i="26"/>
  <c r="E181" i="26"/>
  <c r="AV183" i="26"/>
  <c r="AW184" i="26" s="1"/>
  <c r="AX184" i="26" s="1"/>
  <c r="AY184" i="26" s="1"/>
  <c r="T205" i="26"/>
  <c r="S205" i="26"/>
  <c r="AH233" i="26"/>
  <c r="AI234" i="26" s="1"/>
  <c r="AJ234" i="26" s="1"/>
  <c r="AK234" i="26" s="1"/>
  <c r="AG233" i="26"/>
  <c r="R168" i="26"/>
  <c r="T168" i="26" s="1"/>
  <c r="R169" i="26"/>
  <c r="T169" i="26" s="1"/>
  <c r="AT175" i="26"/>
  <c r="AV175" i="26" s="1"/>
  <c r="AF175" i="26"/>
  <c r="AH175" i="26" s="1"/>
  <c r="BH177" i="26"/>
  <c r="BJ177" i="26" s="1"/>
  <c r="R175" i="26"/>
  <c r="AU160" i="26"/>
  <c r="AW161" i="26" s="1"/>
  <c r="AX161" i="26" s="1"/>
  <c r="AY161" i="26" s="1"/>
  <c r="AT178" i="26"/>
  <c r="AV178" i="26" s="1"/>
  <c r="D176" i="26"/>
  <c r="AG162" i="26"/>
  <c r="D177" i="26"/>
  <c r="F177" i="26" s="1"/>
  <c r="AT181" i="26"/>
  <c r="E165" i="26"/>
  <c r="AU166" i="26"/>
  <c r="AW167" i="26" s="1"/>
  <c r="AX167" i="26" s="1"/>
  <c r="AY167" i="26" s="1"/>
  <c r="BH185" i="26"/>
  <c r="E168" i="26"/>
  <c r="BJ174" i="26"/>
  <c r="BI174" i="26"/>
  <c r="F178" i="26"/>
  <c r="E178" i="26"/>
  <c r="T181" i="26"/>
  <c r="U182" i="26" s="1"/>
  <c r="V182" i="26" s="1"/>
  <c r="W182" i="26" s="1"/>
  <c r="S181" i="26"/>
  <c r="BI181" i="26"/>
  <c r="E185" i="26"/>
  <c r="S216" i="26"/>
  <c r="U217" i="26" s="1"/>
  <c r="V217" i="26" s="1"/>
  <c r="W217" i="26" s="1"/>
  <c r="AG193" i="26"/>
  <c r="AU225" i="26"/>
  <c r="AT228" i="26"/>
  <c r="AU228" i="26" s="1"/>
  <c r="AV184" i="26"/>
  <c r="AW185" i="26" s="1"/>
  <c r="AX185" i="26" s="1"/>
  <c r="AY185" i="26" s="1"/>
  <c r="D243" i="26"/>
  <c r="D239" i="26"/>
  <c r="D241" i="26"/>
  <c r="T170" i="26"/>
  <c r="U171" i="26" s="1"/>
  <c r="V171" i="26" s="1"/>
  <c r="W171" i="26" s="1"/>
  <c r="R184" i="26"/>
  <c r="T184" i="26" s="1"/>
  <c r="R195" i="26"/>
  <c r="T194" i="26"/>
  <c r="S194" i="26"/>
  <c r="T197" i="26"/>
  <c r="R198" i="26"/>
  <c r="S198" i="26" s="1"/>
  <c r="S192" i="26"/>
  <c r="AF200" i="26"/>
  <c r="D226" i="26"/>
  <c r="D233" i="26"/>
  <c r="F233" i="26" s="1"/>
  <c r="D237" i="26"/>
  <c r="F237" i="26" s="1"/>
  <c r="AH227" i="26"/>
  <c r="AG227" i="26"/>
  <c r="AF185" i="26"/>
  <c r="AG185" i="26" s="1"/>
  <c r="AF192" i="26"/>
  <c r="AH192" i="26" s="1"/>
  <c r="AH194" i="26"/>
  <c r="AG194" i="26"/>
  <c r="AF199" i="26"/>
  <c r="AH199" i="26" s="1"/>
  <c r="AH197" i="26"/>
  <c r="AI198" i="26" s="1"/>
  <c r="AJ198" i="26" s="1"/>
  <c r="AK198" i="26" s="1"/>
  <c r="AF198" i="26"/>
  <c r="AH198" i="26" s="1"/>
  <c r="AG197" i="26"/>
  <c r="AG202" i="26"/>
  <c r="AI203" i="26" s="1"/>
  <c r="AJ203" i="26" s="1"/>
  <c r="AK203" i="26" s="1"/>
  <c r="R208" i="26"/>
  <c r="R207" i="26"/>
  <c r="S207" i="26" s="1"/>
  <c r="AH210" i="26"/>
  <c r="AF211" i="26"/>
  <c r="R219" i="26"/>
  <c r="S219" i="26" s="1"/>
  <c r="R218" i="26"/>
  <c r="T218" i="26" s="1"/>
  <c r="AH242" i="26"/>
  <c r="AF244" i="26"/>
  <c r="AG244" i="26" s="1"/>
  <c r="AF243" i="26"/>
  <c r="R192" i="26"/>
  <c r="T192" i="26" s="1"/>
  <c r="AT201" i="26"/>
  <c r="AU201" i="26" s="1"/>
  <c r="AH203" i="26"/>
  <c r="AG203" i="26"/>
  <c r="AH216" i="26"/>
  <c r="AG216" i="26"/>
  <c r="R235" i="26"/>
  <c r="S235" i="26" s="1"/>
  <c r="AF242" i="26"/>
  <c r="AG242" i="26" s="1"/>
  <c r="BI178" i="26"/>
  <c r="AU183" i="26"/>
  <c r="S185" i="26"/>
  <c r="R191" i="26"/>
  <c r="T191" i="26" s="1"/>
  <c r="AF195" i="26"/>
  <c r="AU194" i="26"/>
  <c r="AT198" i="26"/>
  <c r="AU198" i="26" s="1"/>
  <c r="AG196" i="26"/>
  <c r="AI197" i="26" s="1"/>
  <c r="AJ197" i="26" s="1"/>
  <c r="AK197" i="26" s="1"/>
  <c r="AT200" i="26"/>
  <c r="AV197" i="26"/>
  <c r="AU197" i="26"/>
  <c r="AT202" i="26"/>
  <c r="U207" i="26"/>
  <c r="V207" i="26" s="1"/>
  <c r="W207" i="26" s="1"/>
  <c r="AT210" i="26"/>
  <c r="AV210" i="26" s="1"/>
  <c r="AW211" i="26" s="1"/>
  <c r="AX211" i="26" s="1"/>
  <c r="AY211" i="26" s="1"/>
  <c r="AV207" i="26"/>
  <c r="AW208" i="26" s="1"/>
  <c r="AX208" i="26" s="1"/>
  <c r="AY208" i="26" s="1"/>
  <c r="AU207" i="26"/>
  <c r="AT216" i="26"/>
  <c r="AV214" i="26"/>
  <c r="AT217" i="26"/>
  <c r="AV217" i="26" s="1"/>
  <c r="AU214" i="26"/>
  <c r="AT215" i="26"/>
  <c r="AV215" i="26" s="1"/>
  <c r="S191" i="26"/>
  <c r="AV201" i="26"/>
  <c r="AT204" i="26"/>
  <c r="AV204" i="26" s="1"/>
  <c r="S204" i="26"/>
  <c r="T204" i="26"/>
  <c r="T211" i="26"/>
  <c r="S211" i="26"/>
  <c r="R212" i="26"/>
  <c r="T212" i="26" s="1"/>
  <c r="AV218" i="26"/>
  <c r="AU218" i="26"/>
  <c r="AT221" i="26"/>
  <c r="AH238" i="26"/>
  <c r="AG238" i="26"/>
  <c r="AF240" i="26"/>
  <c r="AH240" i="26" s="1"/>
  <c r="AF239" i="26"/>
  <c r="D229" i="26"/>
  <c r="F229" i="26" s="1"/>
  <c r="D231" i="26"/>
  <c r="F231" i="26" s="1"/>
  <c r="T214" i="26"/>
  <c r="S214" i="26"/>
  <c r="AT218" i="26"/>
  <c r="D238" i="26"/>
  <c r="AT224" i="26"/>
  <c r="AV224" i="26" s="1"/>
  <c r="AV221" i="26"/>
  <c r="D244" i="26"/>
  <c r="AT229" i="26"/>
  <c r="AV226" i="26"/>
  <c r="AT203" i="26"/>
  <c r="AV203" i="26" s="1"/>
  <c r="AF201" i="26"/>
  <c r="AT208" i="26"/>
  <c r="AG208" i="26"/>
  <c r="AI209" i="26" s="1"/>
  <c r="AJ209" i="26" s="1"/>
  <c r="AK209" i="26" s="1"/>
  <c r="AF213" i="26"/>
  <c r="AH211" i="26"/>
  <c r="D234" i="26"/>
  <c r="R220" i="26"/>
  <c r="T224" i="26"/>
  <c r="S224" i="26"/>
  <c r="T225" i="26"/>
  <c r="R226" i="26"/>
  <c r="S226" i="26" s="1"/>
  <c r="S225" i="26"/>
  <c r="R225" i="26"/>
  <c r="E231" i="26"/>
  <c r="R236" i="26"/>
  <c r="T236" i="26" s="1"/>
  <c r="U237" i="26" s="1"/>
  <c r="V237" i="26" s="1"/>
  <c r="W237" i="26" s="1"/>
  <c r="T235" i="26"/>
  <c r="AU199" i="26"/>
  <c r="R200" i="26"/>
  <c r="T200" i="26" s="1"/>
  <c r="R201" i="26"/>
  <c r="AG201" i="26"/>
  <c r="AU203" i="26"/>
  <c r="AU204" i="26"/>
  <c r="AT209" i="26"/>
  <c r="AT212" i="26"/>
  <c r="AT213" i="26"/>
  <c r="AU210" i="26"/>
  <c r="AU221" i="26"/>
  <c r="R223" i="26"/>
  <c r="D227" i="26"/>
  <c r="AH232" i="26"/>
  <c r="AG232" i="26"/>
  <c r="AT239" i="26"/>
  <c r="AV236" i="26"/>
  <c r="AW237" i="26" s="1"/>
  <c r="AX237" i="26" s="1"/>
  <c r="AY237" i="26" s="1"/>
  <c r="AT238" i="26"/>
  <c r="AV238" i="26" s="1"/>
  <c r="AH244" i="26"/>
  <c r="AV199" i="26"/>
  <c r="AH201" i="26"/>
  <c r="AI202" i="26" s="1"/>
  <c r="AJ202" i="26" s="1"/>
  <c r="AK202" i="26" s="1"/>
  <c r="AF206" i="26"/>
  <c r="AG206" i="26" s="1"/>
  <c r="AH204" i="26"/>
  <c r="AI205" i="26" s="1"/>
  <c r="AJ205" i="26" s="1"/>
  <c r="AK205" i="26" s="1"/>
  <c r="AT206" i="26"/>
  <c r="AU206" i="26" s="1"/>
  <c r="AF209" i="26"/>
  <c r="S209" i="26"/>
  <c r="U210" i="26" s="1"/>
  <c r="V210" i="26" s="1"/>
  <c r="W210" i="26" s="1"/>
  <c r="AG211" i="26"/>
  <c r="S212" i="26"/>
  <c r="AH214" i="26"/>
  <c r="AG214" i="26"/>
  <c r="R215" i="26"/>
  <c r="S215" i="26" s="1"/>
  <c r="AF225" i="26"/>
  <c r="AG225" i="26" s="1"/>
  <c r="T226" i="26"/>
  <c r="R227" i="26"/>
  <c r="S227" i="26" s="1"/>
  <c r="R230" i="26"/>
  <c r="T230" i="26" s="1"/>
  <c r="T229" i="26"/>
  <c r="D247" i="26"/>
  <c r="R193" i="26"/>
  <c r="AT205" i="26"/>
  <c r="AV205" i="26" s="1"/>
  <c r="AF205" i="26"/>
  <c r="AI219" i="26"/>
  <c r="AJ219" i="26" s="1"/>
  <c r="AK219" i="26" s="1"/>
  <c r="AT223" i="26"/>
  <c r="AH230" i="26"/>
  <c r="AG230" i="26"/>
  <c r="AF231" i="26"/>
  <c r="AT237" i="26"/>
  <c r="D230" i="26"/>
  <c r="AF217" i="26"/>
  <c r="AH215" i="26"/>
  <c r="AI216" i="26" s="1"/>
  <c r="AJ216" i="26" s="1"/>
  <c r="AK216" i="26" s="1"/>
  <c r="AU217" i="26"/>
  <c r="AT220" i="26"/>
  <c r="AU220" i="26" s="1"/>
  <c r="AT225" i="26"/>
  <c r="AV225" i="26" s="1"/>
  <c r="AV222" i="26"/>
  <c r="AW223" i="26" s="1"/>
  <c r="AX223" i="26" s="1"/>
  <c r="AY223" i="26" s="1"/>
  <c r="AT226" i="26"/>
  <c r="AU226" i="26" s="1"/>
  <c r="AF226" i="26"/>
  <c r="AH226" i="26" s="1"/>
  <c r="R228" i="26"/>
  <c r="T228" i="26" s="1"/>
  <c r="S229" i="26"/>
  <c r="AT234" i="26"/>
  <c r="AU234" i="26" s="1"/>
  <c r="S236" i="26"/>
  <c r="AH241" i="26"/>
  <c r="AI242" i="26" s="1"/>
  <c r="AJ242" i="26" s="1"/>
  <c r="AK242" i="26" s="1"/>
  <c r="AH245" i="26"/>
  <c r="AI246" i="26" s="1"/>
  <c r="AJ246" i="26" s="1"/>
  <c r="AK246" i="26" s="1"/>
  <c r="AG220" i="26"/>
  <c r="AI221" i="26" s="1"/>
  <c r="AJ221" i="26" s="1"/>
  <c r="AK221" i="26" s="1"/>
  <c r="AH221" i="26"/>
  <c r="AI222" i="26" s="1"/>
  <c r="AJ222" i="26" s="1"/>
  <c r="AK222" i="26" s="1"/>
  <c r="AF224" i="26"/>
  <c r="AH224" i="26" s="1"/>
  <c r="AT241" i="26"/>
  <c r="AT243" i="26"/>
  <c r="AT245" i="26"/>
  <c r="AT247" i="26"/>
  <c r="D228" i="26"/>
  <c r="D232" i="26"/>
  <c r="D236" i="26"/>
  <c r="AH228" i="26"/>
  <c r="AG228" i="26"/>
  <c r="T232" i="26"/>
  <c r="S232" i="26"/>
  <c r="AT235" i="26"/>
  <c r="AV232" i="26"/>
  <c r="R234" i="26"/>
  <c r="S234" i="26" s="1"/>
  <c r="AH236" i="26"/>
  <c r="AG236" i="26"/>
  <c r="AT240" i="26"/>
  <c r="AV240" i="26" s="1"/>
  <c r="AT242" i="26"/>
  <c r="AU242" i="26" s="1"/>
  <c r="AT244" i="26"/>
  <c r="AU244" i="26" s="1"/>
  <c r="AT246" i="26"/>
  <c r="AV246" i="26" s="1"/>
  <c r="AT219" i="26"/>
  <c r="D240" i="26"/>
  <c r="AT227" i="26"/>
  <c r="R233" i="26"/>
  <c r="T233" i="26" s="1"/>
  <c r="R239" i="26"/>
  <c r="S239" i="26" s="1"/>
  <c r="T238" i="26"/>
  <c r="R241" i="26"/>
  <c r="S241" i="26" s="1"/>
  <c r="T240" i="26"/>
  <c r="U241" i="26" s="1"/>
  <c r="V241" i="26" s="1"/>
  <c r="W241" i="26" s="1"/>
  <c r="S240" i="26"/>
  <c r="R243" i="26"/>
  <c r="S243" i="26" s="1"/>
  <c r="T242" i="26"/>
  <c r="U243" i="26" s="1"/>
  <c r="V243" i="26" s="1"/>
  <c r="W243" i="26" s="1"/>
  <c r="S242" i="26"/>
  <c r="R245" i="26"/>
  <c r="S245" i="26" s="1"/>
  <c r="T244" i="26"/>
  <c r="S244" i="26"/>
  <c r="R247" i="26"/>
  <c r="S247" i="26" s="1"/>
  <c r="T246" i="26"/>
  <c r="S246" i="26"/>
  <c r="T221" i="26"/>
  <c r="S221" i="26"/>
  <c r="D242" i="26"/>
  <c r="AH225" i="26"/>
  <c r="AI226" i="26" s="1"/>
  <c r="AJ226" i="26" s="1"/>
  <c r="AK226" i="26" s="1"/>
  <c r="D246" i="26"/>
  <c r="AF229" i="26"/>
  <c r="AT233" i="26"/>
  <c r="AU232" i="26"/>
  <c r="AH234" i="26"/>
  <c r="AG234" i="26"/>
  <c r="AF237" i="26"/>
  <c r="BJ183" i="26" l="1"/>
  <c r="BK184" i="26" s="1"/>
  <c r="BL184" i="26" s="1"/>
  <c r="BM184" i="26" s="1"/>
  <c r="BJ175" i="26"/>
  <c r="BK176" i="26" s="1"/>
  <c r="BL176" i="26" s="1"/>
  <c r="BM176" i="26" s="1"/>
  <c r="BK163" i="26"/>
  <c r="BL163" i="26" s="1"/>
  <c r="BM163" i="26" s="1"/>
  <c r="BK170" i="26"/>
  <c r="BL170" i="26" s="1"/>
  <c r="BM170" i="26" s="1"/>
  <c r="BI94" i="26"/>
  <c r="BI91" i="26"/>
  <c r="BI102" i="26"/>
  <c r="BK103" i="26" s="1"/>
  <c r="BL103" i="26" s="1"/>
  <c r="BM103" i="26" s="1"/>
  <c r="BJ93" i="26"/>
  <c r="BI105" i="26"/>
  <c r="BK91" i="26"/>
  <c r="BL91" i="26" s="1"/>
  <c r="BM91" i="26" s="1"/>
  <c r="BK121" i="26"/>
  <c r="BL121" i="26" s="1"/>
  <c r="BM121" i="26" s="1"/>
  <c r="BK61" i="26"/>
  <c r="BL61" i="26" s="1"/>
  <c r="BM61" i="26" s="1"/>
  <c r="BI38" i="26"/>
  <c r="BK39" i="26" s="1"/>
  <c r="BL39" i="26" s="1"/>
  <c r="BM39" i="26" s="1"/>
  <c r="BJ48" i="26"/>
  <c r="BK31" i="26"/>
  <c r="BL31" i="26" s="1"/>
  <c r="BM31" i="26" s="1"/>
  <c r="BJ23" i="26"/>
  <c r="BK24" i="26" s="1"/>
  <c r="BL24" i="26" s="1"/>
  <c r="BM24" i="26" s="1"/>
  <c r="BK28" i="26"/>
  <c r="BL28" i="26" s="1"/>
  <c r="BM28" i="26" s="1"/>
  <c r="BK45" i="26"/>
  <c r="BL45" i="26" s="1"/>
  <c r="BM45" i="26" s="1"/>
  <c r="BI42" i="26"/>
  <c r="BK43" i="26" s="1"/>
  <c r="BL43" i="26" s="1"/>
  <c r="BM43" i="26" s="1"/>
  <c r="BJ19" i="26"/>
  <c r="BK20" i="26" s="1"/>
  <c r="BL20" i="26" s="1"/>
  <c r="BM20" i="26" s="1"/>
  <c r="BJ53" i="26"/>
  <c r="BK54" i="26" s="1"/>
  <c r="BL54" i="26" s="1"/>
  <c r="BM54" i="26" s="1"/>
  <c r="BI18" i="26"/>
  <c r="BK19" i="26" s="1"/>
  <c r="BL19" i="26" s="1"/>
  <c r="BM19" i="26" s="1"/>
  <c r="AV230" i="26"/>
  <c r="AW231" i="26" s="1"/>
  <c r="AX231" i="26" s="1"/>
  <c r="AY231" i="26" s="1"/>
  <c r="AU224" i="26"/>
  <c r="AU240" i="26"/>
  <c r="AW241" i="26" s="1"/>
  <c r="AX241" i="26" s="1"/>
  <c r="AY241" i="26" s="1"/>
  <c r="AV220" i="26"/>
  <c r="AW221" i="26" s="1"/>
  <c r="AX221" i="26" s="1"/>
  <c r="AY221" i="26" s="1"/>
  <c r="AU196" i="26"/>
  <c r="AW197" i="26" s="1"/>
  <c r="AX197" i="26" s="1"/>
  <c r="AY197" i="26" s="1"/>
  <c r="AU211" i="26"/>
  <c r="AV211" i="26"/>
  <c r="AW212" i="26" s="1"/>
  <c r="AX212" i="26" s="1"/>
  <c r="AY212" i="26" s="1"/>
  <c r="AW198" i="26"/>
  <c r="AX198" i="26" s="1"/>
  <c r="AY198" i="26" s="1"/>
  <c r="AV198" i="26"/>
  <c r="AW204" i="26"/>
  <c r="AX204" i="26" s="1"/>
  <c r="AY204" i="26" s="1"/>
  <c r="AV242" i="26"/>
  <c r="AW243" i="26" s="1"/>
  <c r="AX243" i="26" s="1"/>
  <c r="AY243" i="26" s="1"/>
  <c r="AW226" i="26"/>
  <c r="AX226" i="26" s="1"/>
  <c r="AY226" i="26" s="1"/>
  <c r="AW205" i="26"/>
  <c r="AX205" i="26" s="1"/>
  <c r="AY205" i="26" s="1"/>
  <c r="AV185" i="26"/>
  <c r="BB130" i="26" s="1"/>
  <c r="AW183" i="26"/>
  <c r="AX183" i="26" s="1"/>
  <c r="AY183" i="26" s="1"/>
  <c r="AU174" i="26"/>
  <c r="AW175" i="26" s="1"/>
  <c r="AX175" i="26" s="1"/>
  <c r="AY175" i="26" s="1"/>
  <c r="AW180" i="26"/>
  <c r="AX180" i="26" s="1"/>
  <c r="AY180" i="26" s="1"/>
  <c r="AU175" i="26"/>
  <c r="AW176" i="26" s="1"/>
  <c r="AX176" i="26" s="1"/>
  <c r="AY176" i="26" s="1"/>
  <c r="AU178" i="26"/>
  <c r="AW179" i="26" s="1"/>
  <c r="AX179" i="26" s="1"/>
  <c r="AY179" i="26" s="1"/>
  <c r="AV119" i="26"/>
  <c r="AV114" i="26"/>
  <c r="AW115" i="26" s="1"/>
  <c r="AX115" i="26" s="1"/>
  <c r="AY115" i="26" s="1"/>
  <c r="AW108" i="26"/>
  <c r="AX108" i="26" s="1"/>
  <c r="AY108" i="26" s="1"/>
  <c r="AU106" i="26"/>
  <c r="AW107" i="26" s="1"/>
  <c r="AX107" i="26" s="1"/>
  <c r="AY107" i="26" s="1"/>
  <c r="AV89" i="26"/>
  <c r="AW90" i="26" s="1"/>
  <c r="AX90" i="26" s="1"/>
  <c r="AY90" i="26" s="1"/>
  <c r="AW106" i="26"/>
  <c r="AX106" i="26" s="1"/>
  <c r="AY106" i="26" s="1"/>
  <c r="AW91" i="26"/>
  <c r="AX91" i="26" s="1"/>
  <c r="AY91" i="26" s="1"/>
  <c r="AV93" i="26"/>
  <c r="AV117" i="26"/>
  <c r="AW118" i="26" s="1"/>
  <c r="AX118" i="26" s="1"/>
  <c r="AY118" i="26" s="1"/>
  <c r="AV116" i="26"/>
  <c r="AW117" i="26" s="1"/>
  <c r="AX117" i="26" s="1"/>
  <c r="AY117" i="26" s="1"/>
  <c r="AU98" i="26"/>
  <c r="AW99" i="26" s="1"/>
  <c r="AX99" i="26" s="1"/>
  <c r="AY99" i="26" s="1"/>
  <c r="AV101" i="26"/>
  <c r="AW102" i="26" s="1"/>
  <c r="AX102" i="26" s="1"/>
  <c r="AY102" i="26" s="1"/>
  <c r="AU26" i="26"/>
  <c r="AU30" i="26"/>
  <c r="AW31" i="26" s="1"/>
  <c r="AX31" i="26" s="1"/>
  <c r="AY31" i="26" s="1"/>
  <c r="AV46" i="26"/>
  <c r="AW47" i="26" s="1"/>
  <c r="AX47" i="26" s="1"/>
  <c r="AY47" i="26" s="1"/>
  <c r="AV33" i="26"/>
  <c r="AW34" i="26" s="1"/>
  <c r="AX34" i="26" s="1"/>
  <c r="AY34" i="26" s="1"/>
  <c r="AV24" i="26"/>
  <c r="AV50" i="26"/>
  <c r="AV38" i="26"/>
  <c r="AU19" i="26"/>
  <c r="AW20" i="26" s="1"/>
  <c r="AX20" i="26" s="1"/>
  <c r="AY20" i="26" s="1"/>
  <c r="AV45" i="26"/>
  <c r="AU52" i="26"/>
  <c r="AW53" i="26" s="1"/>
  <c r="AX53" i="26" s="1"/>
  <c r="AY53" i="26" s="1"/>
  <c r="AV18" i="26"/>
  <c r="AW19" i="26" s="1"/>
  <c r="AX19" i="26" s="1"/>
  <c r="AY19" i="26" s="1"/>
  <c r="AV31" i="26"/>
  <c r="AW32" i="26" s="1"/>
  <c r="AX32" i="26" s="1"/>
  <c r="AY32" i="26" s="1"/>
  <c r="AU22" i="26"/>
  <c r="AW21" i="26"/>
  <c r="AX21" i="26" s="1"/>
  <c r="AY21" i="26" s="1"/>
  <c r="AV29" i="26"/>
  <c r="AW30" i="26" s="1"/>
  <c r="AX30" i="26" s="1"/>
  <c r="AY30" i="26" s="1"/>
  <c r="AI231" i="26"/>
  <c r="AJ231" i="26" s="1"/>
  <c r="AK231" i="26" s="1"/>
  <c r="AI237" i="26"/>
  <c r="AJ237" i="26" s="1"/>
  <c r="AK237" i="26" s="1"/>
  <c r="AI233" i="26"/>
  <c r="AJ233" i="26" s="1"/>
  <c r="AK233" i="26" s="1"/>
  <c r="AG199" i="26"/>
  <c r="AI200" i="26" s="1"/>
  <c r="AJ200" i="26" s="1"/>
  <c r="AK200" i="26" s="1"/>
  <c r="AI239" i="26"/>
  <c r="AJ239" i="26" s="1"/>
  <c r="AK239" i="26" s="1"/>
  <c r="AI223" i="26"/>
  <c r="AJ223" i="26" s="1"/>
  <c r="AK223" i="26" s="1"/>
  <c r="AH222" i="26"/>
  <c r="AH207" i="26"/>
  <c r="AI208" i="26" s="1"/>
  <c r="AJ208" i="26" s="1"/>
  <c r="AK208" i="26" s="1"/>
  <c r="AI204" i="26"/>
  <c r="AJ204" i="26" s="1"/>
  <c r="AK204" i="26" s="1"/>
  <c r="AI236" i="26"/>
  <c r="AJ236" i="26" s="1"/>
  <c r="AK236" i="26" s="1"/>
  <c r="AG240" i="26"/>
  <c r="AI241" i="26" s="1"/>
  <c r="AJ241" i="26" s="1"/>
  <c r="AK241" i="26" s="1"/>
  <c r="AH206" i="26"/>
  <c r="AI207" i="26" s="1"/>
  <c r="AJ207" i="26" s="1"/>
  <c r="AK207" i="26" s="1"/>
  <c r="AI235" i="26"/>
  <c r="AJ235" i="26" s="1"/>
  <c r="AK235" i="26" s="1"/>
  <c r="AI212" i="26"/>
  <c r="AJ212" i="26" s="1"/>
  <c r="AK212" i="26" s="1"/>
  <c r="AI228" i="26"/>
  <c r="AJ228" i="26" s="1"/>
  <c r="AK228" i="26" s="1"/>
  <c r="AH219" i="26"/>
  <c r="AI220" i="26" s="1"/>
  <c r="AJ220" i="26" s="1"/>
  <c r="AK220" i="26" s="1"/>
  <c r="AG192" i="26"/>
  <c r="AI180" i="26"/>
  <c r="AJ180" i="26" s="1"/>
  <c r="AK180" i="26" s="1"/>
  <c r="AG179" i="26"/>
  <c r="AH165" i="26"/>
  <c r="AI166" i="26" s="1"/>
  <c r="AJ166" i="26" s="1"/>
  <c r="AK166" i="26" s="1"/>
  <c r="AG183" i="26"/>
  <c r="AH171" i="26"/>
  <c r="AI172" i="26" s="1"/>
  <c r="AJ172" i="26" s="1"/>
  <c r="AK172" i="26" s="1"/>
  <c r="AI169" i="26"/>
  <c r="AJ169" i="26" s="1"/>
  <c r="AK169" i="26" s="1"/>
  <c r="AG163" i="26"/>
  <c r="AG158" i="26"/>
  <c r="AI159" i="26" s="1"/>
  <c r="AJ159" i="26" s="1"/>
  <c r="AK159" i="26" s="1"/>
  <c r="AG120" i="26"/>
  <c r="AI121" i="26" s="1"/>
  <c r="AJ121" i="26" s="1"/>
  <c r="AK121" i="26" s="1"/>
  <c r="AG107" i="26"/>
  <c r="AI115" i="26"/>
  <c r="AJ115" i="26" s="1"/>
  <c r="AK115" i="26" s="1"/>
  <c r="AH106" i="26"/>
  <c r="AI97" i="26"/>
  <c r="AJ97" i="26" s="1"/>
  <c r="AK97" i="26" s="1"/>
  <c r="AH104" i="26"/>
  <c r="AI105" i="26" s="1"/>
  <c r="AJ105" i="26" s="1"/>
  <c r="AK105" i="26" s="1"/>
  <c r="AI96" i="26"/>
  <c r="AJ96" i="26" s="1"/>
  <c r="AK96" i="26" s="1"/>
  <c r="AI101" i="26"/>
  <c r="AJ101" i="26" s="1"/>
  <c r="AK101" i="26" s="1"/>
  <c r="AI91" i="26"/>
  <c r="AJ91" i="26" s="1"/>
  <c r="AK91" i="26" s="1"/>
  <c r="AH123" i="26"/>
  <c r="AN75" i="26" s="1"/>
  <c r="AI117" i="26"/>
  <c r="AJ117" i="26" s="1"/>
  <c r="AK117" i="26" s="1"/>
  <c r="AG112" i="26"/>
  <c r="AI113" i="26" s="1"/>
  <c r="AJ113" i="26" s="1"/>
  <c r="AK113" i="26" s="1"/>
  <c r="AG94" i="26"/>
  <c r="AI95" i="26" s="1"/>
  <c r="AJ95" i="26" s="1"/>
  <c r="AK95" i="26" s="1"/>
  <c r="AI92" i="26"/>
  <c r="AJ92" i="26" s="1"/>
  <c r="AK92" i="26" s="1"/>
  <c r="AG102" i="26"/>
  <c r="AI103" i="26" s="1"/>
  <c r="AJ103" i="26" s="1"/>
  <c r="AK103" i="26" s="1"/>
  <c r="AH87" i="26"/>
  <c r="AG87" i="26"/>
  <c r="AI88" i="26" s="1"/>
  <c r="AJ88" i="26" s="1"/>
  <c r="AK88" i="26" s="1"/>
  <c r="AG86" i="26"/>
  <c r="AI87" i="26" s="1"/>
  <c r="AJ87" i="26" s="1"/>
  <c r="AK87" i="26" s="1"/>
  <c r="AH38" i="26"/>
  <c r="AI50" i="26"/>
  <c r="AJ50" i="26" s="1"/>
  <c r="AK50" i="26" s="1"/>
  <c r="AG60" i="26"/>
  <c r="AI61" i="26" s="1"/>
  <c r="AJ61" i="26" s="1"/>
  <c r="AK61" i="26" s="1"/>
  <c r="AH14" i="26"/>
  <c r="AI15" i="26" s="1"/>
  <c r="AJ15" i="26" s="1"/>
  <c r="AK15" i="26" s="1"/>
  <c r="AG21" i="26"/>
  <c r="AI22" i="26" s="1"/>
  <c r="AJ22" i="26" s="1"/>
  <c r="AK22" i="26" s="1"/>
  <c r="AG45" i="26"/>
  <c r="AI46" i="26" s="1"/>
  <c r="AJ46" i="26" s="1"/>
  <c r="AK46" i="26" s="1"/>
  <c r="AI40" i="26"/>
  <c r="AJ40" i="26" s="1"/>
  <c r="AK40" i="26" s="1"/>
  <c r="AH32" i="26"/>
  <c r="AI33" i="26" s="1"/>
  <c r="AJ33" i="26" s="1"/>
  <c r="AK33" i="26" s="1"/>
  <c r="AI24" i="26"/>
  <c r="AJ24" i="26" s="1"/>
  <c r="AK24" i="26" s="1"/>
  <c r="AI58" i="26"/>
  <c r="AJ58" i="26" s="1"/>
  <c r="AK58" i="26" s="1"/>
  <c r="AH16" i="26"/>
  <c r="AI17" i="26" s="1"/>
  <c r="AJ17" i="26" s="1"/>
  <c r="AK17" i="26" s="1"/>
  <c r="U200" i="26"/>
  <c r="V200" i="26" s="1"/>
  <c r="W200" i="26" s="1"/>
  <c r="T243" i="26"/>
  <c r="U244" i="26" s="1"/>
  <c r="V244" i="26" s="1"/>
  <c r="W244" i="26" s="1"/>
  <c r="S199" i="26"/>
  <c r="U226" i="26"/>
  <c r="V226" i="26" s="1"/>
  <c r="W226" i="26" s="1"/>
  <c r="U231" i="26"/>
  <c r="V231" i="26" s="1"/>
  <c r="W231" i="26" s="1"/>
  <c r="U212" i="26"/>
  <c r="V212" i="26" s="1"/>
  <c r="W212" i="26" s="1"/>
  <c r="T198" i="26"/>
  <c r="U199" i="26" s="1"/>
  <c r="V199" i="26" s="1"/>
  <c r="W199" i="26" s="1"/>
  <c r="T241" i="26"/>
  <c r="U242" i="26" s="1"/>
  <c r="V242" i="26" s="1"/>
  <c r="W242" i="26" s="1"/>
  <c r="S228" i="26"/>
  <c r="S196" i="26"/>
  <c r="U197" i="26" s="1"/>
  <c r="V197" i="26" s="1"/>
  <c r="W197" i="26" s="1"/>
  <c r="U229" i="26"/>
  <c r="V229" i="26" s="1"/>
  <c r="W229" i="26" s="1"/>
  <c r="S230" i="26"/>
  <c r="U227" i="26"/>
  <c r="V227" i="26" s="1"/>
  <c r="W227" i="26" s="1"/>
  <c r="U206" i="26"/>
  <c r="V206" i="26" s="1"/>
  <c r="W206" i="26" s="1"/>
  <c r="T245" i="26"/>
  <c r="U246" i="26" s="1"/>
  <c r="V246" i="26" s="1"/>
  <c r="W246" i="26" s="1"/>
  <c r="T234" i="26"/>
  <c r="U215" i="26"/>
  <c r="V215" i="26" s="1"/>
  <c r="W215" i="26" s="1"/>
  <c r="U192" i="26"/>
  <c r="V192" i="26" s="1"/>
  <c r="W192" i="26" s="1"/>
  <c r="S190" i="26"/>
  <c r="S213" i="26"/>
  <c r="U214" i="26" s="1"/>
  <c r="V214" i="26" s="1"/>
  <c r="W214" i="26" s="1"/>
  <c r="U195" i="26"/>
  <c r="V195" i="26" s="1"/>
  <c r="W195" i="26" s="1"/>
  <c r="S203" i="26"/>
  <c r="U204" i="26" s="1"/>
  <c r="V204" i="26" s="1"/>
  <c r="W204" i="26" s="1"/>
  <c r="T217" i="26"/>
  <c r="U218" i="26" s="1"/>
  <c r="V218" i="26" s="1"/>
  <c r="W218" i="26" s="1"/>
  <c r="U178" i="26"/>
  <c r="V178" i="26" s="1"/>
  <c r="W178" i="26" s="1"/>
  <c r="S176" i="26"/>
  <c r="U177" i="26" s="1"/>
  <c r="V177" i="26" s="1"/>
  <c r="W177" i="26" s="1"/>
  <c r="T164" i="26"/>
  <c r="U165" i="26" s="1"/>
  <c r="V165" i="26" s="1"/>
  <c r="W165" i="26" s="1"/>
  <c r="T178" i="26"/>
  <c r="U179" i="26" s="1"/>
  <c r="V179" i="26" s="1"/>
  <c r="W179" i="26" s="1"/>
  <c r="U169" i="26"/>
  <c r="V169" i="26" s="1"/>
  <c r="W169" i="26" s="1"/>
  <c r="T157" i="26"/>
  <c r="U158" i="26" s="1"/>
  <c r="V158" i="26" s="1"/>
  <c r="W158" i="26" s="1"/>
  <c r="T161" i="26"/>
  <c r="U162" i="26" s="1"/>
  <c r="V162" i="26" s="1"/>
  <c r="W162" i="26" s="1"/>
  <c r="S177" i="26"/>
  <c r="T182" i="26"/>
  <c r="U183" i="26" s="1"/>
  <c r="V183" i="26" s="1"/>
  <c r="W183" i="26" s="1"/>
  <c r="S159" i="26"/>
  <c r="S89" i="26"/>
  <c r="U106" i="26"/>
  <c r="V106" i="26" s="1"/>
  <c r="W106" i="26" s="1"/>
  <c r="S119" i="26"/>
  <c r="U94" i="26"/>
  <c r="V94" i="26" s="1"/>
  <c r="W94" i="26" s="1"/>
  <c r="S90" i="26"/>
  <c r="U91" i="26" s="1"/>
  <c r="V91" i="26" s="1"/>
  <c r="W91" i="26" s="1"/>
  <c r="T93" i="26"/>
  <c r="S107" i="26"/>
  <c r="U108" i="26" s="1"/>
  <c r="V108" i="26" s="1"/>
  <c r="W108" i="26" s="1"/>
  <c r="T103" i="26"/>
  <c r="U104" i="26" s="1"/>
  <c r="V104" i="26" s="1"/>
  <c r="W104" i="26" s="1"/>
  <c r="S109" i="26"/>
  <c r="T43" i="26"/>
  <c r="U30" i="26"/>
  <c r="V30" i="26" s="1"/>
  <c r="W30" i="26" s="1"/>
  <c r="T51" i="26"/>
  <c r="U18" i="26"/>
  <c r="V18" i="26" s="1"/>
  <c r="W18" i="26" s="1"/>
  <c r="U52" i="26"/>
  <c r="V52" i="26" s="1"/>
  <c r="W52" i="26" s="1"/>
  <c r="S24" i="26"/>
  <c r="U25" i="26" s="1"/>
  <c r="V25" i="26" s="1"/>
  <c r="W25" i="26" s="1"/>
  <c r="S30" i="26"/>
  <c r="U31" i="26" s="1"/>
  <c r="V31" i="26" s="1"/>
  <c r="W31" i="26" s="1"/>
  <c r="U14" i="26"/>
  <c r="V14" i="26" s="1"/>
  <c r="W14" i="26" s="1"/>
  <c r="T31" i="26"/>
  <c r="U60" i="26"/>
  <c r="V60" i="26" s="1"/>
  <c r="W60" i="26" s="1"/>
  <c r="U19" i="26"/>
  <c r="V19" i="26" s="1"/>
  <c r="W19" i="26" s="1"/>
  <c r="U44" i="26"/>
  <c r="V44" i="26" s="1"/>
  <c r="W44" i="26" s="1"/>
  <c r="U54" i="26"/>
  <c r="V54" i="26" s="1"/>
  <c r="W54" i="26" s="1"/>
  <c r="T55" i="26"/>
  <c r="U56" i="26" s="1"/>
  <c r="V56" i="26" s="1"/>
  <c r="W56" i="26" s="1"/>
  <c r="E233" i="26"/>
  <c r="G234" i="26" s="1"/>
  <c r="H234" i="26" s="1"/>
  <c r="I234" i="26" s="1"/>
  <c r="E229" i="26"/>
  <c r="G230" i="26" s="1"/>
  <c r="H230" i="26" s="1"/>
  <c r="I230" i="26" s="1"/>
  <c r="G162" i="26"/>
  <c r="H162" i="26" s="1"/>
  <c r="I162" i="26" s="1"/>
  <c r="G156" i="26"/>
  <c r="H156" i="26" s="1"/>
  <c r="I156" i="26" s="1"/>
  <c r="F166" i="26"/>
  <c r="G167" i="26" s="1"/>
  <c r="H167" i="26" s="1"/>
  <c r="I167" i="26" s="1"/>
  <c r="E177" i="26"/>
  <c r="G178" i="26" s="1"/>
  <c r="H178" i="26" s="1"/>
  <c r="I178" i="26" s="1"/>
  <c r="G158" i="26"/>
  <c r="H158" i="26" s="1"/>
  <c r="I158" i="26" s="1"/>
  <c r="E182" i="26"/>
  <c r="G183" i="26" s="1"/>
  <c r="H183" i="26" s="1"/>
  <c r="I183" i="26" s="1"/>
  <c r="E169" i="26"/>
  <c r="G170" i="26" s="1"/>
  <c r="H170" i="26" s="1"/>
  <c r="I170" i="26" s="1"/>
  <c r="F160" i="26"/>
  <c r="E114" i="26"/>
  <c r="G115" i="26" s="1"/>
  <c r="H115" i="26" s="1"/>
  <c r="I115" i="26" s="1"/>
  <c r="E98" i="26"/>
  <c r="F111" i="26"/>
  <c r="F100" i="26"/>
  <c r="G101" i="26" s="1"/>
  <c r="H101" i="26" s="1"/>
  <c r="I101" i="26" s="1"/>
  <c r="F121" i="26"/>
  <c r="G122" i="26" s="1"/>
  <c r="H122" i="26" s="1"/>
  <c r="I122" i="26" s="1"/>
  <c r="F119" i="26"/>
  <c r="G84" i="26"/>
  <c r="H84" i="26" s="1"/>
  <c r="I84" i="26" s="1"/>
  <c r="E97" i="26"/>
  <c r="G98" i="26" s="1"/>
  <c r="H98" i="26" s="1"/>
  <c r="I98" i="26" s="1"/>
  <c r="E90" i="26"/>
  <c r="G91" i="26" s="1"/>
  <c r="H91" i="26" s="1"/>
  <c r="I91" i="26" s="1"/>
  <c r="G88" i="26"/>
  <c r="H88" i="26" s="1"/>
  <c r="I88" i="26" s="1"/>
  <c r="F108" i="26"/>
  <c r="G109" i="26" s="1"/>
  <c r="H109" i="26" s="1"/>
  <c r="I109" i="26" s="1"/>
  <c r="E16" i="26"/>
  <c r="F16" i="26"/>
  <c r="G17" i="26" s="1"/>
  <c r="H17" i="26" s="1"/>
  <c r="I17" i="26" s="1"/>
  <c r="D28" i="26"/>
  <c r="D31" i="26"/>
  <c r="F31" i="26" s="1"/>
  <c r="D10" i="26"/>
  <c r="F10" i="26" s="1"/>
  <c r="D27" i="26"/>
  <c r="F27" i="26" s="1"/>
  <c r="F26" i="26"/>
  <c r="G27" i="26" s="1"/>
  <c r="H27" i="26" s="1"/>
  <c r="I27" i="26" s="1"/>
  <c r="D21" i="26"/>
  <c r="F21" i="26" s="1"/>
  <c r="D30" i="26"/>
  <c r="F30" i="26" s="1"/>
  <c r="F60" i="26"/>
  <c r="E60" i="26"/>
  <c r="AW37" i="26"/>
  <c r="AX37" i="26" s="1"/>
  <c r="AY37" i="26" s="1"/>
  <c r="AI30" i="26"/>
  <c r="AJ30" i="26" s="1"/>
  <c r="AK30" i="26" s="1"/>
  <c r="BB132" i="26"/>
  <c r="BB127" i="26"/>
  <c r="BB138" i="26"/>
  <c r="BB134" i="26"/>
  <c r="BB137" i="26"/>
  <c r="BB136" i="26"/>
  <c r="BB128" i="26"/>
  <c r="BB131" i="26"/>
  <c r="U101" i="26"/>
  <c r="V101" i="26" s="1"/>
  <c r="W101" i="26" s="1"/>
  <c r="AW33" i="26"/>
  <c r="AX33" i="26" s="1"/>
  <c r="AY33" i="26" s="1"/>
  <c r="AV241" i="26"/>
  <c r="AU241" i="26"/>
  <c r="G232" i="26"/>
  <c r="H232" i="26" s="1"/>
  <c r="I232" i="26" s="1"/>
  <c r="G175" i="26"/>
  <c r="H175" i="26" s="1"/>
  <c r="I175" i="26" s="1"/>
  <c r="AH56" i="26"/>
  <c r="AG56" i="26"/>
  <c r="AG213" i="26"/>
  <c r="AH213" i="26"/>
  <c r="AH195" i="26"/>
  <c r="AG195" i="26"/>
  <c r="E174" i="26"/>
  <c r="U174" i="26"/>
  <c r="V174" i="26" s="1"/>
  <c r="W174" i="26" s="1"/>
  <c r="E86" i="26"/>
  <c r="G87" i="26" s="1"/>
  <c r="H87" i="26" s="1"/>
  <c r="I87" i="26" s="1"/>
  <c r="S111" i="26"/>
  <c r="U112" i="26" s="1"/>
  <c r="V112" i="26" s="1"/>
  <c r="W112" i="26" s="1"/>
  <c r="S57" i="26"/>
  <c r="U58" i="26" s="1"/>
  <c r="V58" i="26" s="1"/>
  <c r="W58" i="26" s="1"/>
  <c r="AU118" i="26"/>
  <c r="AV118" i="26"/>
  <c r="AU55" i="26"/>
  <c r="AW56" i="26" s="1"/>
  <c r="AX56" i="26" s="1"/>
  <c r="AY56" i="26" s="1"/>
  <c r="AW41" i="26"/>
  <c r="AX41" i="26" s="1"/>
  <c r="AY41" i="26" s="1"/>
  <c r="D35" i="26"/>
  <c r="F35" i="26" s="1"/>
  <c r="AU54" i="26"/>
  <c r="AW55" i="26" s="1"/>
  <c r="AX55" i="26" s="1"/>
  <c r="AY55" i="26" s="1"/>
  <c r="T37" i="26"/>
  <c r="U38" i="26" s="1"/>
  <c r="V38" i="26" s="1"/>
  <c r="W38" i="26" s="1"/>
  <c r="AW23" i="26"/>
  <c r="AX23" i="26" s="1"/>
  <c r="AY23" i="26" s="1"/>
  <c r="D49" i="26"/>
  <c r="E49" i="26" s="1"/>
  <c r="D41" i="26"/>
  <c r="E41" i="26" s="1"/>
  <c r="S48" i="26"/>
  <c r="T48" i="26"/>
  <c r="T45" i="26"/>
  <c r="AH42" i="26"/>
  <c r="AG42" i="26"/>
  <c r="AI43" i="26" s="1"/>
  <c r="AJ43" i="26" s="1"/>
  <c r="AK43" i="26" s="1"/>
  <c r="AU44" i="26"/>
  <c r="AW45" i="26" s="1"/>
  <c r="AX45" i="26" s="1"/>
  <c r="AY45" i="26" s="1"/>
  <c r="D22" i="26"/>
  <c r="AI18" i="26"/>
  <c r="AJ18" i="26" s="1"/>
  <c r="AK18" i="26" s="1"/>
  <c r="F17" i="26"/>
  <c r="G18" i="26" s="1"/>
  <c r="H18" i="26" s="1"/>
  <c r="I18" i="26" s="1"/>
  <c r="AH229" i="26"/>
  <c r="AI230" i="26" s="1"/>
  <c r="AJ230" i="26" s="1"/>
  <c r="AK230" i="26" s="1"/>
  <c r="AG229" i="26"/>
  <c r="AU246" i="26"/>
  <c r="AW247" i="26" s="1"/>
  <c r="AX247" i="26" s="1"/>
  <c r="AY247" i="26" s="1"/>
  <c r="U233" i="26"/>
  <c r="V233" i="26" s="1"/>
  <c r="W233" i="26" s="1"/>
  <c r="AV247" i="26"/>
  <c r="AU247" i="26"/>
  <c r="AV234" i="26"/>
  <c r="AW235" i="26" s="1"/>
  <c r="AX235" i="26" s="1"/>
  <c r="AY235" i="26" s="1"/>
  <c r="AI215" i="26"/>
  <c r="AJ215" i="26" s="1"/>
  <c r="AK215" i="26" s="1"/>
  <c r="AU215" i="26"/>
  <c r="AW216" i="26" s="1"/>
  <c r="AX216" i="26" s="1"/>
  <c r="AY216" i="26" s="1"/>
  <c r="AV206" i="26"/>
  <c r="AW207" i="26" s="1"/>
  <c r="AX207" i="26" s="1"/>
  <c r="AY207" i="26" s="1"/>
  <c r="U225" i="26"/>
  <c r="V225" i="26" s="1"/>
  <c r="W225" i="26" s="1"/>
  <c r="E244" i="26"/>
  <c r="F244" i="26"/>
  <c r="AG172" i="26"/>
  <c r="AI173" i="26" s="1"/>
  <c r="AJ173" i="26" s="1"/>
  <c r="AK173" i="26" s="1"/>
  <c r="AI217" i="26"/>
  <c r="AJ217" i="26" s="1"/>
  <c r="AK217" i="26" s="1"/>
  <c r="S218" i="26"/>
  <c r="U219" i="26" s="1"/>
  <c r="V219" i="26" s="1"/>
  <c r="W219" i="26" s="1"/>
  <c r="S208" i="26"/>
  <c r="T208" i="26"/>
  <c r="U209" i="26" s="1"/>
  <c r="V209" i="26" s="1"/>
  <c r="W209" i="26" s="1"/>
  <c r="F241" i="26"/>
  <c r="E241" i="26"/>
  <c r="AG184" i="26"/>
  <c r="AI185" i="26" s="1"/>
  <c r="AJ185" i="26" s="1"/>
  <c r="AK185" i="26" s="1"/>
  <c r="AG175" i="26"/>
  <c r="AI176" i="26" s="1"/>
  <c r="AJ176" i="26" s="1"/>
  <c r="AK176" i="26" s="1"/>
  <c r="BI185" i="26"/>
  <c r="BJ185" i="26"/>
  <c r="G182" i="26"/>
  <c r="H182" i="26" s="1"/>
  <c r="I182" i="26" s="1"/>
  <c r="G246" i="26"/>
  <c r="H246" i="26" s="1"/>
  <c r="I246" i="26" s="1"/>
  <c r="AH185" i="26"/>
  <c r="AN127" i="26" s="1"/>
  <c r="AV172" i="26"/>
  <c r="AW173" i="26" s="1"/>
  <c r="AX173" i="26" s="1"/>
  <c r="AY173" i="26" s="1"/>
  <c r="F172" i="26"/>
  <c r="E172" i="26"/>
  <c r="AW170" i="26"/>
  <c r="AX170" i="26" s="1"/>
  <c r="AY170" i="26" s="1"/>
  <c r="AI177" i="26"/>
  <c r="AJ177" i="26" s="1"/>
  <c r="AK177" i="26" s="1"/>
  <c r="T183" i="26"/>
  <c r="S183" i="26"/>
  <c r="AI164" i="26"/>
  <c r="AJ164" i="26" s="1"/>
  <c r="AK164" i="26" s="1"/>
  <c r="AV161" i="26"/>
  <c r="AU161" i="26"/>
  <c r="S162" i="26"/>
  <c r="T162" i="26"/>
  <c r="E113" i="26"/>
  <c r="G114" i="26" s="1"/>
  <c r="H114" i="26" s="1"/>
  <c r="I114" i="26" s="1"/>
  <c r="BJ164" i="26"/>
  <c r="BI164" i="26"/>
  <c r="AH181" i="26"/>
  <c r="AI182" i="26" s="1"/>
  <c r="AJ182" i="26" s="1"/>
  <c r="AK182" i="26" s="1"/>
  <c r="F180" i="26"/>
  <c r="E180" i="26"/>
  <c r="AU164" i="26"/>
  <c r="AV164" i="26"/>
  <c r="AU170" i="26"/>
  <c r="AU110" i="26"/>
  <c r="AW111" i="26" s="1"/>
  <c r="AX111" i="26" s="1"/>
  <c r="AY111" i="26" s="1"/>
  <c r="BI97" i="26"/>
  <c r="BK98" i="26" s="1"/>
  <c r="BL98" i="26" s="1"/>
  <c r="BM98" i="26" s="1"/>
  <c r="U85" i="26"/>
  <c r="V85" i="26" s="1"/>
  <c r="W85" i="26" s="1"/>
  <c r="U99" i="26"/>
  <c r="V99" i="26" s="1"/>
  <c r="W99" i="26" s="1"/>
  <c r="F89" i="26"/>
  <c r="G90" i="26" s="1"/>
  <c r="H90" i="26" s="1"/>
  <c r="I90" i="26" s="1"/>
  <c r="AG55" i="26"/>
  <c r="AI56" i="26" s="1"/>
  <c r="AJ56" i="26" s="1"/>
  <c r="AK56" i="26" s="1"/>
  <c r="T163" i="26"/>
  <c r="S163" i="26"/>
  <c r="G93" i="26"/>
  <c r="H93" i="26" s="1"/>
  <c r="I93" i="26" s="1"/>
  <c r="AH170" i="26"/>
  <c r="AG170" i="26"/>
  <c r="AU115" i="26"/>
  <c r="AW116" i="26" s="1"/>
  <c r="AX116" i="26" s="1"/>
  <c r="AY116" i="26" s="1"/>
  <c r="U114" i="26"/>
  <c r="V114" i="26" s="1"/>
  <c r="W114" i="26" s="1"/>
  <c r="AU111" i="26"/>
  <c r="AW112" i="26" s="1"/>
  <c r="AX112" i="26" s="1"/>
  <c r="AY112" i="26" s="1"/>
  <c r="G104" i="26"/>
  <c r="H104" i="26" s="1"/>
  <c r="I104" i="26" s="1"/>
  <c r="E96" i="26"/>
  <c r="G97" i="26" s="1"/>
  <c r="H97" i="26" s="1"/>
  <c r="I97" i="26" s="1"/>
  <c r="AV100" i="26"/>
  <c r="AU100" i="26"/>
  <c r="T106" i="26"/>
  <c r="U107" i="26" s="1"/>
  <c r="V107" i="26" s="1"/>
  <c r="W107" i="26" s="1"/>
  <c r="AW94" i="26"/>
  <c r="AX94" i="26" s="1"/>
  <c r="AY94" i="26" s="1"/>
  <c r="BK51" i="26"/>
  <c r="BL51" i="26" s="1"/>
  <c r="BM51" i="26" s="1"/>
  <c r="BK35" i="26"/>
  <c r="BL35" i="26" s="1"/>
  <c r="BM35" i="26" s="1"/>
  <c r="BJ109" i="26"/>
  <c r="BK110" i="26" s="1"/>
  <c r="BL110" i="26" s="1"/>
  <c r="BM110" i="26" s="1"/>
  <c r="AH103" i="26"/>
  <c r="AI104" i="26" s="1"/>
  <c r="AJ104" i="26" s="1"/>
  <c r="AK104" i="26" s="1"/>
  <c r="G86" i="26"/>
  <c r="H86" i="26" s="1"/>
  <c r="I86" i="26" s="1"/>
  <c r="D55" i="26"/>
  <c r="E55" i="26" s="1"/>
  <c r="AI38" i="26"/>
  <c r="AJ38" i="26" s="1"/>
  <c r="AK38" i="26" s="1"/>
  <c r="BJ32" i="26"/>
  <c r="BK33" i="26" s="1"/>
  <c r="BL33" i="26" s="1"/>
  <c r="BM33" i="26" s="1"/>
  <c r="AW38" i="26"/>
  <c r="AX38" i="26" s="1"/>
  <c r="AY38" i="26" s="1"/>
  <c r="AI93" i="26"/>
  <c r="AJ93" i="26" s="1"/>
  <c r="AK93" i="26" s="1"/>
  <c r="D36" i="26"/>
  <c r="F36" i="26" s="1"/>
  <c r="AI27" i="26"/>
  <c r="AJ27" i="26" s="1"/>
  <c r="AK27" i="26" s="1"/>
  <c r="D47" i="26"/>
  <c r="F47" i="26" s="1"/>
  <c r="S91" i="26"/>
  <c r="U92" i="26" s="1"/>
  <c r="V92" i="26" s="1"/>
  <c r="W92" i="26" s="1"/>
  <c r="S42" i="26"/>
  <c r="U43" i="26" s="1"/>
  <c r="V43" i="26" s="1"/>
  <c r="W43" i="26" s="1"/>
  <c r="T42" i="26"/>
  <c r="AH34" i="26"/>
  <c r="AG34" i="26"/>
  <c r="AI35" i="26" s="1"/>
  <c r="AJ35" i="26" s="1"/>
  <c r="AK35" i="26" s="1"/>
  <c r="G111" i="26"/>
  <c r="H111" i="26" s="1"/>
  <c r="I111" i="26" s="1"/>
  <c r="AW60" i="26"/>
  <c r="AX60" i="26" s="1"/>
  <c r="AY60" i="26" s="1"/>
  <c r="D48" i="26"/>
  <c r="F48" i="26" s="1"/>
  <c r="D32" i="26"/>
  <c r="E32" i="26" s="1"/>
  <c r="AH28" i="26"/>
  <c r="AG28" i="26"/>
  <c r="AI29" i="26" s="1"/>
  <c r="AJ29" i="26" s="1"/>
  <c r="AK29" i="26" s="1"/>
  <c r="D40" i="26"/>
  <c r="F40" i="26" s="1"/>
  <c r="D61" i="26"/>
  <c r="S52" i="26"/>
  <c r="T52" i="26"/>
  <c r="D45" i="26"/>
  <c r="F45" i="26" s="1"/>
  <c r="BJ29" i="26"/>
  <c r="BK30" i="26" s="1"/>
  <c r="BL30" i="26" s="1"/>
  <c r="BM30" i="26" s="1"/>
  <c r="AW104" i="26"/>
  <c r="AX104" i="26" s="1"/>
  <c r="AY104" i="26" s="1"/>
  <c r="S50" i="26"/>
  <c r="T50" i="26"/>
  <c r="D37" i="26"/>
  <c r="E37" i="26" s="1"/>
  <c r="AH25" i="26"/>
  <c r="AI26" i="26" s="1"/>
  <c r="AJ26" i="26" s="1"/>
  <c r="AK26" i="26" s="1"/>
  <c r="D18" i="26"/>
  <c r="E18" i="26" s="1"/>
  <c r="D25" i="26"/>
  <c r="T201" i="26"/>
  <c r="S201" i="26"/>
  <c r="AW227" i="26"/>
  <c r="AX227" i="26" s="1"/>
  <c r="AY227" i="26" s="1"/>
  <c r="T160" i="26"/>
  <c r="S160" i="26"/>
  <c r="G161" i="26"/>
  <c r="H161" i="26" s="1"/>
  <c r="I161" i="26" s="1"/>
  <c r="AV32" i="26"/>
  <c r="D23" i="26"/>
  <c r="U245" i="26"/>
  <c r="V245" i="26" s="1"/>
  <c r="W245" i="26" s="1"/>
  <c r="AV244" i="26"/>
  <c r="AW245" i="26" s="1"/>
  <c r="AX245" i="26" s="1"/>
  <c r="AY245" i="26" s="1"/>
  <c r="AV223" i="26"/>
  <c r="AW224" i="26" s="1"/>
  <c r="AX224" i="26" s="1"/>
  <c r="AY224" i="26" s="1"/>
  <c r="AU223" i="26"/>
  <c r="AV202" i="26"/>
  <c r="AU202" i="26"/>
  <c r="AV177" i="26"/>
  <c r="AU177" i="26"/>
  <c r="AU235" i="26"/>
  <c r="AV235" i="26"/>
  <c r="AW236" i="26" s="1"/>
  <c r="AX236" i="26" s="1"/>
  <c r="AY236" i="26" s="1"/>
  <c r="AW199" i="26"/>
  <c r="AX199" i="26" s="1"/>
  <c r="AY199" i="26" s="1"/>
  <c r="AW89" i="26"/>
  <c r="AX89" i="26" s="1"/>
  <c r="AY89" i="26" s="1"/>
  <c r="T165" i="26"/>
  <c r="S165" i="26"/>
  <c r="F117" i="26"/>
  <c r="E117" i="26"/>
  <c r="AH54" i="26"/>
  <c r="AG54" i="26"/>
  <c r="D39" i="26"/>
  <c r="F39" i="26" s="1"/>
  <c r="AH237" i="26"/>
  <c r="AG237" i="26"/>
  <c r="F176" i="26"/>
  <c r="E176" i="26"/>
  <c r="U191" i="26"/>
  <c r="V191" i="26" s="1"/>
  <c r="W191" i="26" s="1"/>
  <c r="T179" i="26"/>
  <c r="S179" i="26"/>
  <c r="BJ166" i="26"/>
  <c r="BI166" i="26"/>
  <c r="AW120" i="26"/>
  <c r="AX120" i="26" s="1"/>
  <c r="AY120" i="26" s="1"/>
  <c r="AH58" i="26"/>
  <c r="AG58" i="26"/>
  <c r="S233" i="26"/>
  <c r="U234" i="26" s="1"/>
  <c r="V234" i="26" s="1"/>
  <c r="W234" i="26" s="1"/>
  <c r="AG226" i="26"/>
  <c r="AI227" i="26" s="1"/>
  <c r="AJ227" i="26" s="1"/>
  <c r="AK227" i="26" s="1"/>
  <c r="U247" i="26"/>
  <c r="V247" i="26" s="1"/>
  <c r="W247" i="26" s="1"/>
  <c r="AW225" i="26"/>
  <c r="AX225" i="26" s="1"/>
  <c r="AY225" i="26" s="1"/>
  <c r="AI229" i="26"/>
  <c r="AJ229" i="26" s="1"/>
  <c r="AK229" i="26" s="1"/>
  <c r="AV245" i="26"/>
  <c r="AU245" i="26"/>
  <c r="T227" i="26"/>
  <c r="U228" i="26" s="1"/>
  <c r="V228" i="26" s="1"/>
  <c r="W228" i="26" s="1"/>
  <c r="AW218" i="26"/>
  <c r="AX218" i="26" s="1"/>
  <c r="AY218" i="26" s="1"/>
  <c r="AH231" i="26"/>
  <c r="AG231" i="26"/>
  <c r="AW206" i="26"/>
  <c r="AX206" i="26" s="1"/>
  <c r="AY206" i="26" s="1"/>
  <c r="AW200" i="26"/>
  <c r="AX200" i="26" s="1"/>
  <c r="AY200" i="26" s="1"/>
  <c r="T215" i="26"/>
  <c r="U216" i="26" s="1"/>
  <c r="V216" i="26" s="1"/>
  <c r="W216" i="26" s="1"/>
  <c r="AU205" i="26"/>
  <c r="T219" i="26"/>
  <c r="U220" i="26" s="1"/>
  <c r="V220" i="26" s="1"/>
  <c r="W220" i="26" s="1"/>
  <c r="U213" i="26"/>
  <c r="V213" i="26" s="1"/>
  <c r="W213" i="26" s="1"/>
  <c r="AV216" i="26"/>
  <c r="AU216" i="26"/>
  <c r="AV200" i="26"/>
  <c r="AW201" i="26" s="1"/>
  <c r="AX201" i="26" s="1"/>
  <c r="AY201" i="26" s="1"/>
  <c r="AU200" i="26"/>
  <c r="T247" i="26"/>
  <c r="Z192" i="26" s="1"/>
  <c r="T207" i="26"/>
  <c r="U208" i="26" s="1"/>
  <c r="V208" i="26" s="1"/>
  <c r="W208" i="26" s="1"/>
  <c r="AI195" i="26"/>
  <c r="AJ195" i="26" s="1"/>
  <c r="AK195" i="26" s="1"/>
  <c r="F243" i="26"/>
  <c r="E243" i="26"/>
  <c r="G244" i="26" s="1"/>
  <c r="H244" i="26" s="1"/>
  <c r="I244" i="26" s="1"/>
  <c r="AI194" i="26"/>
  <c r="AJ194" i="26" s="1"/>
  <c r="AK194" i="26" s="1"/>
  <c r="BK175" i="26"/>
  <c r="BL175" i="26" s="1"/>
  <c r="BM175" i="26" s="1"/>
  <c r="T175" i="26"/>
  <c r="S175" i="26"/>
  <c r="BI177" i="26"/>
  <c r="BK178" i="26" s="1"/>
  <c r="BL178" i="26" s="1"/>
  <c r="BM178" i="26" s="1"/>
  <c r="BJ184" i="26"/>
  <c r="BI184" i="26"/>
  <c r="BI173" i="26"/>
  <c r="BK174" i="26" s="1"/>
  <c r="BL174" i="26" s="1"/>
  <c r="BM174" i="26" s="1"/>
  <c r="BI182" i="26"/>
  <c r="BK183" i="26" s="1"/>
  <c r="BL183" i="26" s="1"/>
  <c r="BM183" i="26" s="1"/>
  <c r="AH167" i="26"/>
  <c r="AI168" i="26" s="1"/>
  <c r="AJ168" i="26" s="1"/>
  <c r="AK168" i="26" s="1"/>
  <c r="E154" i="26"/>
  <c r="G155" i="26" s="1"/>
  <c r="H155" i="26" s="1"/>
  <c r="I155" i="26" s="1"/>
  <c r="BJ171" i="26"/>
  <c r="BK172" i="26" s="1"/>
  <c r="BL172" i="26" s="1"/>
  <c r="BM172" i="26" s="1"/>
  <c r="F156" i="26"/>
  <c r="E156" i="26"/>
  <c r="E158" i="26"/>
  <c r="F158" i="26"/>
  <c r="G159" i="26" s="1"/>
  <c r="H159" i="26" s="1"/>
  <c r="I159" i="26" s="1"/>
  <c r="AV180" i="26"/>
  <c r="AW181" i="26" s="1"/>
  <c r="AX181" i="26" s="1"/>
  <c r="AY181" i="26" s="1"/>
  <c r="F162" i="26"/>
  <c r="E162" i="26"/>
  <c r="AH122" i="26"/>
  <c r="AG122" i="26"/>
  <c r="S169" i="26"/>
  <c r="Z72" i="26"/>
  <c r="Z67" i="26"/>
  <c r="Z73" i="26"/>
  <c r="Z70" i="26"/>
  <c r="Z74" i="26"/>
  <c r="Z71" i="26"/>
  <c r="Z66" i="26"/>
  <c r="Z75" i="26"/>
  <c r="Z69" i="26"/>
  <c r="Z76" i="26"/>
  <c r="Z68" i="26"/>
  <c r="AG110" i="26"/>
  <c r="AI111" i="26" s="1"/>
  <c r="AJ111" i="26" s="1"/>
  <c r="AK111" i="26" s="1"/>
  <c r="F167" i="26"/>
  <c r="G168" i="26" s="1"/>
  <c r="H168" i="26" s="1"/>
  <c r="I168" i="26" s="1"/>
  <c r="S166" i="26"/>
  <c r="T166" i="26"/>
  <c r="T120" i="26"/>
  <c r="S120" i="26"/>
  <c r="U121" i="26" s="1"/>
  <c r="V121" i="26" s="1"/>
  <c r="W121" i="26" s="1"/>
  <c r="AW103" i="26"/>
  <c r="AX103" i="26" s="1"/>
  <c r="AY103" i="26" s="1"/>
  <c r="BI112" i="26"/>
  <c r="BK113" i="26" s="1"/>
  <c r="BL113" i="26" s="1"/>
  <c r="BM113" i="26" s="1"/>
  <c r="BJ104" i="26"/>
  <c r="G96" i="26"/>
  <c r="H96" i="26" s="1"/>
  <c r="I96" i="26" s="1"/>
  <c r="U86" i="26"/>
  <c r="V86" i="26" s="1"/>
  <c r="W86" i="26" s="1"/>
  <c r="BI163" i="26"/>
  <c r="BK164" i="26" s="1"/>
  <c r="BL164" i="26" s="1"/>
  <c r="BM164" i="26" s="1"/>
  <c r="AW164" i="26"/>
  <c r="AX164" i="26" s="1"/>
  <c r="AY164" i="26" s="1"/>
  <c r="AW110" i="26"/>
  <c r="AX110" i="26" s="1"/>
  <c r="AY110" i="26" s="1"/>
  <c r="AU165" i="26"/>
  <c r="AW166" i="26" s="1"/>
  <c r="AX166" i="26" s="1"/>
  <c r="AY166" i="26" s="1"/>
  <c r="AV112" i="26"/>
  <c r="AW113" i="26" s="1"/>
  <c r="AX113" i="26" s="1"/>
  <c r="AY113" i="26" s="1"/>
  <c r="T115" i="26"/>
  <c r="S115" i="26"/>
  <c r="AU58" i="26"/>
  <c r="AV58" i="26"/>
  <c r="AH115" i="26"/>
  <c r="AG115" i="26"/>
  <c r="AI116" i="26" s="1"/>
  <c r="AJ116" i="26" s="1"/>
  <c r="AK116" i="26" s="1"/>
  <c r="BK95" i="26"/>
  <c r="BL95" i="26" s="1"/>
  <c r="BM95" i="26" s="1"/>
  <c r="BI101" i="26"/>
  <c r="BK102" i="26" s="1"/>
  <c r="BL102" i="26" s="1"/>
  <c r="BM102" i="26" s="1"/>
  <c r="AI107" i="26"/>
  <c r="AJ107" i="26" s="1"/>
  <c r="AK107" i="26" s="1"/>
  <c r="AU60" i="26"/>
  <c r="AW61" i="26" s="1"/>
  <c r="AX61" i="26" s="1"/>
  <c r="AY61" i="26" s="1"/>
  <c r="BK47" i="26"/>
  <c r="BL47" i="26" s="1"/>
  <c r="BM47" i="26" s="1"/>
  <c r="F99" i="26"/>
  <c r="E99" i="26"/>
  <c r="G100" i="26" s="1"/>
  <c r="H100" i="26" s="1"/>
  <c r="I100" i="26" s="1"/>
  <c r="BK97" i="26"/>
  <c r="BL97" i="26" s="1"/>
  <c r="BM97" i="26" s="1"/>
  <c r="AW46" i="26"/>
  <c r="AX46" i="26" s="1"/>
  <c r="AY46" i="26" s="1"/>
  <c r="BJ35" i="26"/>
  <c r="BI35" i="26"/>
  <c r="BJ20" i="26"/>
  <c r="BI20" i="26"/>
  <c r="AH52" i="26"/>
  <c r="AG52" i="26"/>
  <c r="AI53" i="26" s="1"/>
  <c r="AJ53" i="26" s="1"/>
  <c r="AK53" i="26" s="1"/>
  <c r="S44" i="26"/>
  <c r="T44" i="26"/>
  <c r="AW35" i="26"/>
  <c r="AX35" i="26" s="1"/>
  <c r="AY35" i="26" s="1"/>
  <c r="AI90" i="26"/>
  <c r="AJ90" i="26" s="1"/>
  <c r="AK90" i="26" s="1"/>
  <c r="S35" i="26"/>
  <c r="U36" i="26" s="1"/>
  <c r="V36" i="26" s="1"/>
  <c r="W36" i="26" s="1"/>
  <c r="S27" i="26"/>
  <c r="U28" i="26" s="1"/>
  <c r="V28" i="26" s="1"/>
  <c r="W28" i="26" s="1"/>
  <c r="T49" i="26"/>
  <c r="U50" i="26" s="1"/>
  <c r="V50" i="26" s="1"/>
  <c r="W50" i="26" s="1"/>
  <c r="AV36" i="26"/>
  <c r="AI213" i="26"/>
  <c r="AJ213" i="26" s="1"/>
  <c r="AK213" i="26" s="1"/>
  <c r="BJ106" i="26"/>
  <c r="BI106" i="26"/>
  <c r="BK107" i="26" s="1"/>
  <c r="BL107" i="26" s="1"/>
  <c r="BM107" i="26" s="1"/>
  <c r="AG43" i="26"/>
  <c r="AI44" i="26" s="1"/>
  <c r="AJ44" i="26" s="1"/>
  <c r="AK44" i="26" s="1"/>
  <c r="AW36" i="26"/>
  <c r="AX36" i="26" s="1"/>
  <c r="AY36" i="26" s="1"/>
  <c r="S61" i="26"/>
  <c r="AV51" i="26"/>
  <c r="D42" i="26"/>
  <c r="F42" i="26" s="1"/>
  <c r="BI26" i="26"/>
  <c r="BK27" i="26" s="1"/>
  <c r="BL27" i="26" s="1"/>
  <c r="BM27" i="26" s="1"/>
  <c r="D20" i="26"/>
  <c r="D34" i="26"/>
  <c r="D14" i="26"/>
  <c r="U239" i="26"/>
  <c r="V239" i="26" s="1"/>
  <c r="W239" i="26" s="1"/>
  <c r="AV212" i="26"/>
  <c r="AU212" i="26"/>
  <c r="AI243" i="26"/>
  <c r="AJ243" i="26" s="1"/>
  <c r="AK243" i="26" s="1"/>
  <c r="AH178" i="26"/>
  <c r="AG178" i="26"/>
  <c r="AH166" i="26"/>
  <c r="AG166" i="26"/>
  <c r="BJ113" i="26"/>
  <c r="BI113" i="26"/>
  <c r="F118" i="26"/>
  <c r="G119" i="26" s="1"/>
  <c r="H119" i="26" s="1"/>
  <c r="I119" i="26" s="1"/>
  <c r="T102" i="26"/>
  <c r="S102" i="26"/>
  <c r="F116" i="26"/>
  <c r="G117" i="26" s="1"/>
  <c r="H117" i="26" s="1"/>
  <c r="I117" i="26" s="1"/>
  <c r="BP7" i="26"/>
  <c r="BP6" i="26"/>
  <c r="BP14" i="26"/>
  <c r="BP12" i="26"/>
  <c r="BP13" i="26"/>
  <c r="BP3" i="26"/>
  <c r="BP9" i="26"/>
  <c r="BP4" i="26"/>
  <c r="BP11" i="26"/>
  <c r="BP8" i="26"/>
  <c r="BP10" i="26"/>
  <c r="BP5" i="26"/>
  <c r="T110" i="26"/>
  <c r="S110" i="26"/>
  <c r="U90" i="26"/>
  <c r="V90" i="26" s="1"/>
  <c r="W90" i="26" s="1"/>
  <c r="U203" i="26"/>
  <c r="V203" i="26" s="1"/>
  <c r="W203" i="26" s="1"/>
  <c r="AI247" i="26"/>
  <c r="AJ247" i="26" s="1"/>
  <c r="AK247" i="26" s="1"/>
  <c r="BJ172" i="26"/>
  <c r="BI172" i="26"/>
  <c r="AG205" i="26"/>
  <c r="AH205" i="26"/>
  <c r="AI206" i="26" s="1"/>
  <c r="AJ206" i="26" s="1"/>
  <c r="AK206" i="26" s="1"/>
  <c r="AV209" i="26"/>
  <c r="AW210" i="26" s="1"/>
  <c r="AX210" i="26" s="1"/>
  <c r="AY210" i="26" s="1"/>
  <c r="AU209" i="26"/>
  <c r="AW222" i="26"/>
  <c r="AX222" i="26" s="1"/>
  <c r="AY222" i="26" s="1"/>
  <c r="AW202" i="26"/>
  <c r="AX202" i="26" s="1"/>
  <c r="AY202" i="26" s="1"/>
  <c r="Z134" i="26"/>
  <c r="Z137" i="26"/>
  <c r="Z129" i="26"/>
  <c r="Z132" i="26"/>
  <c r="Z135" i="26"/>
  <c r="Z127" i="26"/>
  <c r="Z128" i="26"/>
  <c r="Z131" i="26"/>
  <c r="Z130" i="26"/>
  <c r="Z133" i="26"/>
  <c r="Z138" i="26"/>
  <c r="Z136" i="26"/>
  <c r="U97" i="26"/>
  <c r="V97" i="26" s="1"/>
  <c r="W97" i="26" s="1"/>
  <c r="BJ176" i="26"/>
  <c r="BI176" i="26"/>
  <c r="AI114" i="26"/>
  <c r="AJ114" i="26" s="1"/>
  <c r="AK114" i="26" s="1"/>
  <c r="BI54" i="26"/>
  <c r="BK55" i="26" s="1"/>
  <c r="BL55" i="26" s="1"/>
  <c r="BM55" i="26" s="1"/>
  <c r="D46" i="26"/>
  <c r="F46" i="26" s="1"/>
  <c r="AV61" i="26"/>
  <c r="BB8" i="26" s="1"/>
  <c r="AW28" i="26"/>
  <c r="AX28" i="26" s="1"/>
  <c r="AY28" i="26" s="1"/>
  <c r="D44" i="26"/>
  <c r="F44" i="26" s="1"/>
  <c r="AH29" i="26"/>
  <c r="D43" i="26"/>
  <c r="F43" i="26" s="1"/>
  <c r="D13" i="26"/>
  <c r="Z197" i="26"/>
  <c r="Z194" i="26"/>
  <c r="Z191" i="26"/>
  <c r="Z196" i="26"/>
  <c r="Z195" i="26"/>
  <c r="Z193" i="26"/>
  <c r="Z190" i="26"/>
  <c r="Z189" i="26"/>
  <c r="Z200" i="26"/>
  <c r="Z199" i="26"/>
  <c r="Z198" i="26"/>
  <c r="T239" i="26"/>
  <c r="U240" i="26" s="1"/>
  <c r="V240" i="26" s="1"/>
  <c r="W240" i="26" s="1"/>
  <c r="AU227" i="26"/>
  <c r="AV227" i="26"/>
  <c r="E236" i="26"/>
  <c r="F236" i="26"/>
  <c r="S193" i="26"/>
  <c r="T193" i="26"/>
  <c r="AG224" i="26"/>
  <c r="AI225" i="26" s="1"/>
  <c r="AJ225" i="26" s="1"/>
  <c r="AK225" i="26" s="1"/>
  <c r="S220" i="26"/>
  <c r="T220" i="26"/>
  <c r="E238" i="26"/>
  <c r="F238" i="26"/>
  <c r="AG243" i="26"/>
  <c r="AH243" i="26"/>
  <c r="AI244" i="26" s="1"/>
  <c r="AJ244" i="26" s="1"/>
  <c r="AK244" i="26" s="1"/>
  <c r="AI193" i="26"/>
  <c r="AJ193" i="26" s="1"/>
  <c r="AK193" i="26" s="1"/>
  <c r="AG198" i="26"/>
  <c r="AI199" i="26" s="1"/>
  <c r="AJ199" i="26" s="1"/>
  <c r="AK199" i="26" s="1"/>
  <c r="S172" i="26"/>
  <c r="U173" i="26" s="1"/>
  <c r="V173" i="26" s="1"/>
  <c r="W173" i="26" s="1"/>
  <c r="AV181" i="26"/>
  <c r="AU181" i="26"/>
  <c r="BK171" i="26"/>
  <c r="BL171" i="26" s="1"/>
  <c r="BM171" i="26" s="1"/>
  <c r="U181" i="26"/>
  <c r="V181" i="26" s="1"/>
  <c r="W181" i="26" s="1"/>
  <c r="G166" i="26"/>
  <c r="H166" i="26" s="1"/>
  <c r="I166" i="26" s="1"/>
  <c r="E170" i="26"/>
  <c r="G171" i="26" s="1"/>
  <c r="H171" i="26" s="1"/>
  <c r="I171" i="26" s="1"/>
  <c r="AI184" i="26"/>
  <c r="AJ184" i="26" s="1"/>
  <c r="AK184" i="26" s="1"/>
  <c r="S156" i="26"/>
  <c r="T156" i="26"/>
  <c r="G160" i="26"/>
  <c r="H160" i="26" s="1"/>
  <c r="I160" i="26" s="1"/>
  <c r="F175" i="26"/>
  <c r="G176" i="26" s="1"/>
  <c r="H176" i="26" s="1"/>
  <c r="I176" i="26" s="1"/>
  <c r="G120" i="26"/>
  <c r="H120" i="26" s="1"/>
  <c r="I120" i="26" s="1"/>
  <c r="G112" i="26"/>
  <c r="H112" i="26" s="1"/>
  <c r="I112" i="26" s="1"/>
  <c r="E115" i="26"/>
  <c r="G116" i="26" s="1"/>
  <c r="H116" i="26" s="1"/>
  <c r="I116" i="26" s="1"/>
  <c r="G110" i="26"/>
  <c r="H110" i="26" s="1"/>
  <c r="I110" i="26" s="1"/>
  <c r="G94" i="26"/>
  <c r="H94" i="26" s="1"/>
  <c r="I94" i="26" s="1"/>
  <c r="E123" i="26"/>
  <c r="AN67" i="26"/>
  <c r="AN70" i="26"/>
  <c r="AN76" i="26"/>
  <c r="AN68" i="26"/>
  <c r="AN66" i="26"/>
  <c r="AN72" i="26"/>
  <c r="AN71" i="26"/>
  <c r="T121" i="26"/>
  <c r="U122" i="26" s="1"/>
  <c r="V122" i="26" s="1"/>
  <c r="W122" i="26" s="1"/>
  <c r="T158" i="26"/>
  <c r="S158" i="26"/>
  <c r="BI110" i="26"/>
  <c r="BK111" i="26" s="1"/>
  <c r="BL111" i="26" s="1"/>
  <c r="BM111" i="26" s="1"/>
  <c r="AV92" i="26"/>
  <c r="AU92" i="26"/>
  <c r="AW93" i="26" s="1"/>
  <c r="AX93" i="26" s="1"/>
  <c r="AY93" i="26" s="1"/>
  <c r="AV56" i="26"/>
  <c r="AU56" i="26"/>
  <c r="BJ116" i="26"/>
  <c r="BI116" i="26"/>
  <c r="E164" i="26"/>
  <c r="G165" i="26" s="1"/>
  <c r="H165" i="26" s="1"/>
  <c r="I165" i="26" s="1"/>
  <c r="AI110" i="26"/>
  <c r="AJ110" i="26" s="1"/>
  <c r="AK110" i="26" s="1"/>
  <c r="AH44" i="26"/>
  <c r="AG44" i="26"/>
  <c r="AI45" i="26" s="1"/>
  <c r="AJ45" i="26" s="1"/>
  <c r="AK45" i="26" s="1"/>
  <c r="U87" i="26"/>
  <c r="V87" i="26" s="1"/>
  <c r="W87" i="26" s="1"/>
  <c r="BK29" i="26"/>
  <c r="BL29" i="26" s="1"/>
  <c r="BM29" i="26" s="1"/>
  <c r="BK116" i="26"/>
  <c r="BL116" i="26" s="1"/>
  <c r="BM116" i="26" s="1"/>
  <c r="U34" i="26"/>
  <c r="V34" i="26" s="1"/>
  <c r="W34" i="26" s="1"/>
  <c r="G103" i="26"/>
  <c r="H103" i="26" s="1"/>
  <c r="I103" i="26" s="1"/>
  <c r="AW43" i="26"/>
  <c r="AX43" i="26" s="1"/>
  <c r="AY43" i="26" s="1"/>
  <c r="AI28" i="26"/>
  <c r="AJ28" i="26" s="1"/>
  <c r="AK28" i="26" s="1"/>
  <c r="S22" i="26"/>
  <c r="U23" i="26" s="1"/>
  <c r="V23" i="26" s="1"/>
  <c r="W23" i="26" s="1"/>
  <c r="BJ59" i="26"/>
  <c r="BK60" i="26" s="1"/>
  <c r="BL60" i="26" s="1"/>
  <c r="BM60" i="26" s="1"/>
  <c r="S38" i="26"/>
  <c r="U39" i="26" s="1"/>
  <c r="V39" i="26" s="1"/>
  <c r="W39" i="26" s="1"/>
  <c r="AI25" i="26"/>
  <c r="AJ25" i="26" s="1"/>
  <c r="AK25" i="26" s="1"/>
  <c r="U59" i="26"/>
  <c r="V59" i="26" s="1"/>
  <c r="W59" i="26" s="1"/>
  <c r="E47" i="26"/>
  <c r="D51" i="26"/>
  <c r="F51" i="26" s="1"/>
  <c r="U13" i="26"/>
  <c r="V13" i="26" s="1"/>
  <c r="W13" i="26" s="1"/>
  <c r="S54" i="26"/>
  <c r="U55" i="26" s="1"/>
  <c r="V55" i="26" s="1"/>
  <c r="W55" i="26" s="1"/>
  <c r="T54" i="26"/>
  <c r="AI48" i="26"/>
  <c r="AJ48" i="26" s="1"/>
  <c r="AK48" i="26" s="1"/>
  <c r="BK94" i="26"/>
  <c r="BL94" i="26" s="1"/>
  <c r="BM94" i="26" s="1"/>
  <c r="AW52" i="26"/>
  <c r="AX52" i="26" s="1"/>
  <c r="AY52" i="26" s="1"/>
  <c r="AG33" i="26"/>
  <c r="AI34" i="26" s="1"/>
  <c r="AJ34" i="26" s="1"/>
  <c r="AK34" i="26" s="1"/>
  <c r="D58" i="26"/>
  <c r="BI39" i="26"/>
  <c r="BJ39" i="26"/>
  <c r="D19" i="26"/>
  <c r="F19" i="26" s="1"/>
  <c r="U20" i="26"/>
  <c r="V20" i="26" s="1"/>
  <c r="W20" i="26" s="1"/>
  <c r="U170" i="26"/>
  <c r="V170" i="26" s="1"/>
  <c r="W170" i="26" s="1"/>
  <c r="BK92" i="26"/>
  <c r="BL92" i="26" s="1"/>
  <c r="BM92" i="26" s="1"/>
  <c r="F94" i="26"/>
  <c r="E94" i="26"/>
  <c r="AW48" i="26"/>
  <c r="AX48" i="26" s="1"/>
  <c r="AY48" i="26" s="1"/>
  <c r="AW219" i="26"/>
  <c r="AX219" i="26" s="1"/>
  <c r="AY219" i="26" s="1"/>
  <c r="L131" i="26"/>
  <c r="L134" i="26"/>
  <c r="L137" i="26"/>
  <c r="L129" i="26"/>
  <c r="L132" i="26"/>
  <c r="L128" i="26"/>
  <c r="L127" i="26"/>
  <c r="L130" i="26"/>
  <c r="L136" i="26"/>
  <c r="L135" i="26"/>
  <c r="L133" i="26"/>
  <c r="L138" i="26"/>
  <c r="AG160" i="26"/>
  <c r="AH160" i="26"/>
  <c r="BJ180" i="26"/>
  <c r="BI180" i="26"/>
  <c r="BK106" i="26"/>
  <c r="BL106" i="26" s="1"/>
  <c r="BM106" i="26" s="1"/>
  <c r="AV113" i="26"/>
  <c r="AU113" i="26"/>
  <c r="AW114" i="26" s="1"/>
  <c r="AX114" i="26" s="1"/>
  <c r="AY114" i="26" s="1"/>
  <c r="G99" i="26"/>
  <c r="H99" i="26" s="1"/>
  <c r="I99" i="26" s="1"/>
  <c r="E246" i="26"/>
  <c r="F246" i="26"/>
  <c r="AV237" i="26"/>
  <c r="AW238" i="26" s="1"/>
  <c r="AX238" i="26" s="1"/>
  <c r="AY238" i="26" s="1"/>
  <c r="AU237" i="26"/>
  <c r="AV239" i="26"/>
  <c r="AU239" i="26"/>
  <c r="AU208" i="26"/>
  <c r="AV208" i="26"/>
  <c r="AW215" i="26"/>
  <c r="AX215" i="26" s="1"/>
  <c r="AY215" i="26" s="1"/>
  <c r="F171" i="26"/>
  <c r="G172" i="26" s="1"/>
  <c r="H172" i="26" s="1"/>
  <c r="I172" i="26" s="1"/>
  <c r="U198" i="26"/>
  <c r="V198" i="26" s="1"/>
  <c r="W198" i="26" s="1"/>
  <c r="AI181" i="26"/>
  <c r="AJ181" i="26" s="1"/>
  <c r="AK181" i="26" s="1"/>
  <c r="S171" i="26"/>
  <c r="U172" i="26" s="1"/>
  <c r="V172" i="26" s="1"/>
  <c r="W172" i="26" s="1"/>
  <c r="AV162" i="26"/>
  <c r="AU162" i="26"/>
  <c r="U105" i="26"/>
  <c r="V105" i="26" s="1"/>
  <c r="W105" i="26" s="1"/>
  <c r="AU96" i="26"/>
  <c r="AW97" i="26" s="1"/>
  <c r="AX97" i="26" s="1"/>
  <c r="AY97" i="26" s="1"/>
  <c r="T94" i="26"/>
  <c r="S94" i="26"/>
  <c r="U95" i="26" s="1"/>
  <c r="V95" i="26" s="1"/>
  <c r="W95" i="26" s="1"/>
  <c r="BK49" i="26"/>
  <c r="BL49" i="26" s="1"/>
  <c r="BM49" i="26" s="1"/>
  <c r="U110" i="26"/>
  <c r="V110" i="26" s="1"/>
  <c r="W110" i="26" s="1"/>
  <c r="BJ33" i="26"/>
  <c r="BI33" i="26"/>
  <c r="BK34" i="26" s="1"/>
  <c r="BL34" i="26" s="1"/>
  <c r="BM34" i="26" s="1"/>
  <c r="AH50" i="26"/>
  <c r="AG50" i="26"/>
  <c r="AI51" i="26" s="1"/>
  <c r="AJ51" i="26" s="1"/>
  <c r="AK51" i="26" s="1"/>
  <c r="E232" i="26"/>
  <c r="F232" i="26"/>
  <c r="E237" i="26"/>
  <c r="G238" i="26" s="1"/>
  <c r="H238" i="26" s="1"/>
  <c r="I238" i="26" s="1"/>
  <c r="AI245" i="26"/>
  <c r="AJ245" i="26" s="1"/>
  <c r="AK245" i="26" s="1"/>
  <c r="U236" i="26"/>
  <c r="V236" i="26" s="1"/>
  <c r="W236" i="26" s="1"/>
  <c r="E234" i="26"/>
  <c r="G235" i="26" s="1"/>
  <c r="H235" i="26" s="1"/>
  <c r="I235" i="26" s="1"/>
  <c r="F234" i="26"/>
  <c r="AU171" i="26"/>
  <c r="AW172" i="26" s="1"/>
  <c r="AX172" i="26" s="1"/>
  <c r="AY172" i="26" s="1"/>
  <c r="S184" i="26"/>
  <c r="U185" i="26" s="1"/>
  <c r="V185" i="26" s="1"/>
  <c r="W185" i="26" s="1"/>
  <c r="AW229" i="26"/>
  <c r="AX229" i="26" s="1"/>
  <c r="AY229" i="26" s="1"/>
  <c r="BJ165" i="26"/>
  <c r="BK166" i="26" s="1"/>
  <c r="BL166" i="26" s="1"/>
  <c r="BM166" i="26" s="1"/>
  <c r="G169" i="26"/>
  <c r="H169" i="26" s="1"/>
  <c r="I169" i="26" s="1"/>
  <c r="E173" i="26"/>
  <c r="G174" i="26" s="1"/>
  <c r="H174" i="26" s="1"/>
  <c r="I174" i="26" s="1"/>
  <c r="U168" i="26"/>
  <c r="V168" i="26" s="1"/>
  <c r="W168" i="26" s="1"/>
  <c r="U160" i="26"/>
  <c r="V160" i="26" s="1"/>
  <c r="W160" i="26" s="1"/>
  <c r="S112" i="26"/>
  <c r="T112" i="26"/>
  <c r="F112" i="26"/>
  <c r="G113" i="26" s="1"/>
  <c r="H113" i="26" s="1"/>
  <c r="I113" i="26" s="1"/>
  <c r="AI94" i="26"/>
  <c r="AJ94" i="26" s="1"/>
  <c r="AK94" i="26" s="1"/>
  <c r="G83" i="26"/>
  <c r="H83" i="26" s="1"/>
  <c r="I83" i="26" s="1"/>
  <c r="BK182" i="26"/>
  <c r="BL182" i="26" s="1"/>
  <c r="BM182" i="26" s="1"/>
  <c r="AV123" i="26"/>
  <c r="BB73" i="26" s="1"/>
  <c r="BK105" i="26"/>
  <c r="BL105" i="26" s="1"/>
  <c r="BM105" i="26" s="1"/>
  <c r="E122" i="26"/>
  <c r="G123" i="26" s="1"/>
  <c r="H123" i="26" s="1"/>
  <c r="I123" i="26" s="1"/>
  <c r="S101" i="26"/>
  <c r="U102" i="26" s="1"/>
  <c r="V102" i="26" s="1"/>
  <c r="W102" i="26" s="1"/>
  <c r="S108" i="26"/>
  <c r="U109" i="26" s="1"/>
  <c r="V109" i="26" s="1"/>
  <c r="W109" i="26" s="1"/>
  <c r="S99" i="26"/>
  <c r="U100" i="26" s="1"/>
  <c r="V100" i="26" s="1"/>
  <c r="W100" i="26" s="1"/>
  <c r="AI39" i="26"/>
  <c r="AJ39" i="26" s="1"/>
  <c r="AK39" i="26" s="1"/>
  <c r="AV108" i="26"/>
  <c r="AU108" i="26"/>
  <c r="AW109" i="26" s="1"/>
  <c r="AX109" i="26" s="1"/>
  <c r="AY109" i="26" s="1"/>
  <c r="F61" i="26"/>
  <c r="E61" i="26"/>
  <c r="AH161" i="26"/>
  <c r="AG161" i="26"/>
  <c r="T100" i="26"/>
  <c r="D38" i="26"/>
  <c r="E38" i="26" s="1"/>
  <c r="E34" i="26"/>
  <c r="F34" i="26"/>
  <c r="AI109" i="26"/>
  <c r="AJ109" i="26" s="1"/>
  <c r="AK109" i="26" s="1"/>
  <c r="D53" i="26"/>
  <c r="E53" i="26" s="1"/>
  <c r="AH30" i="26"/>
  <c r="AI31" i="26" s="1"/>
  <c r="AJ31" i="26" s="1"/>
  <c r="AK31" i="26" s="1"/>
  <c r="BJ31" i="26"/>
  <c r="BI31" i="26"/>
  <c r="BK32" i="26" s="1"/>
  <c r="BL32" i="26" s="1"/>
  <c r="BM32" i="26" s="1"/>
  <c r="AW51" i="26"/>
  <c r="AX51" i="26" s="1"/>
  <c r="AY51" i="26" s="1"/>
  <c r="AW27" i="26"/>
  <c r="AX27" i="26" s="1"/>
  <c r="AY27" i="26" s="1"/>
  <c r="U57" i="26"/>
  <c r="V57" i="26" s="1"/>
  <c r="W57" i="26" s="1"/>
  <c r="D50" i="26"/>
  <c r="U32" i="26"/>
  <c r="V32" i="26" s="1"/>
  <c r="W32" i="26" s="1"/>
  <c r="AI47" i="26"/>
  <c r="AJ47" i="26" s="1"/>
  <c r="AK47" i="26" s="1"/>
  <c r="T95" i="26"/>
  <c r="U96" i="26" s="1"/>
  <c r="V96" i="26" s="1"/>
  <c r="W96" i="26" s="1"/>
  <c r="S40" i="26"/>
  <c r="T40" i="26"/>
  <c r="U61" i="26"/>
  <c r="V61" i="26" s="1"/>
  <c r="W61" i="26" s="1"/>
  <c r="AU48" i="26"/>
  <c r="AW49" i="26" s="1"/>
  <c r="AX49" i="26" s="1"/>
  <c r="AY49" i="26" s="1"/>
  <c r="S25" i="26"/>
  <c r="T25" i="26"/>
  <c r="D57" i="26"/>
  <c r="F53" i="26"/>
  <c r="E84" i="26"/>
  <c r="G85" i="26" s="1"/>
  <c r="H85" i="26" s="1"/>
  <c r="I85" i="26" s="1"/>
  <c r="D59" i="26"/>
  <c r="F59" i="26" s="1"/>
  <c r="AG31" i="26"/>
  <c r="AI32" i="26" s="1"/>
  <c r="AJ32" i="26" s="1"/>
  <c r="AK32" i="26" s="1"/>
  <c r="AI41" i="26"/>
  <c r="AJ41" i="26" s="1"/>
  <c r="AK41" i="26" s="1"/>
  <c r="BK26" i="26"/>
  <c r="BL26" i="26" s="1"/>
  <c r="BM26" i="26" s="1"/>
  <c r="AU23" i="26"/>
  <c r="AW24" i="26" s="1"/>
  <c r="AX24" i="26" s="1"/>
  <c r="AY24" i="26" s="1"/>
  <c r="D11" i="26"/>
  <c r="F11" i="26" s="1"/>
  <c r="U235" i="26"/>
  <c r="V235" i="26" s="1"/>
  <c r="W235" i="26" s="1"/>
  <c r="AH182" i="26"/>
  <c r="AG182" i="26"/>
  <c r="BJ168" i="26"/>
  <c r="BI168" i="26"/>
  <c r="U117" i="26"/>
  <c r="V117" i="26" s="1"/>
  <c r="W117" i="26" s="1"/>
  <c r="S46" i="26"/>
  <c r="T46" i="26"/>
  <c r="AW22" i="26"/>
  <c r="AX22" i="26" s="1"/>
  <c r="AY22" i="26" s="1"/>
  <c r="U222" i="26"/>
  <c r="V222" i="26" s="1"/>
  <c r="W222" i="26" s="1"/>
  <c r="AV229" i="26"/>
  <c r="AU229" i="26"/>
  <c r="G179" i="26"/>
  <c r="H179" i="26" s="1"/>
  <c r="I179" i="26" s="1"/>
  <c r="AI100" i="26"/>
  <c r="AJ100" i="26" s="1"/>
  <c r="AK100" i="26" s="1"/>
  <c r="BJ121" i="26"/>
  <c r="BI121" i="26"/>
  <c r="BK122" i="26" s="1"/>
  <c r="BL122" i="26" s="1"/>
  <c r="BM122" i="26" s="1"/>
  <c r="U46" i="26"/>
  <c r="V46" i="26" s="1"/>
  <c r="W46" i="26" s="1"/>
  <c r="AG239" i="26"/>
  <c r="AH239" i="26"/>
  <c r="AI240" i="26" s="1"/>
  <c r="AJ240" i="26" s="1"/>
  <c r="AK240" i="26" s="1"/>
  <c r="U193" i="26"/>
  <c r="V193" i="26" s="1"/>
  <c r="W193" i="26" s="1"/>
  <c r="F226" i="26"/>
  <c r="E226" i="26"/>
  <c r="G227" i="26" s="1"/>
  <c r="H227" i="26" s="1"/>
  <c r="I227" i="26" s="1"/>
  <c r="F239" i="26"/>
  <c r="E239" i="26"/>
  <c r="S200" i="26"/>
  <c r="U201" i="26" s="1"/>
  <c r="V201" i="26" s="1"/>
  <c r="W201" i="26" s="1"/>
  <c r="AH174" i="26"/>
  <c r="AG174" i="26"/>
  <c r="BI167" i="26"/>
  <c r="BJ167" i="26"/>
  <c r="BI123" i="26"/>
  <c r="BJ123" i="26"/>
  <c r="AH159" i="26"/>
  <c r="AG159" i="26"/>
  <c r="AH118" i="26"/>
  <c r="AG118" i="26"/>
  <c r="AI163" i="26"/>
  <c r="AJ163" i="26" s="1"/>
  <c r="AK163" i="26" s="1"/>
  <c r="F107" i="26"/>
  <c r="E107" i="26"/>
  <c r="BB76" i="26"/>
  <c r="BB71" i="26"/>
  <c r="BB69" i="26"/>
  <c r="BB66" i="26"/>
  <c r="BB67" i="26"/>
  <c r="F88" i="26"/>
  <c r="E88" i="26"/>
  <c r="G89" i="26" s="1"/>
  <c r="H89" i="26" s="1"/>
  <c r="I89" i="26" s="1"/>
  <c r="AV57" i="26"/>
  <c r="AW58" i="26" s="1"/>
  <c r="AX58" i="26" s="1"/>
  <c r="AY58" i="26" s="1"/>
  <c r="BJ103" i="26"/>
  <c r="BI103" i="26"/>
  <c r="AV43" i="26"/>
  <c r="AW44" i="26" s="1"/>
  <c r="AX44" i="26" s="1"/>
  <c r="AY44" i="26" s="1"/>
  <c r="S117" i="26"/>
  <c r="U118" i="26" s="1"/>
  <c r="V118" i="26" s="1"/>
  <c r="W118" i="26" s="1"/>
  <c r="D54" i="26"/>
  <c r="E54" i="26" s="1"/>
  <c r="F50" i="26"/>
  <c r="E50" i="26"/>
  <c r="BB12" i="26"/>
  <c r="D15" i="26"/>
  <c r="AU238" i="26"/>
  <c r="AW239" i="26" s="1"/>
  <c r="AX239" i="26" s="1"/>
  <c r="AY239" i="26" s="1"/>
  <c r="E240" i="26"/>
  <c r="F240" i="26"/>
  <c r="AV243" i="26"/>
  <c r="AU243" i="26"/>
  <c r="AG217" i="26"/>
  <c r="AH217" i="26"/>
  <c r="AI218" i="26" s="1"/>
  <c r="AJ218" i="26" s="1"/>
  <c r="AK218" i="26" s="1"/>
  <c r="F247" i="26"/>
  <c r="E247" i="26"/>
  <c r="F227" i="26"/>
  <c r="E227" i="26"/>
  <c r="AV233" i="26"/>
  <c r="AU233" i="26"/>
  <c r="E242" i="26"/>
  <c r="F242" i="26"/>
  <c r="AV219" i="26"/>
  <c r="AU219" i="26"/>
  <c r="AW233" i="26"/>
  <c r="AX233" i="26" s="1"/>
  <c r="AY233" i="26" s="1"/>
  <c r="E228" i="26"/>
  <c r="F228" i="26"/>
  <c r="E230" i="26"/>
  <c r="G231" i="26" s="1"/>
  <c r="H231" i="26" s="1"/>
  <c r="I231" i="26" s="1"/>
  <c r="F230" i="26"/>
  <c r="U230" i="26"/>
  <c r="V230" i="26" s="1"/>
  <c r="W230" i="26" s="1"/>
  <c r="AG209" i="26"/>
  <c r="AH209" i="26"/>
  <c r="T223" i="26"/>
  <c r="U224" i="26" s="1"/>
  <c r="V224" i="26" s="1"/>
  <c r="W224" i="26" s="1"/>
  <c r="S223" i="26"/>
  <c r="AV213" i="26"/>
  <c r="AU213" i="26"/>
  <c r="U205" i="26"/>
  <c r="V205" i="26" s="1"/>
  <c r="W205" i="26" s="1"/>
  <c r="AI211" i="26"/>
  <c r="AJ211" i="26" s="1"/>
  <c r="AK211" i="26" s="1"/>
  <c r="AH200" i="26"/>
  <c r="AG200" i="26"/>
  <c r="T195" i="26"/>
  <c r="U196" i="26" s="1"/>
  <c r="V196" i="26" s="1"/>
  <c r="W196" i="26" s="1"/>
  <c r="S195" i="26"/>
  <c r="AV231" i="26"/>
  <c r="AU231" i="26"/>
  <c r="AG247" i="26"/>
  <c r="AH247" i="26"/>
  <c r="AH177" i="26"/>
  <c r="AI178" i="26" s="1"/>
  <c r="AJ178" i="26" s="1"/>
  <c r="AK178" i="26" s="1"/>
  <c r="F184" i="26"/>
  <c r="E184" i="26"/>
  <c r="G236" i="26"/>
  <c r="H236" i="26" s="1"/>
  <c r="I236" i="26" s="1"/>
  <c r="AW171" i="26"/>
  <c r="AX171" i="26" s="1"/>
  <c r="AY171" i="26" s="1"/>
  <c r="BK118" i="26"/>
  <c r="BL118" i="26" s="1"/>
  <c r="BM118" i="26" s="1"/>
  <c r="T174" i="26"/>
  <c r="U175" i="26" s="1"/>
  <c r="V175" i="26" s="1"/>
  <c r="W175" i="26" s="1"/>
  <c r="AV173" i="26"/>
  <c r="AU173" i="26"/>
  <c r="U238" i="26"/>
  <c r="V238" i="26" s="1"/>
  <c r="W238" i="26" s="1"/>
  <c r="AI108" i="26"/>
  <c r="AJ108" i="26" s="1"/>
  <c r="AK108" i="26" s="1"/>
  <c r="U120" i="26"/>
  <c r="V120" i="26" s="1"/>
  <c r="W120" i="26" s="1"/>
  <c r="AN9" i="26"/>
  <c r="AN8" i="26"/>
  <c r="AN5" i="26"/>
  <c r="AN11" i="26"/>
  <c r="AN7" i="26"/>
  <c r="AN6" i="26"/>
  <c r="AN3" i="26"/>
  <c r="AN10" i="26"/>
  <c r="AN14" i="26"/>
  <c r="AN12" i="26"/>
  <c r="AN4" i="26"/>
  <c r="AN13" i="26"/>
  <c r="AV121" i="26"/>
  <c r="AU121" i="26"/>
  <c r="AW122" i="26" s="1"/>
  <c r="AX122" i="26" s="1"/>
  <c r="AY122" i="26" s="1"/>
  <c r="AW92" i="26"/>
  <c r="AX92" i="26" s="1"/>
  <c r="AY92" i="26" s="1"/>
  <c r="AV120" i="26"/>
  <c r="AW121" i="26" s="1"/>
  <c r="AX121" i="26" s="1"/>
  <c r="AY121" i="26" s="1"/>
  <c r="S92" i="26"/>
  <c r="U93" i="26" s="1"/>
  <c r="V93" i="26" s="1"/>
  <c r="W93" i="26" s="1"/>
  <c r="AH36" i="26"/>
  <c r="AG36" i="26"/>
  <c r="BK41" i="26"/>
  <c r="BL41" i="26" s="1"/>
  <c r="BM41" i="26" s="1"/>
  <c r="G107" i="26"/>
  <c r="H107" i="26" s="1"/>
  <c r="I107" i="26" s="1"/>
  <c r="AW100" i="26"/>
  <c r="AX100" i="26" s="1"/>
  <c r="AY100" i="26" s="1"/>
  <c r="T41" i="26"/>
  <c r="U42" i="26" s="1"/>
  <c r="V42" i="26" s="1"/>
  <c r="W42" i="26" s="1"/>
  <c r="AW54" i="26"/>
  <c r="AX54" i="26" s="1"/>
  <c r="AY54" i="26" s="1"/>
  <c r="T97" i="26"/>
  <c r="S97" i="26"/>
  <c r="D52" i="26"/>
  <c r="F52" i="26" s="1"/>
  <c r="AG35" i="26"/>
  <c r="AI36" i="26" s="1"/>
  <c r="AJ36" i="26" s="1"/>
  <c r="AK36" i="26" s="1"/>
  <c r="AI23" i="26"/>
  <c r="AJ23" i="26" s="1"/>
  <c r="AK23" i="26" s="1"/>
  <c r="AW39" i="26"/>
  <c r="AX39" i="26" s="1"/>
  <c r="AY39" i="26" s="1"/>
  <c r="AW25" i="26"/>
  <c r="AX25" i="26" s="1"/>
  <c r="AY25" i="26" s="1"/>
  <c r="T114" i="26"/>
  <c r="U115" i="26" s="1"/>
  <c r="V115" i="26" s="1"/>
  <c r="W115" i="26" s="1"/>
  <c r="BI56" i="26"/>
  <c r="BK57" i="26" s="1"/>
  <c r="BL57" i="26" s="1"/>
  <c r="BM57" i="26" s="1"/>
  <c r="AH48" i="26"/>
  <c r="AG48" i="26"/>
  <c r="AI49" i="26" s="1"/>
  <c r="AJ49" i="26" s="1"/>
  <c r="AK49" i="26" s="1"/>
  <c r="D56" i="26"/>
  <c r="D33" i="26"/>
  <c r="F33" i="26" s="1"/>
  <c r="U16" i="26"/>
  <c r="V16" i="26" s="1"/>
  <c r="W16" i="26" s="1"/>
  <c r="D24" i="26"/>
  <c r="F20" i="26"/>
  <c r="E20" i="26"/>
  <c r="D12" i="26"/>
  <c r="S23" i="26"/>
  <c r="T23" i="26"/>
  <c r="D29" i="26"/>
  <c r="F29" i="26" s="1"/>
  <c r="BK181" i="26" l="1"/>
  <c r="BL181" i="26" s="1"/>
  <c r="BM181" i="26" s="1"/>
  <c r="BK177" i="26"/>
  <c r="BL177" i="26" s="1"/>
  <c r="BM177" i="26" s="1"/>
  <c r="BK165" i="26"/>
  <c r="BL165" i="26" s="1"/>
  <c r="BM165" i="26" s="1"/>
  <c r="AW209" i="26"/>
  <c r="AX209" i="26" s="1"/>
  <c r="AY209" i="26" s="1"/>
  <c r="AW228" i="26"/>
  <c r="AX228" i="26" s="1"/>
  <c r="AY228" i="26" s="1"/>
  <c r="AW232" i="26"/>
  <c r="AX232" i="26" s="1"/>
  <c r="AY232" i="26" s="1"/>
  <c r="AW244" i="26"/>
  <c r="AX244" i="26" s="1"/>
  <c r="AY244" i="26" s="1"/>
  <c r="AW213" i="26"/>
  <c r="AX213" i="26" s="1"/>
  <c r="AY213" i="26" s="1"/>
  <c r="AW234" i="26"/>
  <c r="AX234" i="26" s="1"/>
  <c r="AY234" i="26" s="1"/>
  <c r="AW246" i="26"/>
  <c r="AX246" i="26" s="1"/>
  <c r="AY246" i="26" s="1"/>
  <c r="AW214" i="26"/>
  <c r="AX214" i="26" s="1"/>
  <c r="AY214" i="26" s="1"/>
  <c r="BB129" i="26"/>
  <c r="BB135" i="26"/>
  <c r="BB133" i="26"/>
  <c r="BB65" i="26"/>
  <c r="BB74" i="26"/>
  <c r="BB75" i="26"/>
  <c r="BB70" i="26"/>
  <c r="AZ2" i="26"/>
  <c r="BB14" i="26"/>
  <c r="AW57" i="26"/>
  <c r="AX57" i="26" s="1"/>
  <c r="AY57" i="26" s="1"/>
  <c r="AW59" i="26"/>
  <c r="AX59" i="26" s="1"/>
  <c r="AY59" i="26" s="1"/>
  <c r="AI238" i="26"/>
  <c r="AJ238" i="26" s="1"/>
  <c r="AK238" i="26" s="1"/>
  <c r="AI210" i="26"/>
  <c r="AJ210" i="26" s="1"/>
  <c r="AK210" i="26" s="1"/>
  <c r="AI162" i="26"/>
  <c r="AJ162" i="26" s="1"/>
  <c r="AK162" i="26" s="1"/>
  <c r="AI161" i="26"/>
  <c r="AJ161" i="26" s="1"/>
  <c r="AK161" i="26" s="1"/>
  <c r="AN136" i="26"/>
  <c r="AN133" i="26"/>
  <c r="AN132" i="26"/>
  <c r="AN129" i="26"/>
  <c r="AN69" i="26"/>
  <c r="AN73" i="26"/>
  <c r="AN65" i="26"/>
  <c r="AN74" i="26"/>
  <c r="AI119" i="26"/>
  <c r="AJ119" i="26" s="1"/>
  <c r="AK119" i="26" s="1"/>
  <c r="AI55" i="26"/>
  <c r="AJ55" i="26" s="1"/>
  <c r="AK55" i="26" s="1"/>
  <c r="U161" i="26"/>
  <c r="V161" i="26" s="1"/>
  <c r="W161" i="26" s="1"/>
  <c r="U184" i="26"/>
  <c r="V184" i="26" s="1"/>
  <c r="W184" i="26" s="1"/>
  <c r="U113" i="26"/>
  <c r="V113" i="26" s="1"/>
  <c r="W113" i="26" s="1"/>
  <c r="U116" i="26"/>
  <c r="V116" i="26" s="1"/>
  <c r="W116" i="26" s="1"/>
  <c r="U51" i="26"/>
  <c r="V51" i="26" s="1"/>
  <c r="W51" i="26" s="1"/>
  <c r="U41" i="26"/>
  <c r="V41" i="26" s="1"/>
  <c r="W41" i="26" s="1"/>
  <c r="U53" i="26"/>
  <c r="V53" i="26" s="1"/>
  <c r="W53" i="26" s="1"/>
  <c r="G241" i="26"/>
  <c r="H241" i="26" s="1"/>
  <c r="I241" i="26" s="1"/>
  <c r="G233" i="26"/>
  <c r="H233" i="26" s="1"/>
  <c r="I233" i="26" s="1"/>
  <c r="G237" i="26"/>
  <c r="H237" i="26" s="1"/>
  <c r="I237" i="26" s="1"/>
  <c r="G247" i="26"/>
  <c r="H247" i="26" s="1"/>
  <c r="I247" i="26" s="1"/>
  <c r="G185" i="26"/>
  <c r="H185" i="26" s="1"/>
  <c r="I185" i="26" s="1"/>
  <c r="G177" i="26"/>
  <c r="H177" i="26" s="1"/>
  <c r="I177" i="26" s="1"/>
  <c r="G118" i="26"/>
  <c r="H118" i="26" s="1"/>
  <c r="I118" i="26" s="1"/>
  <c r="G95" i="26"/>
  <c r="H95" i="26" s="1"/>
  <c r="I95" i="26" s="1"/>
  <c r="G108" i="26"/>
  <c r="H108" i="26" s="1"/>
  <c r="I108" i="26" s="1"/>
  <c r="E28" i="26"/>
  <c r="F28" i="26"/>
  <c r="F55" i="26"/>
  <c r="G56" i="26" s="1"/>
  <c r="H56" i="26" s="1"/>
  <c r="I56" i="26" s="1"/>
  <c r="E10" i="26"/>
  <c r="E46" i="26"/>
  <c r="G47" i="26" s="1"/>
  <c r="H47" i="26" s="1"/>
  <c r="I47" i="26" s="1"/>
  <c r="E48" i="26"/>
  <c r="E35" i="26"/>
  <c r="E31" i="26"/>
  <c r="G32" i="26" s="1"/>
  <c r="H32" i="26" s="1"/>
  <c r="I32" i="26" s="1"/>
  <c r="G11" i="26"/>
  <c r="H11" i="26" s="1"/>
  <c r="I11" i="26" s="1"/>
  <c r="F41" i="26"/>
  <c r="G42" i="26" s="1"/>
  <c r="H42" i="26" s="1"/>
  <c r="I42" i="26" s="1"/>
  <c r="E19" i="26"/>
  <c r="E29" i="26"/>
  <c r="G30" i="26" s="1"/>
  <c r="H30" i="26" s="1"/>
  <c r="I30" i="26" s="1"/>
  <c r="E42" i="26"/>
  <c r="G43" i="26" s="1"/>
  <c r="H43" i="26" s="1"/>
  <c r="I43" i="26" s="1"/>
  <c r="E21" i="26"/>
  <c r="G22" i="26" s="1"/>
  <c r="H22" i="26" s="1"/>
  <c r="I22" i="26" s="1"/>
  <c r="E43" i="26"/>
  <c r="E36" i="26"/>
  <c r="G37" i="26" s="1"/>
  <c r="H37" i="26" s="1"/>
  <c r="I37" i="26" s="1"/>
  <c r="E30" i="26"/>
  <c r="G31" i="26" s="1"/>
  <c r="H31" i="26" s="1"/>
  <c r="I31" i="26" s="1"/>
  <c r="G51" i="26"/>
  <c r="H51" i="26" s="1"/>
  <c r="I51" i="26" s="1"/>
  <c r="G48" i="26"/>
  <c r="H48" i="26" s="1"/>
  <c r="I48" i="26" s="1"/>
  <c r="E59" i="26"/>
  <c r="G60" i="26" s="1"/>
  <c r="H60" i="26" s="1"/>
  <c r="I60" i="26" s="1"/>
  <c r="G36" i="26"/>
  <c r="H36" i="26" s="1"/>
  <c r="I36" i="26" s="1"/>
  <c r="F32" i="26"/>
  <c r="G33" i="26" s="1"/>
  <c r="H33" i="26" s="1"/>
  <c r="I33" i="26" s="1"/>
  <c r="G54" i="26"/>
  <c r="H54" i="26" s="1"/>
  <c r="I54" i="26" s="1"/>
  <c r="E27" i="26"/>
  <c r="G28" i="26" s="1"/>
  <c r="H28" i="26" s="1"/>
  <c r="I28" i="26" s="1"/>
  <c r="F38" i="26"/>
  <c r="G39" i="26" s="1"/>
  <c r="H39" i="26" s="1"/>
  <c r="I39" i="26" s="1"/>
  <c r="G173" i="26"/>
  <c r="H173" i="26" s="1"/>
  <c r="I173" i="26" s="1"/>
  <c r="E45" i="26"/>
  <c r="G46" i="26" s="1"/>
  <c r="H46" i="26" s="1"/>
  <c r="I46" i="26" s="1"/>
  <c r="G49" i="26"/>
  <c r="H49" i="26" s="1"/>
  <c r="I49" i="26" s="1"/>
  <c r="G229" i="26"/>
  <c r="H229" i="26" s="1"/>
  <c r="I229" i="26" s="1"/>
  <c r="G228" i="26"/>
  <c r="H228" i="26" s="1"/>
  <c r="I228" i="26" s="1"/>
  <c r="BB13" i="26"/>
  <c r="BB11" i="26"/>
  <c r="BB68" i="26"/>
  <c r="BK168" i="26"/>
  <c r="BL168" i="26" s="1"/>
  <c r="BM168" i="26" s="1"/>
  <c r="U47" i="26"/>
  <c r="V47" i="26" s="1"/>
  <c r="W47" i="26" s="1"/>
  <c r="F49" i="26"/>
  <c r="G50" i="26" s="1"/>
  <c r="H50" i="26" s="1"/>
  <c r="I50" i="26" s="1"/>
  <c r="E58" i="26"/>
  <c r="F58" i="26"/>
  <c r="BK114" i="26"/>
  <c r="BL114" i="26" s="1"/>
  <c r="BM114" i="26" s="1"/>
  <c r="BK36" i="26"/>
  <c r="BL36" i="26" s="1"/>
  <c r="BM36" i="26" s="1"/>
  <c r="G163" i="26"/>
  <c r="H163" i="26" s="1"/>
  <c r="I163" i="26" s="1"/>
  <c r="U176" i="26"/>
  <c r="V176" i="26" s="1"/>
  <c r="W176" i="26" s="1"/>
  <c r="U164" i="26"/>
  <c r="V164" i="26" s="1"/>
  <c r="W164" i="26" s="1"/>
  <c r="AW165" i="26"/>
  <c r="AX165" i="26" s="1"/>
  <c r="AY165" i="26" s="1"/>
  <c r="U163" i="26"/>
  <c r="V163" i="26" s="1"/>
  <c r="W163" i="26" s="1"/>
  <c r="F37" i="26"/>
  <c r="G38" i="26" s="1"/>
  <c r="H38" i="26" s="1"/>
  <c r="I38" i="26" s="1"/>
  <c r="AN128" i="26"/>
  <c r="AN135" i="26"/>
  <c r="BK167" i="26"/>
  <c r="BL167" i="26" s="1"/>
  <c r="BM167" i="26" s="1"/>
  <c r="F12" i="26"/>
  <c r="E12" i="26"/>
  <c r="U98" i="26"/>
  <c r="V98" i="26" s="1"/>
  <c r="W98" i="26" s="1"/>
  <c r="AI37" i="26"/>
  <c r="AJ37" i="26" s="1"/>
  <c r="AK37" i="26" s="1"/>
  <c r="AL2" i="26" s="1"/>
  <c r="AW174" i="26"/>
  <c r="AX174" i="26" s="1"/>
  <c r="AY174" i="26" s="1"/>
  <c r="AI201" i="26"/>
  <c r="AJ201" i="26" s="1"/>
  <c r="AK201" i="26" s="1"/>
  <c r="AW220" i="26"/>
  <c r="AX220" i="26" s="1"/>
  <c r="AY220" i="26" s="1"/>
  <c r="F15" i="26"/>
  <c r="E15" i="26"/>
  <c r="BB6" i="26"/>
  <c r="AI175" i="26"/>
  <c r="AJ175" i="26" s="1"/>
  <c r="AK175" i="26" s="1"/>
  <c r="BK169" i="26"/>
  <c r="BL169" i="26" s="1"/>
  <c r="BM169" i="26" s="1"/>
  <c r="G35" i="26"/>
  <c r="H35" i="26" s="1"/>
  <c r="I35" i="26" s="1"/>
  <c r="L69" i="26"/>
  <c r="L72" i="26"/>
  <c r="L67" i="26"/>
  <c r="L73" i="26"/>
  <c r="L70" i="26"/>
  <c r="L65" i="26"/>
  <c r="L74" i="26"/>
  <c r="L68" i="26"/>
  <c r="L76" i="26"/>
  <c r="L75" i="26"/>
  <c r="L71" i="26"/>
  <c r="L66" i="26"/>
  <c r="U157" i="26"/>
  <c r="V157" i="26" s="1"/>
  <c r="W157" i="26" s="1"/>
  <c r="AW182" i="26"/>
  <c r="AX182" i="26" s="1"/>
  <c r="AY182" i="26" s="1"/>
  <c r="U221" i="26"/>
  <c r="V221" i="26" s="1"/>
  <c r="W221" i="26" s="1"/>
  <c r="E39" i="26"/>
  <c r="G40" i="26" s="1"/>
  <c r="H40" i="26" s="1"/>
  <c r="I40" i="26" s="1"/>
  <c r="AI167" i="26"/>
  <c r="AJ167" i="26" s="1"/>
  <c r="AK167" i="26" s="1"/>
  <c r="U45" i="26"/>
  <c r="V45" i="26" s="1"/>
  <c r="W45" i="26" s="1"/>
  <c r="AW217" i="26"/>
  <c r="AX217" i="26" s="1"/>
  <c r="AY217" i="26" s="1"/>
  <c r="AI232" i="26"/>
  <c r="AJ232" i="26" s="1"/>
  <c r="AK232" i="26" s="1"/>
  <c r="E51" i="26"/>
  <c r="G52" i="26" s="1"/>
  <c r="H52" i="26" s="1"/>
  <c r="I52" i="26" s="1"/>
  <c r="G181" i="26"/>
  <c r="H181" i="26" s="1"/>
  <c r="I181" i="26" s="1"/>
  <c r="AW162" i="26"/>
  <c r="AX162" i="26" s="1"/>
  <c r="AY162" i="26" s="1"/>
  <c r="BB197" i="26"/>
  <c r="BB196" i="26"/>
  <c r="BB193" i="26"/>
  <c r="BB190" i="26"/>
  <c r="BB195" i="26"/>
  <c r="BB189" i="26"/>
  <c r="BB194" i="26"/>
  <c r="BB192" i="26"/>
  <c r="BB191" i="26"/>
  <c r="BB200" i="26"/>
  <c r="BB198" i="26"/>
  <c r="BB199" i="26"/>
  <c r="AN134" i="26"/>
  <c r="AN137" i="26"/>
  <c r="G20" i="26"/>
  <c r="H20" i="26" s="1"/>
  <c r="I20" i="26" s="1"/>
  <c r="E57" i="26"/>
  <c r="F57" i="26"/>
  <c r="BP135" i="26"/>
  <c r="BP127" i="26"/>
  <c r="BP138" i="26"/>
  <c r="BP130" i="26"/>
  <c r="BP133" i="26"/>
  <c r="BP136" i="26"/>
  <c r="BP128" i="26"/>
  <c r="BP137" i="26"/>
  <c r="BP132" i="26"/>
  <c r="BP134" i="26"/>
  <c r="BP131" i="26"/>
  <c r="BP129" i="26"/>
  <c r="L13" i="26"/>
  <c r="AQ264" i="26" s="1"/>
  <c r="L4" i="26"/>
  <c r="AH264" i="26" s="1"/>
  <c r="L14" i="26"/>
  <c r="AR264" i="26" s="1"/>
  <c r="L9" i="26"/>
  <c r="AM264" i="26" s="1"/>
  <c r="L6" i="26"/>
  <c r="AJ264" i="26" s="1"/>
  <c r="L5" i="26"/>
  <c r="AI264" i="26" s="1"/>
  <c r="L12" i="26"/>
  <c r="AP264" i="26" s="1"/>
  <c r="L8" i="26"/>
  <c r="AL264" i="26" s="1"/>
  <c r="L7" i="26"/>
  <c r="AK264" i="26" s="1"/>
  <c r="L11" i="26"/>
  <c r="AO264" i="26" s="1"/>
  <c r="L3" i="26"/>
  <c r="AG264" i="26" s="1"/>
  <c r="L10" i="26"/>
  <c r="AN264" i="26" s="1"/>
  <c r="BK173" i="26"/>
  <c r="BL173" i="26" s="1"/>
  <c r="BM173" i="26" s="1"/>
  <c r="E52" i="26"/>
  <c r="G53" i="26" s="1"/>
  <c r="H53" i="26" s="1"/>
  <c r="I53" i="26" s="1"/>
  <c r="AN197" i="26"/>
  <c r="AN194" i="26"/>
  <c r="AN196" i="26"/>
  <c r="AN195" i="26"/>
  <c r="AN190" i="26"/>
  <c r="AN193" i="26"/>
  <c r="AN189" i="26"/>
  <c r="AN200" i="26"/>
  <c r="AN199" i="26"/>
  <c r="AN198" i="26"/>
  <c r="AN191" i="26"/>
  <c r="AN192" i="26"/>
  <c r="E11" i="26"/>
  <c r="G12" i="26" s="1"/>
  <c r="H12" i="26" s="1"/>
  <c r="I12" i="26" s="1"/>
  <c r="BB7" i="26"/>
  <c r="AW230" i="26"/>
  <c r="AX230" i="26" s="1"/>
  <c r="AY230" i="26" s="1"/>
  <c r="U26" i="26"/>
  <c r="V26" i="26" s="1"/>
  <c r="W26" i="26" s="1"/>
  <c r="AW163" i="26"/>
  <c r="AX163" i="26" s="1"/>
  <c r="AY163" i="26" s="1"/>
  <c r="BK185" i="26"/>
  <c r="BL185" i="26" s="1"/>
  <c r="BM185" i="26" s="1"/>
  <c r="U180" i="26"/>
  <c r="V180" i="26" s="1"/>
  <c r="W180" i="26" s="1"/>
  <c r="U166" i="26"/>
  <c r="V166" i="26" s="1"/>
  <c r="W166" i="26" s="1"/>
  <c r="AW203" i="26"/>
  <c r="AX203" i="26" s="1"/>
  <c r="AY203" i="26" s="1"/>
  <c r="AZ188" i="26" s="1"/>
  <c r="U202" i="26"/>
  <c r="V202" i="26" s="1"/>
  <c r="W202" i="26" s="1"/>
  <c r="E33" i="26"/>
  <c r="G34" i="26" s="1"/>
  <c r="H34" i="26" s="1"/>
  <c r="I34" i="26" s="1"/>
  <c r="AI196" i="26"/>
  <c r="AJ196" i="26" s="1"/>
  <c r="AK196" i="26" s="1"/>
  <c r="AN131" i="26"/>
  <c r="F13" i="26"/>
  <c r="E13" i="26"/>
  <c r="G44" i="26"/>
  <c r="H44" i="26" s="1"/>
  <c r="I44" i="26" s="1"/>
  <c r="G21" i="26"/>
  <c r="H21" i="26" s="1"/>
  <c r="I21" i="26" s="1"/>
  <c r="F56" i="26"/>
  <c r="E56" i="26"/>
  <c r="G243" i="26"/>
  <c r="H243" i="26" s="1"/>
  <c r="I243" i="26" s="1"/>
  <c r="BB10" i="26"/>
  <c r="BB72" i="26"/>
  <c r="AI160" i="26"/>
  <c r="AJ160" i="26" s="1"/>
  <c r="AK160" i="26" s="1"/>
  <c r="G240" i="26"/>
  <c r="H240" i="26" s="1"/>
  <c r="I240" i="26" s="1"/>
  <c r="AI183" i="26"/>
  <c r="AJ183" i="26" s="1"/>
  <c r="AK183" i="26" s="1"/>
  <c r="AW240" i="26"/>
  <c r="AX240" i="26" s="1"/>
  <c r="AY240" i="26" s="1"/>
  <c r="BK40" i="26"/>
  <c r="BL40" i="26" s="1"/>
  <c r="BM40" i="26" s="1"/>
  <c r="BK117" i="26"/>
  <c r="BL117" i="26" s="1"/>
  <c r="BM117" i="26" s="1"/>
  <c r="U159" i="26"/>
  <c r="V159" i="26" s="1"/>
  <c r="W159" i="26" s="1"/>
  <c r="U103" i="26"/>
  <c r="V103" i="26" s="1"/>
  <c r="W103" i="26" s="1"/>
  <c r="AI179" i="26"/>
  <c r="AJ179" i="26" s="1"/>
  <c r="AK179" i="26" s="1"/>
  <c r="U167" i="26"/>
  <c r="V167" i="26" s="1"/>
  <c r="W167" i="26" s="1"/>
  <c r="AI123" i="26"/>
  <c r="AJ123" i="26" s="1"/>
  <c r="AK123" i="26" s="1"/>
  <c r="AL64" i="26" s="1"/>
  <c r="G157" i="26"/>
  <c r="H157" i="26" s="1"/>
  <c r="I157" i="26" s="1"/>
  <c r="AI59" i="26"/>
  <c r="AJ59" i="26" s="1"/>
  <c r="AK59" i="26" s="1"/>
  <c r="AW101" i="26"/>
  <c r="AX101" i="26" s="1"/>
  <c r="AY101" i="26" s="1"/>
  <c r="AZ64" i="26" s="1"/>
  <c r="AI171" i="26"/>
  <c r="AJ171" i="26" s="1"/>
  <c r="AK171" i="26" s="1"/>
  <c r="G242" i="26"/>
  <c r="H242" i="26" s="1"/>
  <c r="I242" i="26" s="1"/>
  <c r="G245" i="26"/>
  <c r="H245" i="26" s="1"/>
  <c r="I245" i="26" s="1"/>
  <c r="F18" i="26"/>
  <c r="G19" i="26" s="1"/>
  <c r="H19" i="26" s="1"/>
  <c r="I19" i="26" s="1"/>
  <c r="U49" i="26"/>
  <c r="V49" i="26" s="1"/>
  <c r="W49" i="26" s="1"/>
  <c r="AW119" i="26"/>
  <c r="AX119" i="26" s="1"/>
  <c r="AY119" i="26" s="1"/>
  <c r="AI214" i="26"/>
  <c r="AJ214" i="26" s="1"/>
  <c r="AK214" i="26" s="1"/>
  <c r="AW242" i="26"/>
  <c r="AX242" i="26" s="1"/>
  <c r="AY242" i="26" s="1"/>
  <c r="AN130" i="26"/>
  <c r="G239" i="26"/>
  <c r="H239" i="26" s="1"/>
  <c r="I239" i="26" s="1"/>
  <c r="AW178" i="26"/>
  <c r="AX178" i="26" s="1"/>
  <c r="AY178" i="26" s="1"/>
  <c r="BB4" i="26"/>
  <c r="BB5" i="26"/>
  <c r="BK104" i="26"/>
  <c r="BL104" i="26" s="1"/>
  <c r="BM104" i="26" s="1"/>
  <c r="J64" i="26"/>
  <c r="F54" i="26"/>
  <c r="G55" i="26" s="1"/>
  <c r="H55" i="26" s="1"/>
  <c r="I55" i="26" s="1"/>
  <c r="U194" i="26"/>
  <c r="V194" i="26" s="1"/>
  <c r="W194" i="26" s="1"/>
  <c r="E40" i="26"/>
  <c r="G41" i="26" s="1"/>
  <c r="H41" i="26" s="1"/>
  <c r="I41" i="26" s="1"/>
  <c r="U111" i="26"/>
  <c r="V111" i="26" s="1"/>
  <c r="W111" i="26" s="1"/>
  <c r="E14" i="26"/>
  <c r="F14" i="26"/>
  <c r="Z12" i="26"/>
  <c r="Z4" i="26"/>
  <c r="Z13" i="26"/>
  <c r="Z11" i="26"/>
  <c r="Z14" i="26"/>
  <c r="Z9" i="26"/>
  <c r="Z5" i="26"/>
  <c r="Z8" i="26"/>
  <c r="Z7" i="26"/>
  <c r="Z6" i="26"/>
  <c r="Z10" i="26"/>
  <c r="Z3" i="26"/>
  <c r="BK21" i="26"/>
  <c r="BL21" i="26" s="1"/>
  <c r="BM21" i="26" s="1"/>
  <c r="E44" i="26"/>
  <c r="G45" i="26" s="1"/>
  <c r="H45" i="26" s="1"/>
  <c r="I45" i="26" s="1"/>
  <c r="AN138" i="26"/>
  <c r="G61" i="26"/>
  <c r="H61" i="26" s="1"/>
  <c r="I61" i="26" s="1"/>
  <c r="U24" i="26"/>
  <c r="V24" i="26" s="1"/>
  <c r="W24" i="26" s="1"/>
  <c r="L197" i="26"/>
  <c r="L194" i="26"/>
  <c r="L191" i="26"/>
  <c r="L196" i="26"/>
  <c r="L190" i="26"/>
  <c r="L195" i="26"/>
  <c r="L193" i="26"/>
  <c r="L192" i="26"/>
  <c r="L200" i="26"/>
  <c r="L199" i="26"/>
  <c r="L189" i="26"/>
  <c r="L198" i="26"/>
  <c r="F23" i="26"/>
  <c r="E23" i="26"/>
  <c r="F24" i="26"/>
  <c r="E24" i="26"/>
  <c r="BB9" i="26"/>
  <c r="BP75" i="26"/>
  <c r="BP74" i="26"/>
  <c r="BP65" i="26"/>
  <c r="BP68" i="26"/>
  <c r="BP71" i="26"/>
  <c r="BP66" i="26"/>
  <c r="BP72" i="26"/>
  <c r="BP67" i="26"/>
  <c r="BP76" i="26"/>
  <c r="BP70" i="26"/>
  <c r="BP73" i="26"/>
  <c r="BP69" i="26"/>
  <c r="E25" i="26"/>
  <c r="F25" i="26"/>
  <c r="F22" i="26"/>
  <c r="E22" i="26"/>
  <c r="AI57" i="26"/>
  <c r="AJ57" i="26" s="1"/>
  <c r="AK57" i="26" s="1"/>
  <c r="G29" i="26" l="1"/>
  <c r="H29" i="26" s="1"/>
  <c r="I29" i="26" s="1"/>
  <c r="G25" i="26"/>
  <c r="H25" i="26" s="1"/>
  <c r="I25" i="26" s="1"/>
  <c r="BN126" i="26"/>
  <c r="BN64" i="26"/>
  <c r="AL188" i="26"/>
  <c r="X188" i="26"/>
  <c r="X64" i="26"/>
  <c r="X2" i="26"/>
  <c r="J188" i="26"/>
  <c r="J126" i="26"/>
  <c r="G59" i="26"/>
  <c r="H59" i="26" s="1"/>
  <c r="I59" i="26" s="1"/>
  <c r="G26" i="26"/>
  <c r="H26" i="26" s="1"/>
  <c r="I26" i="26" s="1"/>
  <c r="G58" i="26"/>
  <c r="H58" i="26" s="1"/>
  <c r="I58" i="26" s="1"/>
  <c r="G23" i="26"/>
  <c r="H23" i="26" s="1"/>
  <c r="I23" i="26" s="1"/>
  <c r="G16" i="26"/>
  <c r="H16" i="26" s="1"/>
  <c r="I16" i="26" s="1"/>
  <c r="G24" i="26"/>
  <c r="H24" i="26" s="1"/>
  <c r="I24" i="26" s="1"/>
  <c r="G15" i="26"/>
  <c r="H15" i="26" s="1"/>
  <c r="I15" i="26" s="1"/>
  <c r="X126" i="26"/>
  <c r="G13" i="26"/>
  <c r="H13" i="26" s="1"/>
  <c r="I13" i="26" s="1"/>
  <c r="J2" i="26" s="1"/>
  <c r="AE264" i="26" s="1"/>
  <c r="G57" i="26"/>
  <c r="H57" i="26" s="1"/>
  <c r="I57" i="26" s="1"/>
  <c r="BN2" i="26"/>
  <c r="AL126" i="26"/>
  <c r="G14" i="26"/>
  <c r="H14" i="26" s="1"/>
  <c r="I14" i="26" s="1"/>
  <c r="AZ126" i="26"/>
  <c r="H17" i="14" l="1"/>
  <c r="G17" i="14"/>
  <c r="G15" i="14"/>
  <c r="H13" i="14"/>
  <c r="G13" i="14"/>
  <c r="G11" i="14"/>
  <c r="H62" i="25" l="1"/>
  <c r="E62" i="25"/>
  <c r="H61" i="25"/>
  <c r="E61" i="25"/>
  <c r="H60" i="25"/>
  <c r="E60" i="25"/>
  <c r="H59" i="25"/>
  <c r="E59" i="25"/>
  <c r="H58" i="25"/>
  <c r="E58" i="25"/>
  <c r="H57" i="25"/>
  <c r="E57" i="25"/>
  <c r="H56" i="25"/>
  <c r="E56" i="25"/>
  <c r="H55" i="25"/>
  <c r="E55" i="25"/>
  <c r="H54" i="25"/>
  <c r="E54" i="25"/>
  <c r="H53" i="25"/>
  <c r="E53" i="25"/>
  <c r="H52" i="25"/>
  <c r="E52" i="25"/>
  <c r="H51" i="25"/>
  <c r="E51" i="25"/>
  <c r="H50" i="25"/>
  <c r="E50" i="25"/>
  <c r="H49" i="25"/>
  <c r="E49" i="25"/>
  <c r="H48" i="25"/>
  <c r="E48" i="25"/>
  <c r="H47" i="25"/>
  <c r="E47" i="25"/>
  <c r="H46" i="25"/>
  <c r="E46" i="25"/>
  <c r="H45" i="25"/>
  <c r="E45" i="25"/>
  <c r="H44" i="25"/>
  <c r="E44" i="25"/>
  <c r="H43" i="25"/>
  <c r="E43" i="25"/>
  <c r="H42" i="25"/>
  <c r="E42" i="25"/>
  <c r="H41" i="25"/>
  <c r="E41" i="25"/>
  <c r="H40" i="25"/>
  <c r="E40" i="25"/>
  <c r="H39" i="25"/>
  <c r="E39" i="25"/>
  <c r="H38" i="25"/>
  <c r="E38" i="25"/>
  <c r="H37" i="25"/>
  <c r="E37" i="25"/>
  <c r="H36" i="25"/>
  <c r="E36" i="25"/>
  <c r="H35" i="25"/>
  <c r="E35" i="25"/>
  <c r="H34" i="25"/>
  <c r="E34" i="25"/>
  <c r="H33" i="25"/>
  <c r="E33" i="25"/>
  <c r="H32" i="25"/>
  <c r="E32" i="25"/>
  <c r="H31" i="25"/>
  <c r="E31" i="25"/>
  <c r="H30" i="25"/>
  <c r="E30" i="25"/>
  <c r="H29" i="25"/>
  <c r="E29" i="25"/>
  <c r="H28" i="25"/>
  <c r="E28" i="25"/>
  <c r="H27" i="25"/>
  <c r="E27" i="25"/>
  <c r="H26" i="25"/>
  <c r="E26" i="25"/>
  <c r="H25" i="25"/>
  <c r="E25" i="25"/>
  <c r="H24" i="25"/>
  <c r="E24" i="25"/>
  <c r="H23" i="25"/>
  <c r="E23" i="25"/>
  <c r="H22" i="25"/>
  <c r="E22" i="25"/>
  <c r="H21" i="25"/>
  <c r="E21" i="25"/>
  <c r="H20" i="25"/>
  <c r="E20" i="25"/>
  <c r="H19" i="25"/>
  <c r="E19" i="25"/>
  <c r="H18" i="25"/>
  <c r="E18" i="25"/>
  <c r="H17" i="25"/>
  <c r="E17" i="25"/>
  <c r="H16" i="25"/>
  <c r="E16" i="25"/>
  <c r="H15" i="25"/>
  <c r="E15" i="25"/>
  <c r="H14" i="25"/>
  <c r="E14" i="25"/>
  <c r="H13" i="25"/>
  <c r="E13" i="25"/>
  <c r="H12" i="25"/>
  <c r="E12" i="25"/>
  <c r="H11" i="25"/>
  <c r="E11" i="25"/>
  <c r="H10" i="25"/>
  <c r="E10" i="25"/>
  <c r="H9" i="25"/>
  <c r="E9" i="25"/>
  <c r="H8" i="25"/>
  <c r="E8" i="25"/>
  <c r="H7" i="25"/>
  <c r="E7" i="25"/>
  <c r="H6" i="25"/>
  <c r="E6" i="25"/>
  <c r="H5" i="25"/>
  <c r="E5" i="25"/>
  <c r="H4" i="25"/>
  <c r="E4" i="25"/>
  <c r="H3" i="25"/>
  <c r="E3" i="25"/>
  <c r="N176" i="22"/>
  <c r="O176" i="22"/>
  <c r="N177" i="22"/>
  <c r="O177" i="22"/>
  <c r="N131" i="22"/>
  <c r="N132" i="22"/>
  <c r="M177" i="22"/>
  <c r="L177" i="22"/>
  <c r="M176" i="22"/>
  <c r="L176" i="22"/>
  <c r="M132" i="22"/>
  <c r="L132" i="22"/>
  <c r="M131" i="22"/>
  <c r="L131" i="22"/>
  <c r="M168" i="21"/>
  <c r="K162" i="21"/>
  <c r="L168" i="21"/>
  <c r="K168" i="21"/>
  <c r="J168" i="21"/>
  <c r="L123" i="21"/>
  <c r="K117" i="21"/>
  <c r="K123" i="21"/>
  <c r="J123" i="21"/>
  <c r="M87" i="22"/>
  <c r="M88" i="22"/>
  <c r="L88" i="22"/>
  <c r="L87" i="22"/>
  <c r="K81" i="21"/>
  <c r="J81" i="21"/>
  <c r="K75" i="21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46" i="20"/>
  <c r="A47" i="20"/>
  <c r="A48" i="20"/>
  <c r="A49" i="20"/>
  <c r="A50" i="20"/>
  <c r="A51" i="20"/>
  <c r="A52" i="20"/>
  <c r="A53" i="20"/>
  <c r="A54" i="20"/>
  <c r="A55" i="20"/>
  <c r="A45" i="20"/>
  <c r="I51" i="20"/>
  <c r="I52" i="20"/>
  <c r="I53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I50" i="20"/>
  <c r="I46" i="20"/>
  <c r="I47" i="20"/>
  <c r="U45" i="20"/>
  <c r="V45" i="20"/>
  <c r="S45" i="20"/>
  <c r="T45" i="20"/>
  <c r="J45" i="20"/>
  <c r="K45" i="20"/>
  <c r="L45" i="20"/>
  <c r="M45" i="20"/>
  <c r="N45" i="20"/>
  <c r="O45" i="20"/>
  <c r="P45" i="20"/>
  <c r="Q45" i="20"/>
  <c r="R45" i="20"/>
  <c r="I45" i="20"/>
  <c r="C33" i="22"/>
  <c r="D33" i="22"/>
  <c r="E33" i="22"/>
  <c r="F33" i="22"/>
  <c r="B33" i="22"/>
  <c r="F32" i="22"/>
  <c r="E32" i="22"/>
  <c r="D32" i="22"/>
  <c r="C32" i="22"/>
  <c r="B32" i="22"/>
  <c r="B36" i="21"/>
  <c r="C32" i="21"/>
  <c r="D32" i="21"/>
  <c r="E32" i="21"/>
  <c r="F32" i="21"/>
  <c r="B32" i="21"/>
  <c r="I62" i="19"/>
  <c r="F62" i="19"/>
  <c r="I61" i="19"/>
  <c r="F61" i="19"/>
  <c r="I60" i="19"/>
  <c r="F60" i="19"/>
  <c r="I59" i="19"/>
  <c r="F59" i="19"/>
  <c r="I58" i="19"/>
  <c r="F58" i="19"/>
  <c r="I57" i="19"/>
  <c r="F57" i="19"/>
  <c r="I56" i="19"/>
  <c r="F56" i="19"/>
  <c r="I55" i="19"/>
  <c r="F55" i="19"/>
  <c r="I54" i="19"/>
  <c r="F54" i="19"/>
  <c r="I53" i="19"/>
  <c r="F53" i="19"/>
  <c r="I52" i="19"/>
  <c r="F52" i="19"/>
  <c r="I51" i="19"/>
  <c r="F51" i="19"/>
  <c r="I50" i="19"/>
  <c r="F50" i="19"/>
  <c r="I49" i="19"/>
  <c r="F49" i="19"/>
  <c r="I48" i="19"/>
  <c r="F48" i="19"/>
  <c r="I47" i="19"/>
  <c r="F47" i="19"/>
  <c r="I46" i="19"/>
  <c r="F46" i="19"/>
  <c r="I45" i="19"/>
  <c r="F45" i="19"/>
  <c r="I44" i="19"/>
  <c r="F44" i="19"/>
  <c r="I43" i="19"/>
  <c r="F43" i="19"/>
  <c r="I42" i="19"/>
  <c r="F42" i="19"/>
  <c r="I41" i="19"/>
  <c r="F41" i="19"/>
  <c r="I40" i="19"/>
  <c r="F40" i="19"/>
  <c r="I39" i="19"/>
  <c r="F39" i="19"/>
  <c r="I38" i="19"/>
  <c r="F38" i="19"/>
  <c r="I37" i="19"/>
  <c r="F37" i="19"/>
  <c r="I36" i="19"/>
  <c r="F36" i="19"/>
  <c r="I35" i="19"/>
  <c r="F35" i="19"/>
  <c r="I34" i="19"/>
  <c r="F34" i="19"/>
  <c r="I33" i="19"/>
  <c r="F33" i="19"/>
  <c r="I32" i="19"/>
  <c r="F32" i="19"/>
  <c r="I31" i="19"/>
  <c r="F31" i="19"/>
  <c r="I30" i="19"/>
  <c r="F30" i="19"/>
  <c r="I29" i="19"/>
  <c r="F29" i="19"/>
  <c r="I28" i="19"/>
  <c r="F28" i="19"/>
  <c r="I27" i="19"/>
  <c r="F27" i="19"/>
  <c r="I26" i="19"/>
  <c r="F26" i="19"/>
  <c r="I25" i="19"/>
  <c r="F25" i="19"/>
  <c r="I24" i="19"/>
  <c r="F24" i="19"/>
  <c r="I23" i="19"/>
  <c r="F23" i="19"/>
  <c r="I22" i="19"/>
  <c r="F22" i="19"/>
  <c r="I21" i="19"/>
  <c r="F21" i="19"/>
  <c r="I20" i="19"/>
  <c r="F20" i="19"/>
  <c r="I19" i="19"/>
  <c r="F19" i="19"/>
  <c r="I18" i="19"/>
  <c r="F18" i="19"/>
  <c r="I17" i="19"/>
  <c r="F17" i="19"/>
  <c r="I16" i="19"/>
  <c r="F16" i="19"/>
  <c r="I15" i="19"/>
  <c r="F15" i="19"/>
  <c r="I14" i="19"/>
  <c r="F14" i="19"/>
  <c r="I13" i="19"/>
  <c r="F13" i="19"/>
  <c r="I12" i="19"/>
  <c r="F12" i="19"/>
  <c r="I11" i="19"/>
  <c r="F11" i="19"/>
  <c r="I10" i="19"/>
  <c r="F10" i="19"/>
  <c r="I9" i="19"/>
  <c r="F9" i="19"/>
  <c r="I8" i="19"/>
  <c r="F8" i="19"/>
  <c r="I7" i="19"/>
  <c r="F7" i="19"/>
  <c r="I6" i="19"/>
  <c r="F6" i="19"/>
  <c r="I5" i="19"/>
  <c r="F5" i="19"/>
  <c r="I4" i="19"/>
  <c r="F4" i="19"/>
  <c r="I3" i="19"/>
  <c r="F3" i="19"/>
  <c r="A1" i="1" a="1"/>
  <c r="K163" i="21" l="1"/>
  <c r="M80" i="22"/>
  <c r="M170" i="22"/>
  <c r="K76" i="21"/>
  <c r="M125" i="22"/>
  <c r="M124" i="22"/>
  <c r="M169" i="22"/>
  <c r="B39" i="22"/>
  <c r="M81" i="22"/>
  <c r="B41" i="25"/>
  <c r="I41" i="25" s="1"/>
  <c r="B17" i="25"/>
  <c r="I17" i="25" s="1"/>
  <c r="B25" i="25"/>
  <c r="I25" i="25" s="1"/>
  <c r="B33" i="25"/>
  <c r="I33" i="25" s="1"/>
  <c r="B59" i="25"/>
  <c r="I59" i="25" s="1"/>
  <c r="B51" i="25"/>
  <c r="I51" i="25" s="1"/>
  <c r="B43" i="25"/>
  <c r="I43" i="25" s="1"/>
  <c r="B35" i="25"/>
  <c r="I35" i="25" s="1"/>
  <c r="B27" i="25"/>
  <c r="I27" i="25" s="1"/>
  <c r="B19" i="25"/>
  <c r="I19" i="25" s="1"/>
  <c r="B11" i="25"/>
  <c r="I11" i="25" s="1"/>
  <c r="B56" i="25"/>
  <c r="I56" i="25" s="1"/>
  <c r="B40" i="25"/>
  <c r="I40" i="25" s="1"/>
  <c r="B16" i="25"/>
  <c r="I16" i="25" s="1"/>
  <c r="B61" i="25"/>
  <c r="I61" i="25" s="1"/>
  <c r="B53" i="25"/>
  <c r="I53" i="25" s="1"/>
  <c r="B45" i="25"/>
  <c r="I45" i="25" s="1"/>
  <c r="B37" i="25"/>
  <c r="I37" i="25" s="1"/>
  <c r="B29" i="25"/>
  <c r="I29" i="25" s="1"/>
  <c r="B21" i="25"/>
  <c r="I21" i="25" s="1"/>
  <c r="B13" i="25"/>
  <c r="I13" i="25" s="1"/>
  <c r="B5" i="25"/>
  <c r="I5" i="25" s="1"/>
  <c r="B60" i="25"/>
  <c r="I60" i="25" s="1"/>
  <c r="B20" i="25"/>
  <c r="I20" i="25" s="1"/>
  <c r="B4" i="25"/>
  <c r="I4" i="25" s="1"/>
  <c r="B58" i="25"/>
  <c r="I58" i="25" s="1"/>
  <c r="B50" i="25"/>
  <c r="I50" i="25" s="1"/>
  <c r="B42" i="25"/>
  <c r="I42" i="25" s="1"/>
  <c r="B34" i="25"/>
  <c r="I34" i="25" s="1"/>
  <c r="B26" i="25"/>
  <c r="I26" i="25" s="1"/>
  <c r="B18" i="25"/>
  <c r="I18" i="25" s="1"/>
  <c r="B10" i="25"/>
  <c r="I10" i="25" s="1"/>
  <c r="B44" i="25"/>
  <c r="I44" i="25" s="1"/>
  <c r="B28" i="25"/>
  <c r="I28" i="25" s="1"/>
  <c r="B12" i="25"/>
  <c r="I12" i="25" s="1"/>
  <c r="B55" i="25"/>
  <c r="I55" i="25" s="1"/>
  <c r="B47" i="25"/>
  <c r="I47" i="25" s="1"/>
  <c r="B39" i="25"/>
  <c r="I39" i="25" s="1"/>
  <c r="B31" i="25"/>
  <c r="I31" i="25" s="1"/>
  <c r="B23" i="25"/>
  <c r="I23" i="25" s="1"/>
  <c r="B15" i="25"/>
  <c r="I15" i="25" s="1"/>
  <c r="B7" i="25"/>
  <c r="I7" i="25" s="1"/>
  <c r="B52" i="25"/>
  <c r="I52" i="25" s="1"/>
  <c r="B36" i="25"/>
  <c r="I36" i="25" s="1"/>
  <c r="B62" i="25"/>
  <c r="I62" i="25" s="1"/>
  <c r="B54" i="25"/>
  <c r="I54" i="25" s="1"/>
  <c r="B46" i="25"/>
  <c r="I46" i="25" s="1"/>
  <c r="B38" i="25"/>
  <c r="I38" i="25" s="1"/>
  <c r="B30" i="25"/>
  <c r="I30" i="25" s="1"/>
  <c r="B22" i="25"/>
  <c r="I22" i="25" s="1"/>
  <c r="B14" i="25"/>
  <c r="I14" i="25" s="1"/>
  <c r="B6" i="25"/>
  <c r="I6" i="25" s="1"/>
  <c r="B48" i="25"/>
  <c r="I48" i="25" s="1"/>
  <c r="B32" i="25"/>
  <c r="I32" i="25" s="1"/>
  <c r="B24" i="25"/>
  <c r="I24" i="25" s="1"/>
  <c r="B8" i="25"/>
  <c r="I8" i="25" s="1"/>
  <c r="B49" i="25"/>
  <c r="I49" i="25" s="1"/>
  <c r="B57" i="25"/>
  <c r="I57" i="25" s="1"/>
  <c r="B9" i="25"/>
  <c r="I9" i="25" s="1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2" i="25"/>
  <c r="F24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3" i="25"/>
  <c r="F25" i="25"/>
  <c r="B38" i="22"/>
  <c r="K118" i="21"/>
  <c r="B37" i="21"/>
  <c r="A1" i="1"/>
  <c r="B4" i="19"/>
  <c r="C4" i="19" s="1"/>
  <c r="J4" i="19" s="1"/>
  <c r="B12" i="19"/>
  <c r="C12" i="19" s="1"/>
  <c r="J12" i="19" s="1"/>
  <c r="B20" i="19"/>
  <c r="C20" i="19" s="1"/>
  <c r="J20" i="19" s="1"/>
  <c r="B28" i="19"/>
  <c r="C28" i="19" s="1"/>
  <c r="J28" i="19" s="1"/>
  <c r="B36" i="19"/>
  <c r="C36" i="19" s="1"/>
  <c r="J36" i="19" s="1"/>
  <c r="B44" i="19"/>
  <c r="C44" i="19" s="1"/>
  <c r="J44" i="19" s="1"/>
  <c r="B52" i="19"/>
  <c r="C52" i="19" s="1"/>
  <c r="J52" i="19" s="1"/>
  <c r="B60" i="19"/>
  <c r="C60" i="19" s="1"/>
  <c r="J60" i="19" s="1"/>
  <c r="B13" i="16"/>
  <c r="B21" i="16"/>
  <c r="B29" i="16"/>
  <c r="B37" i="16"/>
  <c r="B45" i="16"/>
  <c r="B53" i="16"/>
  <c r="B61" i="16"/>
  <c r="B4" i="15"/>
  <c r="B12" i="15"/>
  <c r="B20" i="15"/>
  <c r="B28" i="15"/>
  <c r="B36" i="15"/>
  <c r="B44" i="15"/>
  <c r="B52" i="15"/>
  <c r="B60" i="15"/>
  <c r="B8" i="13"/>
  <c r="B16" i="13"/>
  <c r="B24" i="13"/>
  <c r="B32" i="13"/>
  <c r="B40" i="13"/>
  <c r="B48" i="13"/>
  <c r="B56" i="13"/>
  <c r="B5" i="19"/>
  <c r="C5" i="19" s="1"/>
  <c r="J5" i="19" s="1"/>
  <c r="B13" i="19"/>
  <c r="C13" i="19" s="1"/>
  <c r="J13" i="19" s="1"/>
  <c r="B21" i="19"/>
  <c r="C21" i="19" s="1"/>
  <c r="J21" i="19" s="1"/>
  <c r="B29" i="19"/>
  <c r="C29" i="19" s="1"/>
  <c r="J29" i="19" s="1"/>
  <c r="B37" i="19"/>
  <c r="C37" i="19" s="1"/>
  <c r="J37" i="19" s="1"/>
  <c r="B45" i="19"/>
  <c r="C45" i="19" s="1"/>
  <c r="J45" i="19" s="1"/>
  <c r="B53" i="19"/>
  <c r="C53" i="19" s="1"/>
  <c r="J53" i="19" s="1"/>
  <c r="B61" i="19"/>
  <c r="C61" i="19" s="1"/>
  <c r="J61" i="19" s="1"/>
  <c r="B14" i="16"/>
  <c r="B22" i="16"/>
  <c r="B30" i="16"/>
  <c r="B38" i="16"/>
  <c r="B7" i="19"/>
  <c r="C7" i="19" s="1"/>
  <c r="J7" i="19" s="1"/>
  <c r="B15" i="19"/>
  <c r="C15" i="19" s="1"/>
  <c r="J15" i="19" s="1"/>
  <c r="B23" i="19"/>
  <c r="C23" i="19" s="1"/>
  <c r="J23" i="19" s="1"/>
  <c r="B31" i="19"/>
  <c r="C31" i="19" s="1"/>
  <c r="J31" i="19" s="1"/>
  <c r="B39" i="19"/>
  <c r="C39" i="19" s="1"/>
  <c r="J39" i="19" s="1"/>
  <c r="B47" i="19"/>
  <c r="C47" i="19" s="1"/>
  <c r="J47" i="19" s="1"/>
  <c r="B55" i="19"/>
  <c r="C55" i="19" s="1"/>
  <c r="J55" i="19" s="1"/>
  <c r="B16" i="16"/>
  <c r="B24" i="16"/>
  <c r="B32" i="16"/>
  <c r="B40" i="16"/>
  <c r="B48" i="16"/>
  <c r="B56" i="16"/>
  <c r="B64" i="16"/>
  <c r="B7" i="15"/>
  <c r="B15" i="15"/>
  <c r="B23" i="15"/>
  <c r="B31" i="15"/>
  <c r="B39" i="15"/>
  <c r="B47" i="15"/>
  <c r="B55" i="15"/>
  <c r="B11" i="13"/>
  <c r="B19" i="13"/>
  <c r="B27" i="13"/>
  <c r="B35" i="13"/>
  <c r="B43" i="13"/>
  <c r="B51" i="13"/>
  <c r="B59" i="13"/>
  <c r="B8" i="19"/>
  <c r="C8" i="19" s="1"/>
  <c r="J8" i="19" s="1"/>
  <c r="B16" i="19"/>
  <c r="C16" i="19" s="1"/>
  <c r="J16" i="19" s="1"/>
  <c r="B24" i="19"/>
  <c r="C24" i="19" s="1"/>
  <c r="J24" i="19" s="1"/>
  <c r="B32" i="19"/>
  <c r="C32" i="19" s="1"/>
  <c r="J32" i="19" s="1"/>
  <c r="B40" i="19"/>
  <c r="C40" i="19" s="1"/>
  <c r="J40" i="19" s="1"/>
  <c r="B48" i="19"/>
  <c r="C48" i="19" s="1"/>
  <c r="J48" i="19" s="1"/>
  <c r="B56" i="19"/>
  <c r="C56" i="19" s="1"/>
  <c r="J56" i="19" s="1"/>
  <c r="B9" i="16"/>
  <c r="B17" i="16"/>
  <c r="B25" i="16"/>
  <c r="B33" i="16"/>
  <c r="B41" i="16"/>
  <c r="B49" i="16"/>
  <c r="B57" i="16"/>
  <c r="B65" i="16"/>
  <c r="B8" i="15"/>
  <c r="B16" i="15"/>
  <c r="B24" i="15"/>
  <c r="B32" i="15"/>
  <c r="B40" i="15"/>
  <c r="B48" i="15"/>
  <c r="B56" i="15"/>
  <c r="B4" i="13"/>
  <c r="B12" i="13"/>
  <c r="B20" i="13"/>
  <c r="B28" i="13"/>
  <c r="B36" i="13"/>
  <c r="B44" i="13"/>
  <c r="B52" i="13"/>
  <c r="B60" i="13"/>
  <c r="B11" i="19"/>
  <c r="C11" i="19" s="1"/>
  <c r="J11" i="19" s="1"/>
  <c r="B27" i="19"/>
  <c r="C27" i="19" s="1"/>
  <c r="J27" i="19" s="1"/>
  <c r="B43" i="19"/>
  <c r="C43" i="19" s="1"/>
  <c r="J43" i="19" s="1"/>
  <c r="B59" i="19"/>
  <c r="C59" i="19" s="1"/>
  <c r="J59" i="19" s="1"/>
  <c r="B20" i="16"/>
  <c r="B36" i="16"/>
  <c r="B51" i="16"/>
  <c r="B63" i="16"/>
  <c r="B11" i="15"/>
  <c r="B25" i="15"/>
  <c r="B37" i="15"/>
  <c r="B50" i="15"/>
  <c r="B62" i="15"/>
  <c r="B15" i="13"/>
  <c r="B29" i="13"/>
  <c r="B41" i="13"/>
  <c r="B54" i="13"/>
  <c r="B60" i="22"/>
  <c r="B68" i="22"/>
  <c r="B76" i="22"/>
  <c r="B84" i="22"/>
  <c r="B92" i="22"/>
  <c r="B100" i="22"/>
  <c r="B108" i="22"/>
  <c r="B116" i="22"/>
  <c r="B60" i="21"/>
  <c r="B68" i="21"/>
  <c r="B76" i="21"/>
  <c r="B84" i="21"/>
  <c r="B92" i="21"/>
  <c r="B100" i="21"/>
  <c r="B108" i="21"/>
  <c r="B14" i="19"/>
  <c r="C14" i="19" s="1"/>
  <c r="J14" i="19" s="1"/>
  <c r="B30" i="19"/>
  <c r="C30" i="19" s="1"/>
  <c r="J30" i="19" s="1"/>
  <c r="B46" i="19"/>
  <c r="C46" i="19" s="1"/>
  <c r="J46" i="19" s="1"/>
  <c r="B62" i="19"/>
  <c r="C62" i="19" s="1"/>
  <c r="J62" i="19" s="1"/>
  <c r="B23" i="16"/>
  <c r="B39" i="16"/>
  <c r="B52" i="16"/>
  <c r="B66" i="16"/>
  <c r="B13" i="15"/>
  <c r="B26" i="15"/>
  <c r="B38" i="15"/>
  <c r="B51" i="15"/>
  <c r="B5" i="13"/>
  <c r="B17" i="13"/>
  <c r="B30" i="13"/>
  <c r="B42" i="13"/>
  <c r="B55" i="13"/>
  <c r="B61" i="22"/>
  <c r="B69" i="22"/>
  <c r="B77" i="22"/>
  <c r="B85" i="22"/>
  <c r="B93" i="22"/>
  <c r="B101" i="22"/>
  <c r="B109" i="22"/>
  <c r="B117" i="22"/>
  <c r="B61" i="21"/>
  <c r="B69" i="21"/>
  <c r="B77" i="21"/>
  <c r="B85" i="21"/>
  <c r="B93" i="21"/>
  <c r="B101" i="21"/>
  <c r="B109" i="21"/>
  <c r="B17" i="19"/>
  <c r="C17" i="19" s="1"/>
  <c r="J17" i="19" s="1"/>
  <c r="B33" i="19"/>
  <c r="C33" i="19" s="1"/>
  <c r="J33" i="19" s="1"/>
  <c r="B49" i="19"/>
  <c r="C49" i="19" s="1"/>
  <c r="J49" i="19" s="1"/>
  <c r="B10" i="16"/>
  <c r="B26" i="16"/>
  <c r="B42" i="16"/>
  <c r="B54" i="16"/>
  <c r="B67" i="16"/>
  <c r="B14" i="15"/>
  <c r="B27" i="15"/>
  <c r="B41" i="15"/>
  <c r="B53" i="15"/>
  <c r="B6" i="13"/>
  <c r="B18" i="13"/>
  <c r="B31" i="13"/>
  <c r="B45" i="13"/>
  <c r="B57" i="13"/>
  <c r="B62" i="22"/>
  <c r="B70" i="22"/>
  <c r="B78" i="22"/>
  <c r="B86" i="22"/>
  <c r="B94" i="22"/>
  <c r="B102" i="22"/>
  <c r="B110" i="22"/>
  <c r="B62" i="21"/>
  <c r="B70" i="21"/>
  <c r="B78" i="21"/>
  <c r="B86" i="21"/>
  <c r="B94" i="21"/>
  <c r="B102" i="21"/>
  <c r="B110" i="21"/>
  <c r="B18" i="19"/>
  <c r="C18" i="19" s="1"/>
  <c r="J18" i="19" s="1"/>
  <c r="B34" i="19"/>
  <c r="C34" i="19" s="1"/>
  <c r="J34" i="19" s="1"/>
  <c r="B50" i="19"/>
  <c r="C50" i="19" s="1"/>
  <c r="J50" i="19" s="1"/>
  <c r="B11" i="16"/>
  <c r="B27" i="16"/>
  <c r="B43" i="16"/>
  <c r="B55" i="16"/>
  <c r="B17" i="15"/>
  <c r="B29" i="15"/>
  <c r="B42" i="15"/>
  <c r="B54" i="15"/>
  <c r="B7" i="13"/>
  <c r="B21" i="13"/>
  <c r="B33" i="13"/>
  <c r="B46" i="13"/>
  <c r="B58" i="13"/>
  <c r="B63" i="22"/>
  <c r="B71" i="22"/>
  <c r="B79" i="22"/>
  <c r="B87" i="22"/>
  <c r="B95" i="22"/>
  <c r="B103" i="22"/>
  <c r="B111" i="22"/>
  <c r="B55" i="21"/>
  <c r="B63" i="21"/>
  <c r="B71" i="21"/>
  <c r="B79" i="21"/>
  <c r="B87" i="21"/>
  <c r="B95" i="21"/>
  <c r="B103" i="21"/>
  <c r="B111" i="21"/>
  <c r="B19" i="19"/>
  <c r="C19" i="19" s="1"/>
  <c r="J19" i="19" s="1"/>
  <c r="B35" i="19"/>
  <c r="C35" i="19" s="1"/>
  <c r="J35" i="19" s="1"/>
  <c r="B51" i="19"/>
  <c r="C51" i="19" s="1"/>
  <c r="J51" i="19" s="1"/>
  <c r="B12" i="16"/>
  <c r="B28" i="16"/>
  <c r="B44" i="16"/>
  <c r="B58" i="16"/>
  <c r="B5" i="15"/>
  <c r="B18" i="15"/>
  <c r="B30" i="15"/>
  <c r="B43" i="15"/>
  <c r="B57" i="15"/>
  <c r="B9" i="13"/>
  <c r="B22" i="13"/>
  <c r="B34" i="13"/>
  <c r="B47" i="13"/>
  <c r="B61" i="13"/>
  <c r="B6" i="19"/>
  <c r="C6" i="19" s="1"/>
  <c r="J6" i="19" s="1"/>
  <c r="B22" i="19"/>
  <c r="C22" i="19" s="1"/>
  <c r="J22" i="19" s="1"/>
  <c r="B38" i="19"/>
  <c r="C38" i="19" s="1"/>
  <c r="J38" i="19" s="1"/>
  <c r="B54" i="19"/>
  <c r="C54" i="19" s="1"/>
  <c r="J54" i="19" s="1"/>
  <c r="B15" i="16"/>
  <c r="B31" i="16"/>
  <c r="B46" i="16"/>
  <c r="B59" i="16"/>
  <c r="B6" i="15"/>
  <c r="B19" i="15"/>
  <c r="B33" i="15"/>
  <c r="B45" i="15"/>
  <c r="B58" i="15"/>
  <c r="B10" i="13"/>
  <c r="B23" i="13"/>
  <c r="B37" i="13"/>
  <c r="B49" i="13"/>
  <c r="B62" i="13"/>
  <c r="B65" i="22"/>
  <c r="B73" i="22"/>
  <c r="B81" i="22"/>
  <c r="B89" i="22"/>
  <c r="B97" i="22"/>
  <c r="B105" i="22"/>
  <c r="B113" i="22"/>
  <c r="B57" i="21"/>
  <c r="B65" i="21"/>
  <c r="B73" i="21"/>
  <c r="B81" i="21"/>
  <c r="B89" i="21"/>
  <c r="B97" i="21"/>
  <c r="B105" i="21"/>
  <c r="B113" i="21"/>
  <c r="B99" i="21"/>
  <c r="B80" i="21"/>
  <c r="B58" i="21"/>
  <c r="B99" i="22"/>
  <c r="B80" i="22"/>
  <c r="B53" i="13"/>
  <c r="B61" i="15"/>
  <c r="B10" i="15"/>
  <c r="B19" i="16"/>
  <c r="B10" i="19"/>
  <c r="C10" i="19" s="1"/>
  <c r="J10" i="19" s="1"/>
  <c r="B53" i="20"/>
  <c r="B49" i="20"/>
  <c r="B104" i="20"/>
  <c r="B100" i="20"/>
  <c r="B96" i="20"/>
  <c r="B92" i="20"/>
  <c r="B88" i="20"/>
  <c r="B84" i="20"/>
  <c r="B80" i="20"/>
  <c r="B76" i="20"/>
  <c r="B72" i="20"/>
  <c r="B68" i="20"/>
  <c r="B64" i="20"/>
  <c r="B60" i="20"/>
  <c r="B56" i="20"/>
  <c r="B104" i="21"/>
  <c r="B82" i="21"/>
  <c r="B59" i="21"/>
  <c r="B104" i="22"/>
  <c r="B82" i="22"/>
  <c r="B59" i="22"/>
  <c r="B13" i="13"/>
  <c r="B21" i="15"/>
  <c r="B34" i="16"/>
  <c r="B25" i="19"/>
  <c r="C25" i="19" s="1"/>
  <c r="J25" i="19" s="1"/>
  <c r="B52" i="20"/>
  <c r="B48" i="20"/>
  <c r="B103" i="20"/>
  <c r="B99" i="20"/>
  <c r="B95" i="20"/>
  <c r="B91" i="20"/>
  <c r="B87" i="20"/>
  <c r="B83" i="20"/>
  <c r="B79" i="20"/>
  <c r="B75" i="20"/>
  <c r="B71" i="20"/>
  <c r="B67" i="20"/>
  <c r="B63" i="20"/>
  <c r="B59" i="20"/>
  <c r="B98" i="21"/>
  <c r="B75" i="21"/>
  <c r="B56" i="21"/>
  <c r="B98" i="22"/>
  <c r="B75" i="22"/>
  <c r="B50" i="13"/>
  <c r="B59" i="15"/>
  <c r="B9" i="15"/>
  <c r="B18" i="16"/>
  <c r="B9" i="19"/>
  <c r="C9" i="19" s="1"/>
  <c r="J9" i="19" s="1"/>
  <c r="B96" i="22"/>
  <c r="B55" i="20"/>
  <c r="B86" i="20"/>
  <c r="B91" i="21"/>
  <c r="B72" i="21"/>
  <c r="B114" i="22"/>
  <c r="B91" i="22"/>
  <c r="B72" i="22"/>
  <c r="B38" i="13"/>
  <c r="B46" i="15"/>
  <c r="B60" i="16"/>
  <c r="B57" i="19"/>
  <c r="C57" i="19" s="1"/>
  <c r="J57" i="19" s="1"/>
  <c r="B74" i="21"/>
  <c r="B115" i="22"/>
  <c r="B49" i="15"/>
  <c r="B58" i="19"/>
  <c r="C58" i="19" s="1"/>
  <c r="J58" i="19" s="1"/>
  <c r="B47" i="20"/>
  <c r="B94" i="20"/>
  <c r="B82" i="20"/>
  <c r="B74" i="20"/>
  <c r="B66" i="20"/>
  <c r="B58" i="20"/>
  <c r="B112" i="21"/>
  <c r="B90" i="21"/>
  <c r="B67" i="21"/>
  <c r="B112" i="22"/>
  <c r="B90" i="22"/>
  <c r="B67" i="22"/>
  <c r="B26" i="13"/>
  <c r="B35" i="15"/>
  <c r="B50" i="16"/>
  <c r="B42" i="19"/>
  <c r="C42" i="19" s="1"/>
  <c r="J42" i="19" s="1"/>
  <c r="B96" i="21"/>
  <c r="B74" i="22"/>
  <c r="B39" i="13"/>
  <c r="B62" i="16"/>
  <c r="B51" i="20"/>
  <c r="B102" i="20"/>
  <c r="B98" i="20"/>
  <c r="B90" i="20"/>
  <c r="B78" i="20"/>
  <c r="B70" i="20"/>
  <c r="B62" i="20"/>
  <c r="B54" i="20"/>
  <c r="B50" i="20"/>
  <c r="B46" i="20"/>
  <c r="B101" i="20"/>
  <c r="B97" i="20"/>
  <c r="B93" i="20"/>
  <c r="B89" i="20"/>
  <c r="B85" i="20"/>
  <c r="B81" i="20"/>
  <c r="B77" i="20"/>
  <c r="B73" i="20"/>
  <c r="B69" i="20"/>
  <c r="B65" i="20"/>
  <c r="B61" i="20"/>
  <c r="B57" i="20"/>
  <c r="B107" i="21"/>
  <c r="B88" i="21"/>
  <c r="B66" i="21"/>
  <c r="B107" i="22"/>
  <c r="B88" i="22"/>
  <c r="B66" i="22"/>
  <c r="B25" i="13"/>
  <c r="B34" i="15"/>
  <c r="B47" i="16"/>
  <c r="B41" i="19"/>
  <c r="C41" i="19" s="1"/>
  <c r="J41" i="19" s="1"/>
  <c r="B106" i="21"/>
  <c r="B83" i="21"/>
  <c r="B64" i="21"/>
  <c r="B106" i="22"/>
  <c r="B83" i="22"/>
  <c r="B64" i="22"/>
  <c r="B14" i="13"/>
  <c r="B22" i="15"/>
  <c r="B35" i="16"/>
  <c r="B26" i="19"/>
  <c r="C26" i="19" s="1"/>
  <c r="J26" i="19" s="1"/>
  <c r="B57" i="24"/>
  <c r="B49" i="24"/>
  <c r="B9" i="24"/>
  <c r="B41" i="24"/>
  <c r="B63" i="11"/>
  <c r="B65" i="24"/>
  <c r="B33" i="24"/>
  <c r="B55" i="11"/>
  <c r="B25" i="24"/>
  <c r="B47" i="11"/>
  <c r="B17" i="24"/>
  <c r="B39" i="11"/>
  <c r="B58" i="24"/>
  <c r="B50" i="24"/>
  <c r="B42" i="24"/>
  <c r="B34" i="24"/>
  <c r="B26" i="24"/>
  <c r="B18" i="24"/>
  <c r="B10" i="24"/>
  <c r="B64" i="11"/>
  <c r="B56" i="11"/>
  <c r="B48" i="11"/>
  <c r="B40" i="11"/>
  <c r="B32" i="11"/>
  <c r="B24" i="11"/>
  <c r="B16" i="11"/>
  <c r="B15" i="11"/>
  <c r="B64" i="24"/>
  <c r="B56" i="24"/>
  <c r="B48" i="24"/>
  <c r="B40" i="24"/>
  <c r="B32" i="24"/>
  <c r="B24" i="24"/>
  <c r="B16" i="24"/>
  <c r="B8" i="24"/>
  <c r="B62" i="11"/>
  <c r="B54" i="11"/>
  <c r="B46" i="11"/>
  <c r="B38" i="11"/>
  <c r="B30" i="11"/>
  <c r="B22" i="11"/>
  <c r="B14" i="11"/>
  <c r="B31" i="11"/>
  <c r="B23" i="11"/>
  <c r="B63" i="24"/>
  <c r="B55" i="24"/>
  <c r="B47" i="24"/>
  <c r="B39" i="24"/>
  <c r="B31" i="24"/>
  <c r="B23" i="24"/>
  <c r="B15" i="24"/>
  <c r="B7" i="24"/>
  <c r="B61" i="11"/>
  <c r="B53" i="11"/>
  <c r="B45" i="11"/>
  <c r="B37" i="11"/>
  <c r="B29" i="11"/>
  <c r="B21" i="11"/>
  <c r="B13" i="11"/>
  <c r="B62" i="24"/>
  <c r="B54" i="24"/>
  <c r="B46" i="24"/>
  <c r="B38" i="24"/>
  <c r="B30" i="24"/>
  <c r="B22" i="24"/>
  <c r="B14" i="24"/>
  <c r="B60" i="11"/>
  <c r="B52" i="11"/>
  <c r="B44" i="11"/>
  <c r="B36" i="11"/>
  <c r="B28" i="11"/>
  <c r="B20" i="11"/>
  <c r="B12" i="11"/>
  <c r="B61" i="24"/>
  <c r="B53" i="24"/>
  <c r="B45" i="24"/>
  <c r="B37" i="24"/>
  <c r="B29" i="24"/>
  <c r="B21" i="24"/>
  <c r="B13" i="24"/>
  <c r="B67" i="11"/>
  <c r="B59" i="11"/>
  <c r="B51" i="11"/>
  <c r="B43" i="11"/>
  <c r="B35" i="11"/>
  <c r="B27" i="11"/>
  <c r="B19" i="11"/>
  <c r="B11" i="11"/>
  <c r="B60" i="24"/>
  <c r="B52" i="24"/>
  <c r="B44" i="24"/>
  <c r="B36" i="24"/>
  <c r="B28" i="24"/>
  <c r="B20" i="24"/>
  <c r="B12" i="24"/>
  <c r="B66" i="11"/>
  <c r="B58" i="11"/>
  <c r="B50" i="11"/>
  <c r="B42" i="11"/>
  <c r="B34" i="11"/>
  <c r="B26" i="11"/>
  <c r="B18" i="11"/>
  <c r="B10" i="11"/>
  <c r="B59" i="24"/>
  <c r="B51" i="24"/>
  <c r="B43" i="24"/>
  <c r="B35" i="24"/>
  <c r="B27" i="24"/>
  <c r="B19" i="24"/>
  <c r="B11" i="24"/>
  <c r="B65" i="11"/>
  <c r="B57" i="11"/>
  <c r="B49" i="11"/>
  <c r="B41" i="11"/>
  <c r="B33" i="11"/>
  <c r="B25" i="11"/>
  <c r="B17" i="11"/>
  <c r="B9" i="11"/>
  <c r="B66" i="1"/>
  <c r="G39" i="19"/>
  <c r="G17" i="19"/>
  <c r="G23" i="19"/>
  <c r="G13" i="19"/>
  <c r="G62" i="19"/>
  <c r="G54" i="19"/>
  <c r="G46" i="19"/>
  <c r="G38" i="19"/>
  <c r="G30" i="19"/>
  <c r="G22" i="19"/>
  <c r="G14" i="19"/>
  <c r="G6" i="19"/>
  <c r="G55" i="19"/>
  <c r="G47" i="19"/>
  <c r="G56" i="19"/>
  <c r="G48" i="19"/>
  <c r="G40" i="19"/>
  <c r="G32" i="19"/>
  <c r="G24" i="19"/>
  <c r="G16" i="19"/>
  <c r="G8" i="19"/>
  <c r="G57" i="19"/>
  <c r="G49" i="19"/>
  <c r="G58" i="19"/>
  <c r="G50" i="19"/>
  <c r="G42" i="19"/>
  <c r="G34" i="19"/>
  <c r="G26" i="19"/>
  <c r="G18" i="19"/>
  <c r="G10" i="19"/>
  <c r="G61" i="19"/>
  <c r="G29" i="19"/>
  <c r="G59" i="19"/>
  <c r="G51" i="19"/>
  <c r="G43" i="19"/>
  <c r="G35" i="19"/>
  <c r="G27" i="19"/>
  <c r="G19" i="19"/>
  <c r="G11" i="19"/>
  <c r="G3" i="19"/>
  <c r="G45" i="19"/>
  <c r="G37" i="19"/>
  <c r="G60" i="19"/>
  <c r="G52" i="19"/>
  <c r="G44" i="19"/>
  <c r="G36" i="19"/>
  <c r="G28" i="19"/>
  <c r="G20" i="19"/>
  <c r="G12" i="19"/>
  <c r="G4" i="19"/>
  <c r="G53" i="19"/>
  <c r="G7" i="19"/>
  <c r="G25" i="19"/>
  <c r="G41" i="19"/>
  <c r="G9" i="19"/>
  <c r="G15" i="19"/>
  <c r="G21" i="19"/>
  <c r="G31" i="19"/>
  <c r="G5" i="19"/>
  <c r="G33" i="19"/>
  <c r="AV66" i="1"/>
  <c r="AF66" i="1"/>
  <c r="H66" i="1"/>
  <c r="W66" i="1"/>
  <c r="G66" i="1"/>
  <c r="AT66" i="1"/>
  <c r="AD66" i="1"/>
  <c r="N66" i="1"/>
  <c r="F66" i="1"/>
  <c r="BA66" i="1"/>
  <c r="AS66" i="1"/>
  <c r="AK66" i="1"/>
  <c r="AC66" i="1"/>
  <c r="U66" i="1"/>
  <c r="M66" i="1"/>
  <c r="BD66" i="1"/>
  <c r="P66" i="1"/>
  <c r="BC66" i="1"/>
  <c r="BB66" i="1"/>
  <c r="AL66" i="1"/>
  <c r="V66" i="1"/>
  <c r="BH66" i="1"/>
  <c r="AZ66" i="1"/>
  <c r="AR66" i="1"/>
  <c r="AJ66" i="1"/>
  <c r="AB66" i="1"/>
  <c r="T66" i="1"/>
  <c r="L66" i="1"/>
  <c r="AN66" i="1"/>
  <c r="O66" i="1"/>
  <c r="BG66" i="1"/>
  <c r="AY66" i="1"/>
  <c r="AI66" i="1"/>
  <c r="K66" i="1"/>
  <c r="D66" i="1"/>
  <c r="BF66" i="1"/>
  <c r="AX66" i="1"/>
  <c r="AP66" i="1"/>
  <c r="AH66" i="1"/>
  <c r="Z66" i="1"/>
  <c r="R66" i="1"/>
  <c r="J66" i="1"/>
  <c r="X66" i="1"/>
  <c r="AU66" i="1"/>
  <c r="AM66" i="1"/>
  <c r="AE66" i="1"/>
  <c r="E66" i="1"/>
  <c r="AQ66" i="1"/>
  <c r="AA66" i="1"/>
  <c r="S66" i="1"/>
  <c r="C66" i="1"/>
  <c r="BE66" i="1"/>
  <c r="AW66" i="1"/>
  <c r="AO66" i="1"/>
  <c r="AG66" i="1"/>
  <c r="Y66" i="1"/>
  <c r="Q66" i="1"/>
  <c r="I66" i="1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4" i="15"/>
  <c r="J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AZ75" i="5" l="1"/>
  <c r="AZ417" i="5"/>
  <c r="AZ388" i="5"/>
  <c r="AZ402" i="5"/>
  <c r="AZ314" i="5"/>
  <c r="AZ298" i="5"/>
  <c r="AZ358" i="5"/>
  <c r="AZ329" i="5"/>
  <c r="AZ373" i="5"/>
  <c r="AZ343" i="5"/>
  <c r="AZ283" i="5"/>
  <c r="AZ254" i="5"/>
  <c r="AZ224" i="5"/>
  <c r="AZ269" i="5"/>
  <c r="AZ239" i="5"/>
  <c r="AZ210" i="5"/>
  <c r="AZ179" i="5"/>
  <c r="AZ195" i="5"/>
  <c r="AZ164" i="5"/>
  <c r="AZ135" i="5"/>
  <c r="AZ119" i="5"/>
  <c r="AZ104" i="5"/>
  <c r="AZ150" i="5"/>
  <c r="AZ90" i="5"/>
  <c r="BH75" i="5"/>
  <c r="BH417" i="5"/>
  <c r="BH388" i="5"/>
  <c r="BH373" i="5"/>
  <c r="BH314" i="5"/>
  <c r="BH298" i="5"/>
  <c r="BH358" i="5"/>
  <c r="BH329" i="5"/>
  <c r="BH402" i="5"/>
  <c r="BH283" i="5"/>
  <c r="BH343" i="5"/>
  <c r="BH254" i="5"/>
  <c r="BH224" i="5"/>
  <c r="BH269" i="5"/>
  <c r="BH210" i="5"/>
  <c r="BH239" i="5"/>
  <c r="BH179" i="5"/>
  <c r="BH195" i="5"/>
  <c r="BH164" i="5"/>
  <c r="BH135" i="5"/>
  <c r="BH119" i="5"/>
  <c r="BH104" i="5"/>
  <c r="BH150" i="5"/>
  <c r="BH90" i="5"/>
  <c r="R75" i="5"/>
  <c r="R417" i="5"/>
  <c r="R388" i="5"/>
  <c r="R358" i="5"/>
  <c r="R402" i="5"/>
  <c r="R373" i="5"/>
  <c r="R329" i="5"/>
  <c r="R298" i="5"/>
  <c r="R343" i="5"/>
  <c r="R314" i="5"/>
  <c r="R283" i="5"/>
  <c r="R239" i="5"/>
  <c r="R269" i="5"/>
  <c r="R254" i="5"/>
  <c r="R179" i="5"/>
  <c r="R195" i="5"/>
  <c r="R210" i="5"/>
  <c r="R224" i="5"/>
  <c r="R135" i="5"/>
  <c r="R119" i="5"/>
  <c r="R104" i="5"/>
  <c r="R150" i="5"/>
  <c r="R164" i="5"/>
  <c r="R90" i="5"/>
  <c r="AB75" i="5"/>
  <c r="AB417" i="5"/>
  <c r="AB388" i="5"/>
  <c r="AB358" i="5"/>
  <c r="AB283" i="5"/>
  <c r="AB314" i="5"/>
  <c r="AB298" i="5"/>
  <c r="AB329" i="5"/>
  <c r="AB373" i="5"/>
  <c r="AB402" i="5"/>
  <c r="AB343" i="5"/>
  <c r="AB254" i="5"/>
  <c r="AB224" i="5"/>
  <c r="AB269" i="5"/>
  <c r="AB210" i="5"/>
  <c r="AB239" i="5"/>
  <c r="AB195" i="5"/>
  <c r="AB179" i="5"/>
  <c r="AB164" i="5"/>
  <c r="AB135" i="5"/>
  <c r="AB119" i="5"/>
  <c r="AB104" i="5"/>
  <c r="AB150" i="5"/>
  <c r="AB90" i="5"/>
  <c r="S75" i="5"/>
  <c r="S417" i="5"/>
  <c r="S388" i="5"/>
  <c r="S358" i="5"/>
  <c r="S402" i="5"/>
  <c r="S373" i="5"/>
  <c r="S329" i="5"/>
  <c r="S314" i="5"/>
  <c r="S298" i="5"/>
  <c r="S343" i="5"/>
  <c r="S283" i="5"/>
  <c r="S224" i="5"/>
  <c r="S239" i="5"/>
  <c r="S269" i="5"/>
  <c r="S210" i="5"/>
  <c r="S254" i="5"/>
  <c r="S179" i="5"/>
  <c r="S195" i="5"/>
  <c r="S164" i="5"/>
  <c r="S135" i="5"/>
  <c r="S119" i="5"/>
  <c r="S104" i="5"/>
  <c r="S150" i="5"/>
  <c r="S90" i="5"/>
  <c r="AJ75" i="5"/>
  <c r="AJ417" i="5"/>
  <c r="AJ388" i="5"/>
  <c r="AJ358" i="5"/>
  <c r="AJ314" i="5"/>
  <c r="AJ298" i="5"/>
  <c r="AJ283" i="5"/>
  <c r="AJ402" i="5"/>
  <c r="AJ329" i="5"/>
  <c r="AJ373" i="5"/>
  <c r="AJ343" i="5"/>
  <c r="AJ254" i="5"/>
  <c r="AJ224" i="5"/>
  <c r="AJ269" i="5"/>
  <c r="AJ210" i="5"/>
  <c r="AJ239" i="5"/>
  <c r="AJ195" i="5"/>
  <c r="AJ179" i="5"/>
  <c r="AJ164" i="5"/>
  <c r="AJ135" i="5"/>
  <c r="AJ119" i="5"/>
  <c r="AJ104" i="5"/>
  <c r="AJ150" i="5"/>
  <c r="AJ90" i="5"/>
  <c r="AK75" i="5"/>
  <c r="AK373" i="5"/>
  <c r="AK388" i="5"/>
  <c r="AK283" i="5"/>
  <c r="AK314" i="5"/>
  <c r="AK298" i="5"/>
  <c r="AK417" i="5"/>
  <c r="AK402" i="5"/>
  <c r="AK329" i="5"/>
  <c r="AK358" i="5"/>
  <c r="AK343" i="5"/>
  <c r="AK254" i="5"/>
  <c r="AK224" i="5"/>
  <c r="AK239" i="5"/>
  <c r="AK269" i="5"/>
  <c r="AK210" i="5"/>
  <c r="AK195" i="5"/>
  <c r="AK179" i="5"/>
  <c r="AK164" i="5"/>
  <c r="AK135" i="5"/>
  <c r="AK119" i="5"/>
  <c r="AK104" i="5"/>
  <c r="AK150" i="5"/>
  <c r="AK90" i="5"/>
  <c r="Q75" i="5"/>
  <c r="Q373" i="5"/>
  <c r="Q388" i="5"/>
  <c r="Q402" i="5"/>
  <c r="Q343" i="5"/>
  <c r="Q417" i="5"/>
  <c r="Q283" i="5"/>
  <c r="Q358" i="5"/>
  <c r="Q329" i="5"/>
  <c r="Q314" i="5"/>
  <c r="Q298" i="5"/>
  <c r="Q239" i="5"/>
  <c r="Q269" i="5"/>
  <c r="Q254" i="5"/>
  <c r="Q224" i="5"/>
  <c r="Q179" i="5"/>
  <c r="Q195" i="5"/>
  <c r="Q210" i="5"/>
  <c r="Q135" i="5"/>
  <c r="Q119" i="5"/>
  <c r="Q104" i="5"/>
  <c r="Q150" i="5"/>
  <c r="Q164" i="5"/>
  <c r="Q90" i="5"/>
  <c r="G75" i="5"/>
  <c r="G402" i="5"/>
  <c r="G373" i="5"/>
  <c r="G417" i="5"/>
  <c r="G388" i="5"/>
  <c r="G358" i="5"/>
  <c r="G343" i="5"/>
  <c r="G314" i="5"/>
  <c r="G283" i="5"/>
  <c r="G298" i="5"/>
  <c r="G329" i="5"/>
  <c r="G269" i="5"/>
  <c r="G254" i="5"/>
  <c r="G179" i="5"/>
  <c r="G195" i="5"/>
  <c r="G224" i="5"/>
  <c r="G210" i="5"/>
  <c r="G239" i="5"/>
  <c r="G119" i="5"/>
  <c r="G104" i="5"/>
  <c r="G150" i="5"/>
  <c r="G164" i="5"/>
  <c r="G135" i="5"/>
  <c r="G90" i="5"/>
  <c r="AW75" i="5"/>
  <c r="AW417" i="5"/>
  <c r="AW373" i="5"/>
  <c r="AW343" i="5"/>
  <c r="AW283" i="5"/>
  <c r="AW358" i="5"/>
  <c r="AW329" i="5"/>
  <c r="AW388" i="5"/>
  <c r="AW314" i="5"/>
  <c r="AW298" i="5"/>
  <c r="AW402" i="5"/>
  <c r="AW239" i="5"/>
  <c r="AW269" i="5"/>
  <c r="AW254" i="5"/>
  <c r="AW224" i="5"/>
  <c r="AW179" i="5"/>
  <c r="AW195" i="5"/>
  <c r="AW210" i="5"/>
  <c r="AW135" i="5"/>
  <c r="AW119" i="5"/>
  <c r="AW104" i="5"/>
  <c r="AW150" i="5"/>
  <c r="AW164" i="5"/>
  <c r="AW90" i="5"/>
  <c r="AA75" i="5"/>
  <c r="AA417" i="5"/>
  <c r="AA388" i="5"/>
  <c r="AA358" i="5"/>
  <c r="AA402" i="5"/>
  <c r="AA373" i="5"/>
  <c r="AA329" i="5"/>
  <c r="AA314" i="5"/>
  <c r="AA298" i="5"/>
  <c r="AA343" i="5"/>
  <c r="AA283" i="5"/>
  <c r="AA224" i="5"/>
  <c r="AA239" i="5"/>
  <c r="AA269" i="5"/>
  <c r="AA210" i="5"/>
  <c r="AA179" i="5"/>
  <c r="AA195" i="5"/>
  <c r="AA254" i="5"/>
  <c r="AA164" i="5"/>
  <c r="AA135" i="5"/>
  <c r="AA119" i="5"/>
  <c r="AA104" i="5"/>
  <c r="AA150" i="5"/>
  <c r="AA90" i="5"/>
  <c r="N75" i="5"/>
  <c r="N402" i="5"/>
  <c r="N373" i="5"/>
  <c r="N417" i="5"/>
  <c r="N388" i="5"/>
  <c r="N358" i="5"/>
  <c r="N343" i="5"/>
  <c r="N329" i="5"/>
  <c r="N283" i="5"/>
  <c r="N314" i="5"/>
  <c r="N298" i="5"/>
  <c r="N254" i="5"/>
  <c r="N224" i="5"/>
  <c r="N239" i="5"/>
  <c r="N195" i="5"/>
  <c r="N210" i="5"/>
  <c r="N269" i="5"/>
  <c r="N179" i="5"/>
  <c r="N150" i="5"/>
  <c r="N119" i="5"/>
  <c r="N164" i="5"/>
  <c r="N135" i="5"/>
  <c r="N104" i="5"/>
  <c r="N90" i="5"/>
  <c r="AP75" i="5"/>
  <c r="AP417" i="5"/>
  <c r="AP388" i="5"/>
  <c r="AP402" i="5"/>
  <c r="AP373" i="5"/>
  <c r="AP329" i="5"/>
  <c r="AP358" i="5"/>
  <c r="AP343" i="5"/>
  <c r="AP283" i="5"/>
  <c r="AP314" i="5"/>
  <c r="AP298" i="5"/>
  <c r="AP239" i="5"/>
  <c r="AP269" i="5"/>
  <c r="AP254" i="5"/>
  <c r="AP179" i="5"/>
  <c r="AP224" i="5"/>
  <c r="AP195" i="5"/>
  <c r="AP210" i="5"/>
  <c r="AP135" i="5"/>
  <c r="AP119" i="5"/>
  <c r="AP104" i="5"/>
  <c r="AP150" i="5"/>
  <c r="AP164" i="5"/>
  <c r="AP90" i="5"/>
  <c r="AF75" i="5"/>
  <c r="AF402" i="5"/>
  <c r="AF373" i="5"/>
  <c r="AF358" i="5"/>
  <c r="AF417" i="5"/>
  <c r="AF343" i="5"/>
  <c r="AF283" i="5"/>
  <c r="AF314" i="5"/>
  <c r="AF298" i="5"/>
  <c r="AF329" i="5"/>
  <c r="AF388" i="5"/>
  <c r="AF239" i="5"/>
  <c r="AF269" i="5"/>
  <c r="AF224" i="5"/>
  <c r="AF179" i="5"/>
  <c r="AF195" i="5"/>
  <c r="AF254" i="5"/>
  <c r="AF210" i="5"/>
  <c r="AF135" i="5"/>
  <c r="AF119" i="5"/>
  <c r="AF104" i="5"/>
  <c r="AF150" i="5"/>
  <c r="AF164" i="5"/>
  <c r="AF90" i="5"/>
  <c r="AQ75" i="5"/>
  <c r="AQ417" i="5"/>
  <c r="AQ388" i="5"/>
  <c r="AQ402" i="5"/>
  <c r="AQ373" i="5"/>
  <c r="AQ314" i="5"/>
  <c r="AQ329" i="5"/>
  <c r="AQ358" i="5"/>
  <c r="AQ283" i="5"/>
  <c r="AQ343" i="5"/>
  <c r="AQ298" i="5"/>
  <c r="AQ224" i="5"/>
  <c r="AQ239" i="5"/>
  <c r="AQ269" i="5"/>
  <c r="AQ210" i="5"/>
  <c r="AQ254" i="5"/>
  <c r="AQ179" i="5"/>
  <c r="AQ195" i="5"/>
  <c r="AQ164" i="5"/>
  <c r="AQ135" i="5"/>
  <c r="AQ119" i="5"/>
  <c r="AQ104" i="5"/>
  <c r="AQ150" i="5"/>
  <c r="AQ90" i="5"/>
  <c r="P75" i="5"/>
  <c r="P402" i="5"/>
  <c r="P373" i="5"/>
  <c r="P388" i="5"/>
  <c r="P283" i="5"/>
  <c r="P343" i="5"/>
  <c r="P417" i="5"/>
  <c r="P314" i="5"/>
  <c r="P298" i="5"/>
  <c r="P358" i="5"/>
  <c r="P329" i="5"/>
  <c r="P239" i="5"/>
  <c r="P269" i="5"/>
  <c r="P224" i="5"/>
  <c r="P179" i="5"/>
  <c r="P195" i="5"/>
  <c r="P254" i="5"/>
  <c r="P210" i="5"/>
  <c r="P135" i="5"/>
  <c r="P119" i="5"/>
  <c r="P104" i="5"/>
  <c r="P150" i="5"/>
  <c r="P164" i="5"/>
  <c r="P90" i="5"/>
  <c r="BI75" i="5"/>
  <c r="BI373" i="5"/>
  <c r="BI283" i="5"/>
  <c r="BI402" i="5"/>
  <c r="BI388" i="5"/>
  <c r="BI314" i="5"/>
  <c r="BI298" i="5"/>
  <c r="BI358" i="5"/>
  <c r="BI329" i="5"/>
  <c r="BI417" i="5"/>
  <c r="BI343" i="5"/>
  <c r="BI254" i="5"/>
  <c r="BI224" i="5"/>
  <c r="BI239" i="5"/>
  <c r="BI269" i="5"/>
  <c r="BI210" i="5"/>
  <c r="BI195" i="5"/>
  <c r="BI179" i="5"/>
  <c r="BI164" i="5"/>
  <c r="BI135" i="5"/>
  <c r="BI104" i="5"/>
  <c r="BI119" i="5"/>
  <c r="BI150" i="5"/>
  <c r="BI90" i="5"/>
  <c r="V75" i="5"/>
  <c r="V402" i="5"/>
  <c r="V373" i="5"/>
  <c r="V417" i="5"/>
  <c r="V388" i="5"/>
  <c r="V358" i="5"/>
  <c r="V343" i="5"/>
  <c r="V283" i="5"/>
  <c r="V314" i="5"/>
  <c r="V298" i="5"/>
  <c r="V329" i="5"/>
  <c r="V254" i="5"/>
  <c r="V224" i="5"/>
  <c r="V239" i="5"/>
  <c r="V195" i="5"/>
  <c r="V210" i="5"/>
  <c r="V179" i="5"/>
  <c r="V269" i="5"/>
  <c r="V150" i="5"/>
  <c r="V164" i="5"/>
  <c r="V119" i="5"/>
  <c r="V135" i="5"/>
  <c r="V104" i="5"/>
  <c r="V90" i="5"/>
  <c r="AU75" i="5"/>
  <c r="AU402" i="5"/>
  <c r="AU373" i="5"/>
  <c r="AU417" i="5"/>
  <c r="AU388" i="5"/>
  <c r="AU343" i="5"/>
  <c r="AU298" i="5"/>
  <c r="AU283" i="5"/>
  <c r="AU314" i="5"/>
  <c r="AU358" i="5"/>
  <c r="AU329" i="5"/>
  <c r="AU269" i="5"/>
  <c r="AU254" i="5"/>
  <c r="AU239" i="5"/>
  <c r="AU179" i="5"/>
  <c r="AU195" i="5"/>
  <c r="AU210" i="5"/>
  <c r="AU224" i="5"/>
  <c r="AU119" i="5"/>
  <c r="AU104" i="5"/>
  <c r="AU150" i="5"/>
  <c r="AU164" i="5"/>
  <c r="AU135" i="5"/>
  <c r="AU90" i="5"/>
  <c r="AR75" i="5"/>
  <c r="AR417" i="5"/>
  <c r="AR388" i="5"/>
  <c r="AR314" i="5"/>
  <c r="AR298" i="5"/>
  <c r="AR373" i="5"/>
  <c r="AR329" i="5"/>
  <c r="AR358" i="5"/>
  <c r="AR402" i="5"/>
  <c r="AR283" i="5"/>
  <c r="AR343" i="5"/>
  <c r="AR254" i="5"/>
  <c r="AR224" i="5"/>
  <c r="AR269" i="5"/>
  <c r="AR210" i="5"/>
  <c r="AR239" i="5"/>
  <c r="AR179" i="5"/>
  <c r="AR195" i="5"/>
  <c r="AR164" i="5"/>
  <c r="AR135" i="5"/>
  <c r="AR119" i="5"/>
  <c r="AR104" i="5"/>
  <c r="AR150" i="5"/>
  <c r="AR90" i="5"/>
  <c r="BA75" i="5"/>
  <c r="BA402" i="5"/>
  <c r="BA283" i="5"/>
  <c r="BA417" i="5"/>
  <c r="BA314" i="5"/>
  <c r="BA298" i="5"/>
  <c r="BA358" i="5"/>
  <c r="BA329" i="5"/>
  <c r="BA388" i="5"/>
  <c r="BA343" i="5"/>
  <c r="BA373" i="5"/>
  <c r="BA254" i="5"/>
  <c r="BA224" i="5"/>
  <c r="BA239" i="5"/>
  <c r="BA269" i="5"/>
  <c r="BA210" i="5"/>
  <c r="BA195" i="5"/>
  <c r="BA179" i="5"/>
  <c r="BA150" i="5"/>
  <c r="BA164" i="5"/>
  <c r="BA104" i="5"/>
  <c r="BA135" i="5"/>
  <c r="BA119" i="5"/>
  <c r="BA90" i="5"/>
  <c r="AX75" i="5"/>
  <c r="AX417" i="5"/>
  <c r="AX388" i="5"/>
  <c r="AX402" i="5"/>
  <c r="AX373" i="5"/>
  <c r="AX358" i="5"/>
  <c r="AX329" i="5"/>
  <c r="AX343" i="5"/>
  <c r="AX314" i="5"/>
  <c r="AX298" i="5"/>
  <c r="AX283" i="5"/>
  <c r="AX239" i="5"/>
  <c r="AX269" i="5"/>
  <c r="AX254" i="5"/>
  <c r="AX179" i="5"/>
  <c r="AX195" i="5"/>
  <c r="AX210" i="5"/>
  <c r="AX224" i="5"/>
  <c r="AX135" i="5"/>
  <c r="AX119" i="5"/>
  <c r="AX104" i="5"/>
  <c r="AX150" i="5"/>
  <c r="AX164" i="5"/>
  <c r="AX90" i="5"/>
  <c r="AN75" i="5"/>
  <c r="AN402" i="5"/>
  <c r="AN373" i="5"/>
  <c r="AN283" i="5"/>
  <c r="AN388" i="5"/>
  <c r="AN343" i="5"/>
  <c r="AN417" i="5"/>
  <c r="AN314" i="5"/>
  <c r="AN298" i="5"/>
  <c r="AN329" i="5"/>
  <c r="AN358" i="5"/>
  <c r="AN239" i="5"/>
  <c r="AN269" i="5"/>
  <c r="AN224" i="5"/>
  <c r="AN254" i="5"/>
  <c r="AN179" i="5"/>
  <c r="AN195" i="5"/>
  <c r="AN210" i="5"/>
  <c r="AN135" i="5"/>
  <c r="AN119" i="5"/>
  <c r="AN104" i="5"/>
  <c r="AN150" i="5"/>
  <c r="AN164" i="5"/>
  <c r="AN90" i="5"/>
  <c r="AY75" i="5"/>
  <c r="AY417" i="5"/>
  <c r="AY388" i="5"/>
  <c r="AY402" i="5"/>
  <c r="AY373" i="5"/>
  <c r="AY314" i="5"/>
  <c r="AY298" i="5"/>
  <c r="AY358" i="5"/>
  <c r="AY329" i="5"/>
  <c r="AY283" i="5"/>
  <c r="AY343" i="5"/>
  <c r="AY224" i="5"/>
  <c r="AY239" i="5"/>
  <c r="AY269" i="5"/>
  <c r="AY210" i="5"/>
  <c r="AY254" i="5"/>
  <c r="AY179" i="5"/>
  <c r="AY195" i="5"/>
  <c r="AY164" i="5"/>
  <c r="AY135" i="5"/>
  <c r="AY119" i="5"/>
  <c r="AY104" i="5"/>
  <c r="AY150" i="5"/>
  <c r="AY90" i="5"/>
  <c r="AO75" i="5"/>
  <c r="AO358" i="5"/>
  <c r="AO373" i="5"/>
  <c r="AO402" i="5"/>
  <c r="AO388" i="5"/>
  <c r="AO343" i="5"/>
  <c r="AO283" i="5"/>
  <c r="AO417" i="5"/>
  <c r="AO314" i="5"/>
  <c r="AO298" i="5"/>
  <c r="AO329" i="5"/>
  <c r="AO239" i="5"/>
  <c r="AO269" i="5"/>
  <c r="AO254" i="5"/>
  <c r="AO224" i="5"/>
  <c r="AO179" i="5"/>
  <c r="AO195" i="5"/>
  <c r="AO210" i="5"/>
  <c r="AO135" i="5"/>
  <c r="AO119" i="5"/>
  <c r="AO104" i="5"/>
  <c r="AO150" i="5"/>
  <c r="AO164" i="5"/>
  <c r="AO90" i="5"/>
  <c r="W75" i="5"/>
  <c r="W402" i="5"/>
  <c r="W373" i="5"/>
  <c r="W417" i="5"/>
  <c r="W388" i="5"/>
  <c r="W358" i="5"/>
  <c r="W343" i="5"/>
  <c r="W298" i="5"/>
  <c r="W283" i="5"/>
  <c r="W314" i="5"/>
  <c r="W329" i="5"/>
  <c r="W269" i="5"/>
  <c r="W254" i="5"/>
  <c r="W179" i="5"/>
  <c r="W195" i="5"/>
  <c r="W239" i="5"/>
  <c r="W210" i="5"/>
  <c r="W224" i="5"/>
  <c r="W119" i="5"/>
  <c r="W104" i="5"/>
  <c r="W150" i="5"/>
  <c r="W164" i="5"/>
  <c r="W135" i="5"/>
  <c r="W90" i="5"/>
  <c r="AD75" i="5"/>
  <c r="AD402" i="5"/>
  <c r="AD373" i="5"/>
  <c r="AD417" i="5"/>
  <c r="AD388" i="5"/>
  <c r="AD358" i="5"/>
  <c r="AD343" i="5"/>
  <c r="AD283" i="5"/>
  <c r="AD314" i="5"/>
  <c r="AD298" i="5"/>
  <c r="AD329" i="5"/>
  <c r="AD254" i="5"/>
  <c r="AD224" i="5"/>
  <c r="AD239" i="5"/>
  <c r="AD195" i="5"/>
  <c r="AD210" i="5"/>
  <c r="AD269" i="5"/>
  <c r="AD179" i="5"/>
  <c r="AD150" i="5"/>
  <c r="AD119" i="5"/>
  <c r="AD164" i="5"/>
  <c r="AD135" i="5"/>
  <c r="AD104" i="5"/>
  <c r="AD90" i="5"/>
  <c r="H75" i="5"/>
  <c r="H402" i="5"/>
  <c r="H373" i="5"/>
  <c r="H417" i="5"/>
  <c r="H343" i="5"/>
  <c r="H358" i="5"/>
  <c r="H283" i="5"/>
  <c r="H314" i="5"/>
  <c r="H298" i="5"/>
  <c r="H388" i="5"/>
  <c r="H329" i="5"/>
  <c r="H239" i="5"/>
  <c r="H269" i="5"/>
  <c r="H224" i="5"/>
  <c r="H254" i="5"/>
  <c r="H179" i="5"/>
  <c r="H195" i="5"/>
  <c r="H210" i="5"/>
  <c r="H135" i="5"/>
  <c r="H119" i="5"/>
  <c r="H104" i="5"/>
  <c r="H150" i="5"/>
  <c r="H164" i="5"/>
  <c r="H90" i="5"/>
  <c r="Z75" i="5"/>
  <c r="Z417" i="5"/>
  <c r="Z388" i="5"/>
  <c r="Z358" i="5"/>
  <c r="Z402" i="5"/>
  <c r="Z373" i="5"/>
  <c r="Z329" i="5"/>
  <c r="Z298" i="5"/>
  <c r="Z343" i="5"/>
  <c r="Z283" i="5"/>
  <c r="Z314" i="5"/>
  <c r="Z239" i="5"/>
  <c r="Z269" i="5"/>
  <c r="Z254" i="5"/>
  <c r="Z224" i="5"/>
  <c r="Z179" i="5"/>
  <c r="Z195" i="5"/>
  <c r="Z210" i="5"/>
  <c r="Z164" i="5"/>
  <c r="Z135" i="5"/>
  <c r="Z119" i="5"/>
  <c r="Z104" i="5"/>
  <c r="Z150" i="5"/>
  <c r="Z90" i="5"/>
  <c r="O75" i="5"/>
  <c r="O402" i="5"/>
  <c r="O373" i="5"/>
  <c r="O417" i="5"/>
  <c r="O388" i="5"/>
  <c r="O358" i="5"/>
  <c r="O343" i="5"/>
  <c r="O314" i="5"/>
  <c r="O298" i="5"/>
  <c r="O283" i="5"/>
  <c r="O329" i="5"/>
  <c r="O269" i="5"/>
  <c r="O254" i="5"/>
  <c r="O239" i="5"/>
  <c r="O179" i="5"/>
  <c r="O195" i="5"/>
  <c r="O210" i="5"/>
  <c r="O224" i="5"/>
  <c r="O119" i="5"/>
  <c r="O104" i="5"/>
  <c r="O135" i="5"/>
  <c r="O150" i="5"/>
  <c r="O164" i="5"/>
  <c r="O90" i="5"/>
  <c r="AI75" i="5"/>
  <c r="AI417" i="5"/>
  <c r="AI388" i="5"/>
  <c r="AI358" i="5"/>
  <c r="AI402" i="5"/>
  <c r="AI373" i="5"/>
  <c r="AI329" i="5"/>
  <c r="AI283" i="5"/>
  <c r="AI314" i="5"/>
  <c r="AI343" i="5"/>
  <c r="AI298" i="5"/>
  <c r="AI224" i="5"/>
  <c r="AI239" i="5"/>
  <c r="AI269" i="5"/>
  <c r="AI254" i="5"/>
  <c r="AI210" i="5"/>
  <c r="AI179" i="5"/>
  <c r="AI195" i="5"/>
  <c r="AI164" i="5"/>
  <c r="AI135" i="5"/>
  <c r="AI119" i="5"/>
  <c r="AI104" i="5"/>
  <c r="AI150" i="5"/>
  <c r="AI90" i="5"/>
  <c r="BF75" i="5"/>
  <c r="BF417" i="5"/>
  <c r="BF388" i="5"/>
  <c r="BF402" i="5"/>
  <c r="BF373" i="5"/>
  <c r="BF358" i="5"/>
  <c r="BF329" i="5"/>
  <c r="BF343" i="5"/>
  <c r="BF283" i="5"/>
  <c r="BF314" i="5"/>
  <c r="BF298" i="5"/>
  <c r="BF239" i="5"/>
  <c r="BF269" i="5"/>
  <c r="BF254" i="5"/>
  <c r="BF224" i="5"/>
  <c r="BF179" i="5"/>
  <c r="BF195" i="5"/>
  <c r="BF210" i="5"/>
  <c r="BF135" i="5"/>
  <c r="BF119" i="5"/>
  <c r="BF104" i="5"/>
  <c r="BF164" i="5"/>
  <c r="BF150" i="5"/>
  <c r="BF90" i="5"/>
  <c r="AV75" i="5"/>
  <c r="AV402" i="5"/>
  <c r="AV373" i="5"/>
  <c r="AV417" i="5"/>
  <c r="AV343" i="5"/>
  <c r="AV283" i="5"/>
  <c r="AV388" i="5"/>
  <c r="AV314" i="5"/>
  <c r="AV298" i="5"/>
  <c r="AV358" i="5"/>
  <c r="AV329" i="5"/>
  <c r="AV239" i="5"/>
  <c r="AV269" i="5"/>
  <c r="AV224" i="5"/>
  <c r="AV179" i="5"/>
  <c r="AV195" i="5"/>
  <c r="AV254" i="5"/>
  <c r="AV210" i="5"/>
  <c r="AV135" i="5"/>
  <c r="AV119" i="5"/>
  <c r="AV104" i="5"/>
  <c r="AV150" i="5"/>
  <c r="AV164" i="5"/>
  <c r="AV90" i="5"/>
  <c r="BG75" i="5"/>
  <c r="BG417" i="5"/>
  <c r="BG388" i="5"/>
  <c r="BG402" i="5"/>
  <c r="BG373" i="5"/>
  <c r="BG314" i="5"/>
  <c r="BG358" i="5"/>
  <c r="BG329" i="5"/>
  <c r="BG298" i="5"/>
  <c r="BG343" i="5"/>
  <c r="BG283" i="5"/>
  <c r="BG224" i="5"/>
  <c r="BG239" i="5"/>
  <c r="BG269" i="5"/>
  <c r="BG210" i="5"/>
  <c r="BG254" i="5"/>
  <c r="BG179" i="5"/>
  <c r="BG195" i="5"/>
  <c r="BG164" i="5"/>
  <c r="BG135" i="5"/>
  <c r="BG119" i="5"/>
  <c r="BG104" i="5"/>
  <c r="BG150" i="5"/>
  <c r="BG90" i="5"/>
  <c r="M75" i="5"/>
  <c r="S76" i="5" s="1"/>
  <c r="T77" i="5" s="1"/>
  <c r="M388" i="5"/>
  <c r="M283" i="5"/>
  <c r="M402" i="5"/>
  <c r="M314" i="5"/>
  <c r="M298" i="5"/>
  <c r="M417" i="5"/>
  <c r="M329" i="5"/>
  <c r="M358" i="5"/>
  <c r="M343" i="5"/>
  <c r="M373" i="5"/>
  <c r="M254" i="5"/>
  <c r="M224" i="5"/>
  <c r="M239" i="5"/>
  <c r="M269" i="5"/>
  <c r="M210" i="5"/>
  <c r="M195" i="5"/>
  <c r="M179" i="5"/>
  <c r="M164" i="5"/>
  <c r="M104" i="5"/>
  <c r="M150" i="5"/>
  <c r="M135" i="5"/>
  <c r="M119" i="5"/>
  <c r="M90" i="5"/>
  <c r="AM75" i="5"/>
  <c r="AM402" i="5"/>
  <c r="AM373" i="5"/>
  <c r="AM417" i="5"/>
  <c r="AM388" i="5"/>
  <c r="AM358" i="5"/>
  <c r="AM343" i="5"/>
  <c r="AM298" i="5"/>
  <c r="AM314" i="5"/>
  <c r="AM283" i="5"/>
  <c r="AM329" i="5"/>
  <c r="AM269" i="5"/>
  <c r="AM254" i="5"/>
  <c r="AM179" i="5"/>
  <c r="AM195" i="5"/>
  <c r="AM224" i="5"/>
  <c r="AM210" i="5"/>
  <c r="AM239" i="5"/>
  <c r="AM119" i="5"/>
  <c r="AM104" i="5"/>
  <c r="AM150" i="5"/>
  <c r="AM135" i="5"/>
  <c r="AM164" i="5"/>
  <c r="AM90" i="5"/>
  <c r="AL75" i="5"/>
  <c r="AR76" i="5" s="1"/>
  <c r="AS77" i="5" s="1"/>
  <c r="AL402" i="5"/>
  <c r="AL373" i="5"/>
  <c r="AL417" i="5"/>
  <c r="AL388" i="5"/>
  <c r="AL358" i="5"/>
  <c r="AL343" i="5"/>
  <c r="AL329" i="5"/>
  <c r="AL283" i="5"/>
  <c r="AL314" i="5"/>
  <c r="AL298" i="5"/>
  <c r="AL254" i="5"/>
  <c r="AL224" i="5"/>
  <c r="AL239" i="5"/>
  <c r="AL269" i="5"/>
  <c r="AL195" i="5"/>
  <c r="AL210" i="5"/>
  <c r="AL179" i="5"/>
  <c r="AL150" i="5"/>
  <c r="AL164" i="5"/>
  <c r="AL135" i="5"/>
  <c r="AL119" i="5"/>
  <c r="AL104" i="5"/>
  <c r="AL90" i="5"/>
  <c r="X75" i="5"/>
  <c r="X402" i="5"/>
  <c r="X373" i="5"/>
  <c r="X358" i="5"/>
  <c r="X343" i="5"/>
  <c r="X283" i="5"/>
  <c r="X388" i="5"/>
  <c r="X314" i="5"/>
  <c r="X298" i="5"/>
  <c r="X329" i="5"/>
  <c r="X417" i="5"/>
  <c r="X239" i="5"/>
  <c r="X269" i="5"/>
  <c r="X224" i="5"/>
  <c r="X179" i="5"/>
  <c r="X195" i="5"/>
  <c r="X254" i="5"/>
  <c r="X210" i="5"/>
  <c r="X135" i="5"/>
  <c r="X119" i="5"/>
  <c r="X104" i="5"/>
  <c r="X150" i="5"/>
  <c r="X164" i="5"/>
  <c r="X90" i="5"/>
  <c r="C75" i="5"/>
  <c r="C417" i="5"/>
  <c r="C388" i="5"/>
  <c r="C358" i="5"/>
  <c r="C402" i="5"/>
  <c r="C373" i="5"/>
  <c r="C329" i="5"/>
  <c r="C283" i="5"/>
  <c r="C298" i="5"/>
  <c r="C343" i="5"/>
  <c r="C314" i="5"/>
  <c r="C224" i="5"/>
  <c r="C239" i="5"/>
  <c r="C269" i="5"/>
  <c r="C254" i="5"/>
  <c r="C210" i="5"/>
  <c r="C179" i="5"/>
  <c r="C195" i="5"/>
  <c r="C164" i="5"/>
  <c r="C135" i="5"/>
  <c r="C119" i="5"/>
  <c r="C150" i="5"/>
  <c r="C104" i="5"/>
  <c r="C90" i="5"/>
  <c r="BE75" i="5"/>
  <c r="BE388" i="5"/>
  <c r="BE402" i="5"/>
  <c r="BE343" i="5"/>
  <c r="BE417" i="5"/>
  <c r="BE283" i="5"/>
  <c r="BE358" i="5"/>
  <c r="BE329" i="5"/>
  <c r="BE314" i="5"/>
  <c r="BE298" i="5"/>
  <c r="BE373" i="5"/>
  <c r="BE239" i="5"/>
  <c r="BE269" i="5"/>
  <c r="BE254" i="5"/>
  <c r="BE224" i="5"/>
  <c r="BE179" i="5"/>
  <c r="BE195" i="5"/>
  <c r="BE210" i="5"/>
  <c r="BE135" i="5"/>
  <c r="BE119" i="5"/>
  <c r="BE104" i="5"/>
  <c r="BE150" i="5"/>
  <c r="BE164" i="5"/>
  <c r="BE90" i="5"/>
  <c r="AH75" i="5"/>
  <c r="AN76" i="5" s="1"/>
  <c r="AO77" i="5" s="1"/>
  <c r="AO78" i="5" s="1"/>
  <c r="AO79" i="5" s="1"/>
  <c r="AH417" i="5"/>
  <c r="AH388" i="5"/>
  <c r="AH358" i="5"/>
  <c r="AH402" i="5"/>
  <c r="AH373" i="5"/>
  <c r="AH329" i="5"/>
  <c r="AH343" i="5"/>
  <c r="AH298" i="5"/>
  <c r="AH314" i="5"/>
  <c r="AH283" i="5"/>
  <c r="AH239" i="5"/>
  <c r="AH269" i="5"/>
  <c r="AH254" i="5"/>
  <c r="AH224" i="5"/>
  <c r="AH179" i="5"/>
  <c r="AH195" i="5"/>
  <c r="AH210" i="5"/>
  <c r="AH135" i="5"/>
  <c r="AH164" i="5"/>
  <c r="AH119" i="5"/>
  <c r="AH104" i="5"/>
  <c r="AH150" i="5"/>
  <c r="AH90" i="5"/>
  <c r="AO91" i="5" s="1"/>
  <c r="AP92" i="5" s="1"/>
  <c r="AP93" i="5" s="1"/>
  <c r="AP94" i="5" s="1"/>
  <c r="AE75" i="5"/>
  <c r="AE402" i="5"/>
  <c r="AE373" i="5"/>
  <c r="AE417" i="5"/>
  <c r="AE388" i="5"/>
  <c r="AE358" i="5"/>
  <c r="AE343" i="5"/>
  <c r="AE314" i="5"/>
  <c r="AE283" i="5"/>
  <c r="AE298" i="5"/>
  <c r="AE329" i="5"/>
  <c r="AE269" i="5"/>
  <c r="AE254" i="5"/>
  <c r="AE179" i="5"/>
  <c r="AE224" i="5"/>
  <c r="AE195" i="5"/>
  <c r="AE239" i="5"/>
  <c r="AE210" i="5"/>
  <c r="AE119" i="5"/>
  <c r="AE104" i="5"/>
  <c r="AE150" i="5"/>
  <c r="AE135" i="5"/>
  <c r="AE164" i="5"/>
  <c r="AE90" i="5"/>
  <c r="D75" i="5"/>
  <c r="D417" i="5"/>
  <c r="D388" i="5"/>
  <c r="D358" i="5"/>
  <c r="D314" i="5"/>
  <c r="D298" i="5"/>
  <c r="D329" i="5"/>
  <c r="D373" i="5"/>
  <c r="D283" i="5"/>
  <c r="D402" i="5"/>
  <c r="D343" i="5"/>
  <c r="D254" i="5"/>
  <c r="D224" i="5"/>
  <c r="D269" i="5"/>
  <c r="D210" i="5"/>
  <c r="D239" i="5"/>
  <c r="D195" i="5"/>
  <c r="D179" i="5"/>
  <c r="D104" i="5"/>
  <c r="D164" i="5"/>
  <c r="D135" i="5"/>
  <c r="D119" i="5"/>
  <c r="D150" i="5"/>
  <c r="D90" i="5"/>
  <c r="Y75" i="5"/>
  <c r="Y417" i="5"/>
  <c r="Y358" i="5"/>
  <c r="Y373" i="5"/>
  <c r="Y343" i="5"/>
  <c r="Y388" i="5"/>
  <c r="Y283" i="5"/>
  <c r="Y329" i="5"/>
  <c r="Y402" i="5"/>
  <c r="Y314" i="5"/>
  <c r="Y298" i="5"/>
  <c r="Y239" i="5"/>
  <c r="Y269" i="5"/>
  <c r="Y254" i="5"/>
  <c r="Y224" i="5"/>
  <c r="Y179" i="5"/>
  <c r="Y195" i="5"/>
  <c r="Y210" i="5"/>
  <c r="Y135" i="5"/>
  <c r="Y119" i="5"/>
  <c r="Y104" i="5"/>
  <c r="Y150" i="5"/>
  <c r="Y164" i="5"/>
  <c r="Y90" i="5"/>
  <c r="E75" i="5"/>
  <c r="E417" i="5"/>
  <c r="E283" i="5"/>
  <c r="E373" i="5"/>
  <c r="E358" i="5"/>
  <c r="E314" i="5"/>
  <c r="E298" i="5"/>
  <c r="E329" i="5"/>
  <c r="E388" i="5"/>
  <c r="E402" i="5"/>
  <c r="E343" i="5"/>
  <c r="E254" i="5"/>
  <c r="E224" i="5"/>
  <c r="E239" i="5"/>
  <c r="E269" i="5"/>
  <c r="E210" i="5"/>
  <c r="E195" i="5"/>
  <c r="E179" i="5"/>
  <c r="E150" i="5"/>
  <c r="E104" i="5"/>
  <c r="E164" i="5"/>
  <c r="E135" i="5"/>
  <c r="E119" i="5"/>
  <c r="E90" i="5"/>
  <c r="U75" i="5"/>
  <c r="AA76" i="5" s="1"/>
  <c r="AB77" i="5" s="1"/>
  <c r="AB78" i="5" s="1"/>
  <c r="AB79" i="5" s="1"/>
  <c r="U358" i="5"/>
  <c r="U283" i="5"/>
  <c r="U373" i="5"/>
  <c r="U314" i="5"/>
  <c r="U298" i="5"/>
  <c r="U388" i="5"/>
  <c r="U329" i="5"/>
  <c r="U402" i="5"/>
  <c r="U417" i="5"/>
  <c r="U343" i="5"/>
  <c r="U254" i="5"/>
  <c r="U224" i="5"/>
  <c r="U239" i="5"/>
  <c r="U269" i="5"/>
  <c r="U210" i="5"/>
  <c r="U195" i="5"/>
  <c r="U179" i="5"/>
  <c r="U164" i="5"/>
  <c r="U135" i="5"/>
  <c r="U104" i="5"/>
  <c r="U119" i="5"/>
  <c r="U150" i="5"/>
  <c r="U90" i="5"/>
  <c r="BC75" i="5"/>
  <c r="BC402" i="5"/>
  <c r="BC373" i="5"/>
  <c r="BC417" i="5"/>
  <c r="BC388" i="5"/>
  <c r="BC343" i="5"/>
  <c r="BC283" i="5"/>
  <c r="BC314" i="5"/>
  <c r="BC298" i="5"/>
  <c r="BC358" i="5"/>
  <c r="BC329" i="5"/>
  <c r="BC269" i="5"/>
  <c r="BC254" i="5"/>
  <c r="BC179" i="5"/>
  <c r="BC195" i="5"/>
  <c r="BC239" i="5"/>
  <c r="BC210" i="5"/>
  <c r="BC224" i="5"/>
  <c r="BC119" i="5"/>
  <c r="BC104" i="5"/>
  <c r="BC150" i="5"/>
  <c r="BC164" i="5"/>
  <c r="BC135" i="5"/>
  <c r="BC90" i="5"/>
  <c r="AT75" i="5"/>
  <c r="AZ76" i="5" s="1"/>
  <c r="BA77" i="5" s="1"/>
  <c r="BA78" i="5" s="1"/>
  <c r="BA79" i="5" s="1"/>
  <c r="AT402" i="5"/>
  <c r="AT373" i="5"/>
  <c r="AT417" i="5"/>
  <c r="AT388" i="5"/>
  <c r="AT358" i="5"/>
  <c r="AT343" i="5"/>
  <c r="AT283" i="5"/>
  <c r="AT329" i="5"/>
  <c r="AT314" i="5"/>
  <c r="AT298" i="5"/>
  <c r="AT254" i="5"/>
  <c r="AT224" i="5"/>
  <c r="AT239" i="5"/>
  <c r="AT195" i="5"/>
  <c r="AT269" i="5"/>
  <c r="AT210" i="5"/>
  <c r="AT179" i="5"/>
  <c r="AT150" i="5"/>
  <c r="AT119" i="5"/>
  <c r="AT164" i="5"/>
  <c r="AT135" i="5"/>
  <c r="AT104" i="5"/>
  <c r="AT90" i="5"/>
  <c r="BA91" i="5" s="1"/>
  <c r="BB92" i="5" s="1"/>
  <c r="I75" i="5"/>
  <c r="I402" i="5"/>
  <c r="I417" i="5"/>
  <c r="I343" i="5"/>
  <c r="I358" i="5"/>
  <c r="I373" i="5"/>
  <c r="I283" i="5"/>
  <c r="I388" i="5"/>
  <c r="I314" i="5"/>
  <c r="I298" i="5"/>
  <c r="I329" i="5"/>
  <c r="I239" i="5"/>
  <c r="I269" i="5"/>
  <c r="I254" i="5"/>
  <c r="I224" i="5"/>
  <c r="I179" i="5"/>
  <c r="I195" i="5"/>
  <c r="I210" i="5"/>
  <c r="I135" i="5"/>
  <c r="I119" i="5"/>
  <c r="I104" i="5"/>
  <c r="I150" i="5"/>
  <c r="I164" i="5"/>
  <c r="I90" i="5"/>
  <c r="AS75" i="5"/>
  <c r="AY76" i="5" s="1"/>
  <c r="AZ77" i="5" s="1"/>
  <c r="AZ78" i="5" s="1"/>
  <c r="AZ79" i="5" s="1"/>
  <c r="AS283" i="5"/>
  <c r="AS314" i="5"/>
  <c r="AS298" i="5"/>
  <c r="AS388" i="5"/>
  <c r="AS373" i="5"/>
  <c r="AS329" i="5"/>
  <c r="AS358" i="5"/>
  <c r="AS417" i="5"/>
  <c r="AS343" i="5"/>
  <c r="AS402" i="5"/>
  <c r="AS254" i="5"/>
  <c r="AS224" i="5"/>
  <c r="AS239" i="5"/>
  <c r="AS269" i="5"/>
  <c r="AS210" i="5"/>
  <c r="AS195" i="5"/>
  <c r="AS179" i="5"/>
  <c r="AS150" i="5"/>
  <c r="AS164" i="5"/>
  <c r="AS104" i="5"/>
  <c r="AS135" i="5"/>
  <c r="AS119" i="5"/>
  <c r="AS90" i="5"/>
  <c r="AZ91" i="5" s="1"/>
  <c r="BA92" i="5" s="1"/>
  <c r="BA93" i="5" s="1"/>
  <c r="BA94" i="5" s="1"/>
  <c r="F75" i="5"/>
  <c r="F402" i="5"/>
  <c r="F373" i="5"/>
  <c r="F417" i="5"/>
  <c r="F388" i="5"/>
  <c r="F358" i="5"/>
  <c r="F343" i="5"/>
  <c r="F283" i="5"/>
  <c r="F329" i="5"/>
  <c r="F314" i="5"/>
  <c r="F298" i="5"/>
  <c r="F254" i="5"/>
  <c r="F224" i="5"/>
  <c r="F239" i="5"/>
  <c r="F195" i="5"/>
  <c r="F210" i="5"/>
  <c r="F269" i="5"/>
  <c r="F179" i="5"/>
  <c r="F150" i="5"/>
  <c r="F164" i="5"/>
  <c r="F135" i="5"/>
  <c r="F119" i="5"/>
  <c r="F104" i="5"/>
  <c r="F90" i="5"/>
  <c r="J75" i="5"/>
  <c r="J417" i="5"/>
  <c r="J388" i="5"/>
  <c r="J358" i="5"/>
  <c r="J402" i="5"/>
  <c r="J373" i="5"/>
  <c r="J329" i="5"/>
  <c r="J343" i="5"/>
  <c r="J298" i="5"/>
  <c r="J314" i="5"/>
  <c r="J283" i="5"/>
  <c r="J239" i="5"/>
  <c r="J269" i="5"/>
  <c r="J254" i="5"/>
  <c r="J179" i="5"/>
  <c r="J224" i="5"/>
  <c r="J195" i="5"/>
  <c r="J210" i="5"/>
  <c r="J164" i="5"/>
  <c r="J135" i="5"/>
  <c r="J119" i="5"/>
  <c r="J104" i="5"/>
  <c r="J150" i="5"/>
  <c r="J90" i="5"/>
  <c r="T75" i="5"/>
  <c r="Z76" i="5" s="1"/>
  <c r="AA77" i="5" s="1"/>
  <c r="AA78" i="5" s="1"/>
  <c r="AA79" i="5" s="1"/>
  <c r="T417" i="5"/>
  <c r="T388" i="5"/>
  <c r="T358" i="5"/>
  <c r="T373" i="5"/>
  <c r="T314" i="5"/>
  <c r="T298" i="5"/>
  <c r="T402" i="5"/>
  <c r="AV403" i="5" s="1"/>
  <c r="AW404" i="5" s="1"/>
  <c r="AW405" i="5" s="1"/>
  <c r="AW406" i="5" s="1"/>
  <c r="T329" i="5"/>
  <c r="T283" i="5"/>
  <c r="T343" i="5"/>
  <c r="T254" i="5"/>
  <c r="T224" i="5"/>
  <c r="T269" i="5"/>
  <c r="T239" i="5"/>
  <c r="T210" i="5"/>
  <c r="T179" i="5"/>
  <c r="T195" i="5"/>
  <c r="T164" i="5"/>
  <c r="T135" i="5"/>
  <c r="T119" i="5"/>
  <c r="T104" i="5"/>
  <c r="T150" i="5"/>
  <c r="T90" i="5"/>
  <c r="AA91" i="5" s="1"/>
  <c r="AB92" i="5" s="1"/>
  <c r="AB93" i="5" s="1"/>
  <c r="AB94" i="5" s="1"/>
  <c r="K75" i="5"/>
  <c r="K417" i="5"/>
  <c r="K388" i="5"/>
  <c r="K358" i="5"/>
  <c r="K402" i="5"/>
  <c r="K373" i="5"/>
  <c r="K329" i="5"/>
  <c r="K283" i="5"/>
  <c r="K298" i="5"/>
  <c r="K343" i="5"/>
  <c r="K314" i="5"/>
  <c r="K224" i="5"/>
  <c r="K239" i="5"/>
  <c r="K269" i="5"/>
  <c r="K210" i="5"/>
  <c r="K254" i="5"/>
  <c r="K179" i="5"/>
  <c r="K195" i="5"/>
  <c r="K164" i="5"/>
  <c r="K135" i="5"/>
  <c r="K119" i="5"/>
  <c r="K104" i="5"/>
  <c r="K150" i="5"/>
  <c r="K90" i="5"/>
  <c r="L75" i="5"/>
  <c r="R76" i="5" s="1"/>
  <c r="S77" i="5" s="1"/>
  <c r="S78" i="5" s="1"/>
  <c r="S79" i="5" s="1"/>
  <c r="L417" i="5"/>
  <c r="L388" i="5"/>
  <c r="L358" i="5"/>
  <c r="L402" i="5"/>
  <c r="L314" i="5"/>
  <c r="L298" i="5"/>
  <c r="L329" i="5"/>
  <c r="L283" i="5"/>
  <c r="L373" i="5"/>
  <c r="L343" i="5"/>
  <c r="L254" i="5"/>
  <c r="L224" i="5"/>
  <c r="L269" i="5"/>
  <c r="L210" i="5"/>
  <c r="L239" i="5"/>
  <c r="L195" i="5"/>
  <c r="L179" i="5"/>
  <c r="L164" i="5"/>
  <c r="L135" i="5"/>
  <c r="L119" i="5"/>
  <c r="L104" i="5"/>
  <c r="L150" i="5"/>
  <c r="L90" i="5"/>
  <c r="S91" i="5" s="1"/>
  <c r="T92" i="5" s="1"/>
  <c r="T93" i="5" s="1"/>
  <c r="T94" i="5" s="1"/>
  <c r="AC75" i="5"/>
  <c r="AC402" i="5"/>
  <c r="AC417" i="5"/>
  <c r="AC283" i="5"/>
  <c r="AC314" i="5"/>
  <c r="AC298" i="5"/>
  <c r="AC358" i="5"/>
  <c r="AC329" i="5"/>
  <c r="AC373" i="5"/>
  <c r="AC343" i="5"/>
  <c r="AC388" i="5"/>
  <c r="AC254" i="5"/>
  <c r="AC224" i="5"/>
  <c r="AC239" i="5"/>
  <c r="AC269" i="5"/>
  <c r="AC210" i="5"/>
  <c r="AC195" i="5"/>
  <c r="AC179" i="5"/>
  <c r="AC150" i="5"/>
  <c r="AC164" i="5"/>
  <c r="AC104" i="5"/>
  <c r="AC135" i="5"/>
  <c r="AC119" i="5"/>
  <c r="AC90" i="5"/>
  <c r="BD75" i="5"/>
  <c r="BD402" i="5"/>
  <c r="BD373" i="5"/>
  <c r="BD388" i="5"/>
  <c r="BD343" i="5"/>
  <c r="BD283" i="5"/>
  <c r="BD417" i="5"/>
  <c r="BD314" i="5"/>
  <c r="BD298" i="5"/>
  <c r="BD358" i="5"/>
  <c r="BD329" i="5"/>
  <c r="BD239" i="5"/>
  <c r="BD269" i="5"/>
  <c r="BD224" i="5"/>
  <c r="BD179" i="5"/>
  <c r="BD195" i="5"/>
  <c r="BD254" i="5"/>
  <c r="BD210" i="5"/>
  <c r="BD135" i="5"/>
  <c r="BD119" i="5"/>
  <c r="BD104" i="5"/>
  <c r="BD150" i="5"/>
  <c r="BD164" i="5"/>
  <c r="BD90" i="5"/>
  <c r="BB75" i="5"/>
  <c r="BH76" i="5" s="1"/>
  <c r="BI77" i="5" s="1"/>
  <c r="BI78" i="5" s="1"/>
  <c r="BI79" i="5" s="1"/>
  <c r="BB402" i="5"/>
  <c r="BB373" i="5"/>
  <c r="BB417" i="5"/>
  <c r="BB388" i="5"/>
  <c r="BB343" i="5"/>
  <c r="BB283" i="5"/>
  <c r="BB358" i="5"/>
  <c r="BB314" i="5"/>
  <c r="BB298" i="5"/>
  <c r="BB329" i="5"/>
  <c r="BB254" i="5"/>
  <c r="BB224" i="5"/>
  <c r="BB239" i="5"/>
  <c r="BB195" i="5"/>
  <c r="BB269" i="5"/>
  <c r="BB210" i="5"/>
  <c r="BB179" i="5"/>
  <c r="BB150" i="5"/>
  <c r="BB164" i="5"/>
  <c r="BB119" i="5"/>
  <c r="BB135" i="5"/>
  <c r="BB104" i="5"/>
  <c r="BB90" i="5"/>
  <c r="AG75" i="5"/>
  <c r="AM76" i="5" s="1"/>
  <c r="AN77" i="5" s="1"/>
  <c r="AN78" i="5" s="1"/>
  <c r="AN79" i="5" s="1"/>
  <c r="AG388" i="5"/>
  <c r="AG402" i="5"/>
  <c r="AG417" i="5"/>
  <c r="AG343" i="5"/>
  <c r="AG358" i="5"/>
  <c r="AG283" i="5"/>
  <c r="AG373" i="5"/>
  <c r="AG314" i="5"/>
  <c r="AG298" i="5"/>
  <c r="AG329" i="5"/>
  <c r="AG239" i="5"/>
  <c r="AG269" i="5"/>
  <c r="AG254" i="5"/>
  <c r="AG224" i="5"/>
  <c r="AG179" i="5"/>
  <c r="AG195" i="5"/>
  <c r="AG210" i="5"/>
  <c r="AG135" i="5"/>
  <c r="AG119" i="5"/>
  <c r="AG104" i="5"/>
  <c r="AG150" i="5"/>
  <c r="AG164" i="5"/>
  <c r="AG90" i="5"/>
  <c r="AN91" i="5" s="1"/>
  <c r="AO92" i="5" s="1"/>
  <c r="AO93" i="5" s="1"/>
  <c r="AO94" i="5" s="1"/>
  <c r="I57" i="15"/>
  <c r="I17" i="15"/>
  <c r="I4" i="15"/>
  <c r="I19" i="15"/>
  <c r="I54" i="15"/>
  <c r="I51" i="15"/>
  <c r="I11" i="15"/>
  <c r="I23" i="15"/>
  <c r="I28" i="15"/>
  <c r="AH45" i="5"/>
  <c r="AH31" i="5"/>
  <c r="AH60" i="5"/>
  <c r="AH16" i="5"/>
  <c r="F60" i="5"/>
  <c r="F16" i="5"/>
  <c r="F31" i="5"/>
  <c r="F45" i="5"/>
  <c r="AI16" i="5"/>
  <c r="AI45" i="5"/>
  <c r="AI31" i="5"/>
  <c r="AI60" i="5"/>
  <c r="BH16" i="5"/>
  <c r="BH45" i="5"/>
  <c r="BH31" i="5"/>
  <c r="BH60" i="5"/>
  <c r="BA60" i="5"/>
  <c r="BA16" i="5"/>
  <c r="BA45" i="5"/>
  <c r="BA31" i="5"/>
  <c r="N60" i="5"/>
  <c r="N16" i="5"/>
  <c r="N31" i="5"/>
  <c r="N45" i="5"/>
  <c r="AE60" i="5"/>
  <c r="AE45" i="5"/>
  <c r="AE31" i="5"/>
  <c r="AE16" i="5"/>
  <c r="I34" i="15"/>
  <c r="I9" i="15"/>
  <c r="I6" i="15"/>
  <c r="I42" i="15"/>
  <c r="I38" i="15"/>
  <c r="I48" i="15"/>
  <c r="I15" i="15"/>
  <c r="I20" i="15"/>
  <c r="Z45" i="5"/>
  <c r="Z31" i="5"/>
  <c r="Z60" i="5"/>
  <c r="Z16" i="5"/>
  <c r="AA16" i="5"/>
  <c r="AA45" i="5"/>
  <c r="AA31" i="5"/>
  <c r="AA60" i="5"/>
  <c r="BE31" i="5"/>
  <c r="BE16" i="5"/>
  <c r="BE45" i="5"/>
  <c r="BE60" i="5"/>
  <c r="I56" i="15"/>
  <c r="E4" i="15"/>
  <c r="AP45" i="5"/>
  <c r="AP31" i="5"/>
  <c r="AP60" i="5"/>
  <c r="AP16" i="5"/>
  <c r="AF60" i="5"/>
  <c r="AF16" i="5"/>
  <c r="AF45" i="5"/>
  <c r="AF31" i="5"/>
  <c r="AQ16" i="5"/>
  <c r="AQ45" i="5"/>
  <c r="AQ31" i="5"/>
  <c r="AQ60" i="5"/>
  <c r="P60" i="5"/>
  <c r="P16" i="5"/>
  <c r="P45" i="5"/>
  <c r="P31" i="5"/>
  <c r="BI60" i="5"/>
  <c r="BI16" i="5"/>
  <c r="BI45" i="5"/>
  <c r="BI31" i="5"/>
  <c r="V60" i="5"/>
  <c r="V16" i="5"/>
  <c r="V31" i="5"/>
  <c r="V45" i="5"/>
  <c r="AU60" i="5"/>
  <c r="AU45" i="5"/>
  <c r="AU31" i="5"/>
  <c r="AU16" i="5"/>
  <c r="I59" i="15"/>
  <c r="I21" i="15"/>
  <c r="I29" i="15"/>
  <c r="I26" i="15"/>
  <c r="I40" i="15"/>
  <c r="I7" i="15"/>
  <c r="I12" i="15"/>
  <c r="W60" i="5"/>
  <c r="W45" i="5"/>
  <c r="W31" i="5"/>
  <c r="W16" i="5"/>
  <c r="I13" i="15"/>
  <c r="BF45" i="5"/>
  <c r="BF31" i="5"/>
  <c r="BF60" i="5"/>
  <c r="BF16" i="5"/>
  <c r="AV60" i="5"/>
  <c r="AV16" i="5"/>
  <c r="AV45" i="5"/>
  <c r="AV31" i="5"/>
  <c r="BG16" i="5"/>
  <c r="BG45" i="5"/>
  <c r="BG31" i="5"/>
  <c r="BG60" i="5"/>
  <c r="M60" i="5"/>
  <c r="M16" i="5"/>
  <c r="M45" i="5"/>
  <c r="M31" i="5"/>
  <c r="AM60" i="5"/>
  <c r="AM45" i="5"/>
  <c r="AM31" i="5"/>
  <c r="AM16" i="5"/>
  <c r="AL60" i="5"/>
  <c r="AL16" i="5"/>
  <c r="AL31" i="5"/>
  <c r="AL45" i="5"/>
  <c r="X60" i="5"/>
  <c r="X16" i="5"/>
  <c r="X45" i="5"/>
  <c r="X31" i="5"/>
  <c r="C16" i="5"/>
  <c r="C45" i="5"/>
  <c r="C31" i="5"/>
  <c r="C2" i="5"/>
  <c r="C60" i="5"/>
  <c r="I46" i="15"/>
  <c r="I10" i="15"/>
  <c r="I43" i="15"/>
  <c r="I41" i="15"/>
  <c r="I62" i="15"/>
  <c r="I24" i="15"/>
  <c r="I55" i="15"/>
  <c r="I60" i="15"/>
  <c r="AZ16" i="5"/>
  <c r="AZ45" i="5"/>
  <c r="AZ31" i="5"/>
  <c r="AZ60" i="5"/>
  <c r="AN60" i="5"/>
  <c r="AN16" i="5"/>
  <c r="AN45" i="5"/>
  <c r="AN31" i="5"/>
  <c r="D16" i="5"/>
  <c r="D45" i="5"/>
  <c r="D31" i="5"/>
  <c r="D60" i="5"/>
  <c r="Y31" i="5"/>
  <c r="Y16" i="5"/>
  <c r="Y45" i="5"/>
  <c r="Y60" i="5"/>
  <c r="E60" i="5"/>
  <c r="E16" i="5"/>
  <c r="E45" i="5"/>
  <c r="E31" i="5"/>
  <c r="U60" i="5"/>
  <c r="U16" i="5"/>
  <c r="U45" i="5"/>
  <c r="U31" i="5"/>
  <c r="BC60" i="5"/>
  <c r="BC45" i="5"/>
  <c r="BC31" i="5"/>
  <c r="BC16" i="5"/>
  <c r="AT60" i="5"/>
  <c r="AT16" i="5"/>
  <c r="AT31" i="5"/>
  <c r="AT45" i="5"/>
  <c r="I31" i="5"/>
  <c r="I16" i="5"/>
  <c r="I45" i="5"/>
  <c r="I60" i="5"/>
  <c r="I22" i="15"/>
  <c r="I61" i="15"/>
  <c r="I58" i="15"/>
  <c r="I30" i="15"/>
  <c r="I27" i="15"/>
  <c r="I50" i="15"/>
  <c r="I16" i="15"/>
  <c r="I47" i="15"/>
  <c r="I52" i="15"/>
  <c r="AR16" i="5"/>
  <c r="AR45" i="5"/>
  <c r="AR31" i="5"/>
  <c r="AR60" i="5"/>
  <c r="O60" i="5"/>
  <c r="O45" i="5"/>
  <c r="O31" i="5"/>
  <c r="O16" i="5"/>
  <c r="P17" i="5" s="1"/>
  <c r="Q18" i="5" s="1"/>
  <c r="AX45" i="5"/>
  <c r="AX31" i="5"/>
  <c r="AX60" i="5"/>
  <c r="AX16" i="5"/>
  <c r="AO31" i="5"/>
  <c r="AO16" i="5"/>
  <c r="AP17" i="5" s="1"/>
  <c r="AQ18" i="5" s="1"/>
  <c r="AO45" i="5"/>
  <c r="AO60" i="5"/>
  <c r="H60" i="5"/>
  <c r="H16" i="5"/>
  <c r="H45" i="5"/>
  <c r="H31" i="5"/>
  <c r="I32" i="15"/>
  <c r="J45" i="5"/>
  <c r="J31" i="5"/>
  <c r="J60" i="5"/>
  <c r="J16" i="5"/>
  <c r="T16" i="5"/>
  <c r="T45" i="5"/>
  <c r="T31" i="5"/>
  <c r="T60" i="5"/>
  <c r="K16" i="5"/>
  <c r="K45" i="5"/>
  <c r="K31" i="5"/>
  <c r="K60" i="5"/>
  <c r="L16" i="5"/>
  <c r="L45" i="5"/>
  <c r="L31" i="5"/>
  <c r="L60" i="5"/>
  <c r="AC60" i="5"/>
  <c r="AC16" i="5"/>
  <c r="AC45" i="5"/>
  <c r="AC31" i="5"/>
  <c r="BD60" i="5"/>
  <c r="BD16" i="5"/>
  <c r="BD45" i="5"/>
  <c r="BD31" i="5"/>
  <c r="BB60" i="5"/>
  <c r="BB16" i="5"/>
  <c r="BB31" i="5"/>
  <c r="BB45" i="5"/>
  <c r="AG31" i="5"/>
  <c r="AG16" i="5"/>
  <c r="AG60" i="5"/>
  <c r="AG45" i="5"/>
  <c r="I35" i="15"/>
  <c r="I49" i="15"/>
  <c r="I45" i="15"/>
  <c r="I18" i="15"/>
  <c r="I14" i="15"/>
  <c r="I37" i="15"/>
  <c r="I8" i="15"/>
  <c r="I39" i="15"/>
  <c r="I44" i="15"/>
  <c r="AS60" i="5"/>
  <c r="AS16" i="5"/>
  <c r="AS45" i="5"/>
  <c r="AS31" i="5"/>
  <c r="AY16" i="5"/>
  <c r="AY45" i="5"/>
  <c r="AY31" i="5"/>
  <c r="AY60" i="5"/>
  <c r="AD60" i="5"/>
  <c r="AD16" i="5"/>
  <c r="AD31" i="5"/>
  <c r="AD45" i="5"/>
  <c r="I53" i="15"/>
  <c r="R45" i="5"/>
  <c r="R31" i="5"/>
  <c r="R60" i="5"/>
  <c r="R16" i="5"/>
  <c r="AB16" i="5"/>
  <c r="AB45" i="5"/>
  <c r="AB31" i="5"/>
  <c r="AB60" i="5"/>
  <c r="S16" i="5"/>
  <c r="S45" i="5"/>
  <c r="S31" i="5"/>
  <c r="S60" i="5"/>
  <c r="AJ16" i="5"/>
  <c r="AJ45" i="5"/>
  <c r="AJ31" i="5"/>
  <c r="AJ60" i="5"/>
  <c r="AK60" i="5"/>
  <c r="AK16" i="5"/>
  <c r="AK45" i="5"/>
  <c r="AK31" i="5"/>
  <c r="Q31" i="5"/>
  <c r="Q16" i="5"/>
  <c r="Q45" i="5"/>
  <c r="Q60" i="5"/>
  <c r="G60" i="5"/>
  <c r="G45" i="5"/>
  <c r="G31" i="5"/>
  <c r="G16" i="5"/>
  <c r="AW31" i="5"/>
  <c r="AW16" i="5"/>
  <c r="AW60" i="5"/>
  <c r="AW45" i="5"/>
  <c r="I33" i="15"/>
  <c r="I5" i="15"/>
  <c r="I25" i="15"/>
  <c r="I31" i="15"/>
  <c r="I36" i="15"/>
  <c r="A66" i="1"/>
  <c r="B3" i="25"/>
  <c r="B6" i="24"/>
  <c r="C5" i="24" s="1"/>
  <c r="C6" i="24" s="1"/>
  <c r="B8" i="11"/>
  <c r="D7" i="11" s="1"/>
  <c r="C7" i="11" s="1"/>
  <c r="C8" i="11" s="1"/>
  <c r="B3" i="19"/>
  <c r="D61" i="19" s="1"/>
  <c r="B3" i="15"/>
  <c r="I3" i="15" s="1"/>
  <c r="B58" i="22"/>
  <c r="B8" i="16"/>
  <c r="D7" i="16" s="1"/>
  <c r="C7" i="16" s="1"/>
  <c r="C8" i="16" s="1"/>
  <c r="D8" i="16" s="1"/>
  <c r="C9" i="16" s="1"/>
  <c r="D9" i="16" s="1"/>
  <c r="C10" i="16" s="1"/>
  <c r="B54" i="21"/>
  <c r="B45" i="20"/>
  <c r="B3" i="13"/>
  <c r="AK2" i="5"/>
  <c r="AK2" i="4"/>
  <c r="D2" i="5"/>
  <c r="D2" i="4"/>
  <c r="Y2" i="4"/>
  <c r="Y2" i="5"/>
  <c r="E2" i="5"/>
  <c r="E2" i="4"/>
  <c r="U2" i="5"/>
  <c r="U2" i="4"/>
  <c r="BC2" i="5"/>
  <c r="BC2" i="4"/>
  <c r="AT2" i="5"/>
  <c r="AT2" i="4"/>
  <c r="I2" i="4"/>
  <c r="I2" i="5"/>
  <c r="BF2" i="4"/>
  <c r="BF2" i="5"/>
  <c r="AV2" i="4"/>
  <c r="AV2" i="5"/>
  <c r="BG2" i="5"/>
  <c r="BG2" i="4"/>
  <c r="M2" i="5"/>
  <c r="M2" i="4"/>
  <c r="AM2" i="5"/>
  <c r="AM2" i="4"/>
  <c r="AL2" i="5"/>
  <c r="AL2" i="4"/>
  <c r="X2" i="4"/>
  <c r="X2" i="5"/>
  <c r="J2" i="4"/>
  <c r="J2" i="5"/>
  <c r="T2" i="5"/>
  <c r="T2" i="4"/>
  <c r="K2" i="5"/>
  <c r="K2" i="4"/>
  <c r="L2" i="5"/>
  <c r="L2" i="4"/>
  <c r="AC2" i="5"/>
  <c r="AC2" i="4"/>
  <c r="BD2" i="4"/>
  <c r="BD2" i="5"/>
  <c r="BB2" i="5"/>
  <c r="BB2" i="4"/>
  <c r="AG2" i="4"/>
  <c r="AG2" i="5"/>
  <c r="AJ2" i="5"/>
  <c r="AJ2" i="4"/>
  <c r="AW2" i="4"/>
  <c r="AW2" i="5"/>
  <c r="AR2" i="5"/>
  <c r="AR2" i="4"/>
  <c r="O2" i="5"/>
  <c r="O2" i="4"/>
  <c r="AH2" i="4"/>
  <c r="AH2" i="5"/>
  <c r="F2" i="5"/>
  <c r="F2" i="4"/>
  <c r="AI2" i="5"/>
  <c r="AI2" i="4"/>
  <c r="BH2" i="5"/>
  <c r="BH2" i="4"/>
  <c r="BA2" i="5"/>
  <c r="BA2" i="4"/>
  <c r="N2" i="5"/>
  <c r="N2" i="4"/>
  <c r="AE2" i="5"/>
  <c r="AE2" i="4"/>
  <c r="C2" i="4"/>
  <c r="AB2" i="5"/>
  <c r="AB2" i="4"/>
  <c r="Q2" i="4"/>
  <c r="Q2" i="5"/>
  <c r="AA2" i="5"/>
  <c r="AA2" i="4"/>
  <c r="AS2" i="5"/>
  <c r="AS2" i="4"/>
  <c r="AP2" i="4"/>
  <c r="AP2" i="5"/>
  <c r="AF2" i="4"/>
  <c r="AF2" i="5"/>
  <c r="AQ2" i="5"/>
  <c r="AQ2" i="4"/>
  <c r="P2" i="4"/>
  <c r="P2" i="5"/>
  <c r="BI2" i="5"/>
  <c r="BI2" i="4"/>
  <c r="V2" i="5"/>
  <c r="V2" i="4"/>
  <c r="AU2" i="5"/>
  <c r="AU2" i="4"/>
  <c r="R2" i="4"/>
  <c r="R2" i="5"/>
  <c r="S2" i="5"/>
  <c r="S2" i="4"/>
  <c r="G2" i="5"/>
  <c r="G2" i="4"/>
  <c r="Z2" i="4"/>
  <c r="Z2" i="5"/>
  <c r="AZ2" i="5"/>
  <c r="AZ2" i="4"/>
  <c r="BE2" i="4"/>
  <c r="BE2" i="5"/>
  <c r="AX2" i="4"/>
  <c r="AX2" i="5"/>
  <c r="AN2" i="4"/>
  <c r="AN2" i="5"/>
  <c r="AY2" i="5"/>
  <c r="AY2" i="4"/>
  <c r="AO2" i="4"/>
  <c r="AO2" i="5"/>
  <c r="W2" i="5"/>
  <c r="W2" i="4"/>
  <c r="AD2" i="5"/>
  <c r="AD2" i="4"/>
  <c r="H2" i="4"/>
  <c r="H2" i="5"/>
  <c r="C10" i="23" a="1"/>
  <c r="L6" i="20" s="1"/>
  <c r="C9" i="23" a="1"/>
  <c r="C8" i="23" a="1"/>
  <c r="C7" i="23" a="1"/>
  <c r="F13" i="15"/>
  <c r="E59" i="15"/>
  <c r="E51" i="15"/>
  <c r="E43" i="15"/>
  <c r="E35" i="15"/>
  <c r="E27" i="15"/>
  <c r="E11" i="15"/>
  <c r="E58" i="15"/>
  <c r="E50" i="15"/>
  <c r="E42" i="15"/>
  <c r="E34" i="15"/>
  <c r="E26" i="15"/>
  <c r="E18" i="15"/>
  <c r="E10" i="15"/>
  <c r="E19" i="15"/>
  <c r="F4" i="15"/>
  <c r="F20" i="15"/>
  <c r="E57" i="15"/>
  <c r="E49" i="15"/>
  <c r="E41" i="15"/>
  <c r="E33" i="15"/>
  <c r="E25" i="15"/>
  <c r="E17" i="15"/>
  <c r="E9" i="15"/>
  <c r="E8" i="15"/>
  <c r="E3" i="15"/>
  <c r="E55" i="15"/>
  <c r="E47" i="15"/>
  <c r="E39" i="15"/>
  <c r="E31" i="15"/>
  <c r="E23" i="15"/>
  <c r="E15" i="15"/>
  <c r="E7" i="15"/>
  <c r="E16" i="15"/>
  <c r="F29" i="15"/>
  <c r="E62" i="15"/>
  <c r="E54" i="15"/>
  <c r="E46" i="15"/>
  <c r="E38" i="15"/>
  <c r="E30" i="15"/>
  <c r="E22" i="15"/>
  <c r="E14" i="15"/>
  <c r="E6" i="15"/>
  <c r="E56" i="15"/>
  <c r="E48" i="15"/>
  <c r="E40" i="15"/>
  <c r="E24" i="15"/>
  <c r="F5" i="15"/>
  <c r="F61" i="15"/>
  <c r="E61" i="15"/>
  <c r="E53" i="15"/>
  <c r="E45" i="15"/>
  <c r="E37" i="15"/>
  <c r="E29" i="15"/>
  <c r="E21" i="15"/>
  <c r="E13" i="15"/>
  <c r="E5" i="15"/>
  <c r="E32" i="15"/>
  <c r="E60" i="15"/>
  <c r="E52" i="15"/>
  <c r="E44" i="15"/>
  <c r="E36" i="15"/>
  <c r="E28" i="15"/>
  <c r="E20" i="15"/>
  <c r="E12" i="15"/>
  <c r="F45" i="15"/>
  <c r="F21" i="15"/>
  <c r="F37" i="15"/>
  <c r="F58" i="15"/>
  <c r="F62" i="15"/>
  <c r="F53" i="15"/>
  <c r="F36" i="15"/>
  <c r="F60" i="15"/>
  <c r="F3" i="15"/>
  <c r="F11" i="15"/>
  <c r="F19" i="15"/>
  <c r="F27" i="15"/>
  <c r="F35" i="15"/>
  <c r="F43" i="15"/>
  <c r="F51" i="15"/>
  <c r="F59" i="15"/>
  <c r="F10" i="15"/>
  <c r="F18" i="15"/>
  <c r="F26" i="15"/>
  <c r="F34" i="15"/>
  <c r="F42" i="15"/>
  <c r="F50" i="15"/>
  <c r="F28" i="15"/>
  <c r="F9" i="15"/>
  <c r="F17" i="15"/>
  <c r="F25" i="15"/>
  <c r="F33" i="15"/>
  <c r="F41" i="15"/>
  <c r="F49" i="15"/>
  <c r="F57" i="15"/>
  <c r="F12" i="15"/>
  <c r="F8" i="15"/>
  <c r="F16" i="15"/>
  <c r="F24" i="15"/>
  <c r="F32" i="15"/>
  <c r="F40" i="15"/>
  <c r="F48" i="15"/>
  <c r="F56" i="15"/>
  <c r="F44" i="15"/>
  <c r="F52" i="15"/>
  <c r="F7" i="15"/>
  <c r="F15" i="15"/>
  <c r="F23" i="15"/>
  <c r="F31" i="15"/>
  <c r="F39" i="15"/>
  <c r="F47" i="15"/>
  <c r="F55" i="15"/>
  <c r="F6" i="15"/>
  <c r="F14" i="15"/>
  <c r="F22" i="15"/>
  <c r="F30" i="15"/>
  <c r="F38" i="15"/>
  <c r="F46" i="15"/>
  <c r="F54" i="15"/>
  <c r="AS165" i="5" l="1"/>
  <c r="AT166" i="5" s="1"/>
  <c r="BG374" i="5"/>
  <c r="BH375" i="5" s="1"/>
  <c r="BH376" i="5" s="1"/>
  <c r="BH377" i="5" s="1"/>
  <c r="AC255" i="5"/>
  <c r="AD256" i="5" s="1"/>
  <c r="AD257" i="5" s="1"/>
  <c r="AD258" i="5" s="1"/>
  <c r="AQ120" i="5"/>
  <c r="AR121" i="5" s="1"/>
  <c r="AR122" i="5" s="1"/>
  <c r="AR123" i="5" s="1"/>
  <c r="AT167" i="5"/>
  <c r="AT168" i="5" s="1"/>
  <c r="W151" i="5"/>
  <c r="X152" i="5" s="1"/>
  <c r="X153" i="5" s="1"/>
  <c r="X154" i="5" s="1"/>
  <c r="AB91" i="5"/>
  <c r="AC92" i="5" s="1"/>
  <c r="AC93" i="5" s="1"/>
  <c r="AC94" i="5" s="1"/>
  <c r="AP120" i="5"/>
  <c r="AQ121" i="5" s="1"/>
  <c r="AQ122" i="5" s="1"/>
  <c r="AQ123" i="5" s="1"/>
  <c r="V136" i="5"/>
  <c r="W137" i="5" s="1"/>
  <c r="W138" i="5" s="1"/>
  <c r="W139" i="5" s="1"/>
  <c r="AT180" i="5"/>
  <c r="AU181" i="5" s="1"/>
  <c r="AU182" i="5" s="1"/>
  <c r="AU183" i="5" s="1"/>
  <c r="AR211" i="5"/>
  <c r="AS212" i="5" s="1"/>
  <c r="AS213" i="5" s="1"/>
  <c r="AS214" i="5" s="1"/>
  <c r="AZ330" i="5"/>
  <c r="BA331" i="5" s="1"/>
  <c r="BA332" i="5" s="1"/>
  <c r="BA333" i="5" s="1"/>
  <c r="AC240" i="5"/>
  <c r="AD241" i="5" s="1"/>
  <c r="AD242" i="5" s="1"/>
  <c r="AD243" i="5" s="1"/>
  <c r="AE284" i="5"/>
  <c r="AF285" i="5" s="1"/>
  <c r="AF286" i="5" s="1"/>
  <c r="AF287" i="5" s="1"/>
  <c r="Z225" i="5"/>
  <c r="AA226" i="5" s="1"/>
  <c r="AA227" i="5" s="1"/>
  <c r="AA228" i="5" s="1"/>
  <c r="AH344" i="5"/>
  <c r="AI345" i="5" s="1"/>
  <c r="AI346" i="5" s="1"/>
  <c r="AI347" i="5" s="1"/>
  <c r="BH211" i="5"/>
  <c r="BI212" i="5" s="1"/>
  <c r="BI213" i="5" s="1"/>
  <c r="BI214" i="5" s="1"/>
  <c r="V180" i="5"/>
  <c r="W181" i="5" s="1"/>
  <c r="W182" i="5" s="1"/>
  <c r="W183" i="5" s="1"/>
  <c r="AJ389" i="5"/>
  <c r="AK390" i="5" s="1"/>
  <c r="AK391" i="5" s="1"/>
  <c r="AK392" i="5" s="1"/>
  <c r="AD374" i="5"/>
  <c r="AE375" i="5" s="1"/>
  <c r="AE376" i="5" s="1"/>
  <c r="AE377" i="5" s="1"/>
  <c r="BA315" i="5"/>
  <c r="BB316" i="5" s="1"/>
  <c r="BB317" i="5" s="1"/>
  <c r="BB318" i="5" s="1"/>
  <c r="AU180" i="5"/>
  <c r="AV181" i="5" s="1"/>
  <c r="AV182" i="5" s="1"/>
  <c r="AV183" i="5" s="1"/>
  <c r="BF344" i="5"/>
  <c r="BG345" i="5" s="1"/>
  <c r="BG346" i="5" s="1"/>
  <c r="BG347" i="5" s="1"/>
  <c r="AZ196" i="5"/>
  <c r="BA197" i="5" s="1"/>
  <c r="BA198" i="5" s="1"/>
  <c r="BA199" i="5" s="1"/>
  <c r="BH299" i="5"/>
  <c r="BI300" i="5" s="1"/>
  <c r="BI301" i="5" s="1"/>
  <c r="BI302" i="5" s="1"/>
  <c r="AN240" i="5"/>
  <c r="AO241" i="5" s="1"/>
  <c r="AO242" i="5" s="1"/>
  <c r="AO243" i="5" s="1"/>
  <c r="BB180" i="5"/>
  <c r="BC181" i="5" s="1"/>
  <c r="BC182" i="5" s="1"/>
  <c r="BC183" i="5" s="1"/>
  <c r="BF225" i="5"/>
  <c r="BG226" i="5" s="1"/>
  <c r="BG227" i="5" s="1"/>
  <c r="BG228" i="5" s="1"/>
  <c r="AP359" i="5"/>
  <c r="AQ360" i="5" s="1"/>
  <c r="AQ361" i="5" s="1"/>
  <c r="AQ362" i="5" s="1"/>
  <c r="AK255" i="5"/>
  <c r="AL256" i="5" s="1"/>
  <c r="AL257" i="5" s="1"/>
  <c r="AL258" i="5" s="1"/>
  <c r="AO105" i="5"/>
  <c r="AP106" i="5" s="1"/>
  <c r="AP107" i="5" s="1"/>
  <c r="AP108" i="5" s="1"/>
  <c r="U120" i="5"/>
  <c r="V121" i="5" s="1"/>
  <c r="V122" i="5" s="1"/>
  <c r="V123" i="5" s="1"/>
  <c r="AB225" i="5"/>
  <c r="AC226" i="5" s="1"/>
  <c r="AC227" i="5" s="1"/>
  <c r="AC228" i="5" s="1"/>
  <c r="AR151" i="5"/>
  <c r="AS152" i="5" s="1"/>
  <c r="AS153" i="5" s="1"/>
  <c r="AS154" i="5" s="1"/>
  <c r="T105" i="5"/>
  <c r="U106" i="5" s="1"/>
  <c r="U107" i="5" s="1"/>
  <c r="U108" i="5" s="1"/>
  <c r="AB105" i="5"/>
  <c r="AC106" i="5" s="1"/>
  <c r="AC107" i="5" s="1"/>
  <c r="AC108" i="5" s="1"/>
  <c r="AP105" i="5"/>
  <c r="AQ106" i="5" s="1"/>
  <c r="AQ107" i="5" s="1"/>
  <c r="AQ108" i="5" s="1"/>
  <c r="AQ136" i="5"/>
  <c r="AR137" i="5" s="1"/>
  <c r="AR138" i="5" s="1"/>
  <c r="AR139" i="5" s="1"/>
  <c r="X165" i="5"/>
  <c r="Y166" i="5" s="1"/>
  <c r="Y167" i="5" s="1"/>
  <c r="Y168" i="5" s="1"/>
  <c r="AR136" i="5"/>
  <c r="AS137" i="5" s="1"/>
  <c r="AS138" i="5" s="1"/>
  <c r="AS139" i="5" s="1"/>
  <c r="AI330" i="5"/>
  <c r="AJ331" i="5" s="1"/>
  <c r="AJ332" i="5" s="1"/>
  <c r="AJ333" i="5" s="1"/>
  <c r="Z284" i="5"/>
  <c r="AA285" i="5" s="1"/>
  <c r="AA286" i="5" s="1"/>
  <c r="AA287" i="5" s="1"/>
  <c r="AR330" i="5"/>
  <c r="AS331" i="5" s="1"/>
  <c r="AS332" i="5" s="1"/>
  <c r="AS333" i="5" s="1"/>
  <c r="R211" i="5"/>
  <c r="AS91" i="5"/>
  <c r="AT92" i="5" s="1"/>
  <c r="AT93" i="5" s="1"/>
  <c r="AT94" i="5" s="1"/>
  <c r="AB211" i="5"/>
  <c r="AC196" i="5"/>
  <c r="AD197" i="5" s="1"/>
  <c r="AD198" i="5" s="1"/>
  <c r="AD199" i="5" s="1"/>
  <c r="U180" i="5"/>
  <c r="V181" i="5" s="1"/>
  <c r="V182" i="5" s="1"/>
  <c r="V183" i="5" s="1"/>
  <c r="AX284" i="5"/>
  <c r="AY285" i="5" s="1"/>
  <c r="AY286" i="5" s="1"/>
  <c r="AY287" i="5" s="1"/>
  <c r="BB91" i="5"/>
  <c r="BC92" i="5" s="1"/>
  <c r="BC93" i="5" s="1"/>
  <c r="BC94" i="5" s="1"/>
  <c r="W91" i="5"/>
  <c r="X92" i="5" s="1"/>
  <c r="X93" i="5" s="1"/>
  <c r="X94" i="5" s="1"/>
  <c r="AT196" i="5"/>
  <c r="AU197" i="5" s="1"/>
  <c r="AU198" i="5" s="1"/>
  <c r="AU199" i="5" s="1"/>
  <c r="AC211" i="5"/>
  <c r="AD212" i="5" s="1"/>
  <c r="AD213" i="5" s="1"/>
  <c r="AD214" i="5" s="1"/>
  <c r="BD91" i="5"/>
  <c r="BE92" i="5" s="1"/>
  <c r="BE93" i="5" s="1"/>
  <c r="BE94" i="5" s="1"/>
  <c r="W225" i="5"/>
  <c r="X226" i="5" s="1"/>
  <c r="X227" i="5" s="1"/>
  <c r="X228" i="5" s="1"/>
  <c r="AD180" i="5"/>
  <c r="AE181" i="5" s="1"/>
  <c r="AE182" i="5" s="1"/>
  <c r="AE183" i="5" s="1"/>
  <c r="AZ211" i="5"/>
  <c r="Z91" i="5"/>
  <c r="AA92" i="5" s="1"/>
  <c r="AA93" i="5" s="1"/>
  <c r="AA94" i="5" s="1"/>
  <c r="AS240" i="5"/>
  <c r="AT241" i="5" s="1"/>
  <c r="AT242" i="5" s="1"/>
  <c r="AT243" i="5" s="1"/>
  <c r="BG91" i="5"/>
  <c r="BH92" i="5" s="1"/>
  <c r="BH93" i="5" s="1"/>
  <c r="BH94" i="5" s="1"/>
  <c r="AW225" i="5"/>
  <c r="AX226" i="5" s="1"/>
  <c r="AX227" i="5" s="1"/>
  <c r="AX228" i="5" s="1"/>
  <c r="BA284" i="5"/>
  <c r="BB285" i="5" s="1"/>
  <c r="BB286" i="5" s="1"/>
  <c r="BB287" i="5" s="1"/>
  <c r="AL120" i="5"/>
  <c r="AM121" i="5" s="1"/>
  <c r="AM122" i="5" s="1"/>
  <c r="AM123" i="5" s="1"/>
  <c r="AV270" i="5"/>
  <c r="AW271" i="5" s="1"/>
  <c r="AW272" i="5" s="1"/>
  <c r="AW273" i="5" s="1"/>
  <c r="BB359" i="5"/>
  <c r="BC360" i="5" s="1"/>
  <c r="BC361" i="5" s="1"/>
  <c r="BC362" i="5" s="1"/>
  <c r="AA211" i="5"/>
  <c r="AB212" i="5" s="1"/>
  <c r="AB213" i="5" s="1"/>
  <c r="AB214" i="5" s="1"/>
  <c r="AG299" i="5"/>
  <c r="AH300" i="5" s="1"/>
  <c r="AH301" i="5" s="1"/>
  <c r="AH302" i="5" s="1"/>
  <c r="V151" i="5"/>
  <c r="W152" i="5" s="1"/>
  <c r="W153" i="5" s="1"/>
  <c r="W154" i="5" s="1"/>
  <c r="Z211" i="5"/>
  <c r="AA212" i="5" s="1"/>
  <c r="AA213" i="5" s="1"/>
  <c r="AA214" i="5" s="1"/>
  <c r="AH330" i="5"/>
  <c r="AI331" i="5" s="1"/>
  <c r="AI332" i="5" s="1"/>
  <c r="AI333" i="5" s="1"/>
  <c r="AE151" i="5"/>
  <c r="AF152" i="5" s="1"/>
  <c r="AF153" i="5" s="1"/>
  <c r="AF154" i="5" s="1"/>
  <c r="AK240" i="5"/>
  <c r="AL241" i="5" s="1"/>
  <c r="AL242" i="5" s="1"/>
  <c r="AL243" i="5" s="1"/>
  <c r="AO299" i="5"/>
  <c r="AP300" i="5" s="1"/>
  <c r="AP301" i="5" s="1"/>
  <c r="AP302" i="5" s="1"/>
  <c r="U151" i="5"/>
  <c r="V152" i="5" s="1"/>
  <c r="V153" i="5" s="1"/>
  <c r="V154" i="5" s="1"/>
  <c r="W180" i="5"/>
  <c r="X181" i="5" s="1"/>
  <c r="X182" i="5" s="1"/>
  <c r="X183" i="5" s="1"/>
  <c r="AG330" i="5"/>
  <c r="AH331" i="5" s="1"/>
  <c r="AH332" i="5" s="1"/>
  <c r="AH333" i="5" s="1"/>
  <c r="N105" i="5"/>
  <c r="O106" i="5" s="1"/>
  <c r="O107" i="5" s="1"/>
  <c r="O108" i="5" s="1"/>
  <c r="T196" i="5"/>
  <c r="U197" i="5" s="1"/>
  <c r="U198" i="5" s="1"/>
  <c r="U199" i="5" s="1"/>
  <c r="AD344" i="5"/>
  <c r="AE345" i="5" s="1"/>
  <c r="AE346" i="5" s="1"/>
  <c r="AE347" i="5" s="1"/>
  <c r="BB120" i="5"/>
  <c r="BC121" i="5" s="1"/>
  <c r="BC122" i="5" s="1"/>
  <c r="BC123" i="5" s="1"/>
  <c r="U165" i="5"/>
  <c r="V166" i="5" s="1"/>
  <c r="V167" i="5" s="1"/>
  <c r="V168" i="5" s="1"/>
  <c r="Y225" i="5"/>
  <c r="Z226" i="5" s="1"/>
  <c r="Z227" i="5" s="1"/>
  <c r="Z228" i="5" s="1"/>
  <c r="AC284" i="5"/>
  <c r="AD285" i="5" s="1"/>
  <c r="AD286" i="5" s="1"/>
  <c r="AD287" i="5" s="1"/>
  <c r="BB105" i="5"/>
  <c r="BC106" i="5" s="1"/>
  <c r="BC107" i="5" s="1"/>
  <c r="BC108" i="5" s="1"/>
  <c r="BH196" i="5"/>
  <c r="BI197" i="5" s="1"/>
  <c r="BI198" i="5" s="1"/>
  <c r="BI199" i="5" s="1"/>
  <c r="AF151" i="5"/>
  <c r="AG152" i="5" s="1"/>
  <c r="AG153" i="5" s="1"/>
  <c r="AG154" i="5" s="1"/>
  <c r="AN270" i="5"/>
  <c r="AO271" i="5" s="1"/>
  <c r="AO272" i="5" s="1"/>
  <c r="AO273" i="5" s="1"/>
  <c r="AV389" i="5"/>
  <c r="AW390" i="5" s="1"/>
  <c r="AW391" i="5" s="1"/>
  <c r="AW392" i="5" s="1"/>
  <c r="N120" i="5"/>
  <c r="O121" i="5" s="1"/>
  <c r="O122" i="5" s="1"/>
  <c r="O123" i="5" s="1"/>
  <c r="X270" i="5"/>
  <c r="Y271" i="5" s="1"/>
  <c r="Y272" i="5" s="1"/>
  <c r="Y273" i="5" s="1"/>
  <c r="Z299" i="5"/>
  <c r="AA300" i="5" s="1"/>
  <c r="AA301" i="5" s="1"/>
  <c r="AA302" i="5" s="1"/>
  <c r="AK165" i="5"/>
  <c r="AL166" i="5" s="1"/>
  <c r="AL167" i="5" s="1"/>
  <c r="AL168" i="5" s="1"/>
  <c r="AO225" i="5"/>
  <c r="AP226" i="5" s="1"/>
  <c r="AP227" i="5" s="1"/>
  <c r="AP228" i="5" s="1"/>
  <c r="AS284" i="5"/>
  <c r="AT285" i="5" s="1"/>
  <c r="AT286" i="5" s="1"/>
  <c r="AT287" i="5" s="1"/>
  <c r="O151" i="5"/>
  <c r="P152" i="5" s="1"/>
  <c r="P153" i="5" s="1"/>
  <c r="P154" i="5" s="1"/>
  <c r="S211" i="5"/>
  <c r="T212" i="5" s="1"/>
  <c r="T213" i="5" s="1"/>
  <c r="T214" i="5" s="1"/>
  <c r="AA330" i="5"/>
  <c r="AB331" i="5" s="1"/>
  <c r="AB332" i="5" s="1"/>
  <c r="AB333" i="5" s="1"/>
  <c r="AQ165" i="5"/>
  <c r="AR166" i="5" s="1"/>
  <c r="AR167" i="5" s="1"/>
  <c r="AR168" i="5" s="1"/>
  <c r="AU225" i="5"/>
  <c r="AV226" i="5" s="1"/>
  <c r="AV227" i="5" s="1"/>
  <c r="AV228" i="5" s="1"/>
  <c r="BC344" i="5"/>
  <c r="BD345" i="5" s="1"/>
  <c r="BD346" i="5" s="1"/>
  <c r="BD347" i="5" s="1"/>
  <c r="AS151" i="5"/>
  <c r="AT152" i="5" s="1"/>
  <c r="AT153" i="5" s="1"/>
  <c r="AT154" i="5" s="1"/>
  <c r="AX225" i="5"/>
  <c r="AY226" i="5" s="1"/>
  <c r="AY227" i="5" s="1"/>
  <c r="AY228" i="5" s="1"/>
  <c r="BE330" i="5"/>
  <c r="BF331" i="5" s="1"/>
  <c r="BF332" i="5" s="1"/>
  <c r="BF333" i="5" s="1"/>
  <c r="K105" i="5"/>
  <c r="L106" i="5" s="1"/>
  <c r="L107" i="5" s="1"/>
  <c r="L108" i="5" s="1"/>
  <c r="U255" i="5"/>
  <c r="V256" i="5" s="1"/>
  <c r="V257" i="5" s="1"/>
  <c r="V258" i="5" s="1"/>
  <c r="Z330" i="5"/>
  <c r="AA331" i="5" s="1"/>
  <c r="AA332" i="5" s="1"/>
  <c r="AA333" i="5" s="1"/>
  <c r="AJ165" i="5"/>
  <c r="AK166" i="5" s="1"/>
  <c r="AK167" i="5" s="1"/>
  <c r="AK168" i="5" s="1"/>
  <c r="AK180" i="5"/>
  <c r="AL181" i="5" s="1"/>
  <c r="AL182" i="5" s="1"/>
  <c r="AL183" i="5" s="1"/>
  <c r="AY389" i="5"/>
  <c r="AZ390" i="5" s="1"/>
  <c r="AZ391" i="5" s="1"/>
  <c r="AZ392" i="5" s="1"/>
  <c r="AT105" i="5"/>
  <c r="AU106" i="5" s="1"/>
  <c r="AU107" i="5" s="1"/>
  <c r="AU108" i="5" s="1"/>
  <c r="BE270" i="5"/>
  <c r="BF271" i="5" s="1"/>
  <c r="BF272" i="5" s="1"/>
  <c r="BF273" i="5" s="1"/>
  <c r="AY165" i="5"/>
  <c r="AZ166" i="5" s="1"/>
  <c r="AZ167" i="5" s="1"/>
  <c r="AZ168" i="5" s="1"/>
  <c r="BA196" i="5"/>
  <c r="BB197" i="5" s="1"/>
  <c r="BB198" i="5" s="1"/>
  <c r="BB199" i="5" s="1"/>
  <c r="V120" i="5"/>
  <c r="W121" i="5" s="1"/>
  <c r="W122" i="5" s="1"/>
  <c r="W123" i="5" s="1"/>
  <c r="AF270" i="5"/>
  <c r="AG271" i="5" s="1"/>
  <c r="AG272" i="5" s="1"/>
  <c r="AG273" i="5" s="1"/>
  <c r="AP418" i="5"/>
  <c r="AQ419" i="5" s="1"/>
  <c r="AQ420" i="5" s="1"/>
  <c r="AQ421" i="5" s="1"/>
  <c r="BH165" i="5"/>
  <c r="BI166" i="5" s="1"/>
  <c r="BI167" i="5" s="1"/>
  <c r="BI168" i="5" s="1"/>
  <c r="BI180" i="5"/>
  <c r="B186" i="5"/>
  <c r="AT151" i="5"/>
  <c r="AU152" i="5" s="1"/>
  <c r="AU153" i="5" s="1"/>
  <c r="AU154" i="5" s="1"/>
  <c r="BA255" i="5"/>
  <c r="BB256" i="5" s="1"/>
  <c r="BB257" i="5" s="1"/>
  <c r="BB258" i="5" s="1"/>
  <c r="BF330" i="5"/>
  <c r="BG331" i="5" s="1"/>
  <c r="BG332" i="5" s="1"/>
  <c r="BG333" i="5" s="1"/>
  <c r="AA165" i="5"/>
  <c r="AB166" i="5" s="1"/>
  <c r="AB167" i="5" s="1"/>
  <c r="AB168" i="5" s="1"/>
  <c r="AB180" i="5"/>
  <c r="AC181" i="5" s="1"/>
  <c r="AC182" i="5" s="1"/>
  <c r="AC183" i="5" s="1"/>
  <c r="AM344" i="5"/>
  <c r="AN345" i="5" s="1"/>
  <c r="AN346" i="5" s="1"/>
  <c r="AN347" i="5" s="1"/>
  <c r="AK151" i="5"/>
  <c r="AL152" i="5" s="1"/>
  <c r="AL153" i="5" s="1"/>
  <c r="AL154" i="5" s="1"/>
  <c r="AP225" i="5"/>
  <c r="AQ226" i="5" s="1"/>
  <c r="AQ227" i="5" s="1"/>
  <c r="AQ228" i="5" s="1"/>
  <c r="AW330" i="5"/>
  <c r="AX331" i="5" s="1"/>
  <c r="AX332" i="5" s="1"/>
  <c r="AX333" i="5" s="1"/>
  <c r="T165" i="5"/>
  <c r="U166" i="5" s="1"/>
  <c r="U167" i="5" s="1"/>
  <c r="U168" i="5" s="1"/>
  <c r="Z255" i="5"/>
  <c r="AA256" i="5" s="1"/>
  <c r="AA257" i="5" s="1"/>
  <c r="AA258" i="5" s="1"/>
  <c r="AB284" i="5"/>
  <c r="AC285" i="5" s="1"/>
  <c r="AC286" i="5" s="1"/>
  <c r="AC287" i="5" s="1"/>
  <c r="AL105" i="5"/>
  <c r="AM106" i="5" s="1"/>
  <c r="AM107" i="5" s="1"/>
  <c r="AM108" i="5" s="1"/>
  <c r="AR196" i="5"/>
  <c r="AS197" i="5" s="1"/>
  <c r="AS198" i="5" s="1"/>
  <c r="AS199" i="5" s="1"/>
  <c r="BB344" i="5"/>
  <c r="BC345" i="5" s="1"/>
  <c r="BC346" i="5" s="1"/>
  <c r="BC347" i="5" s="1"/>
  <c r="AG136" i="5"/>
  <c r="AH137" i="5" s="1"/>
  <c r="AH138" i="5" s="1"/>
  <c r="AH139" i="5" s="1"/>
  <c r="AK196" i="5"/>
  <c r="AL197" i="5" s="1"/>
  <c r="AL198" i="5" s="1"/>
  <c r="AL199" i="5" s="1"/>
  <c r="AU344" i="5"/>
  <c r="AV345" i="5" s="1"/>
  <c r="AV346" i="5" s="1"/>
  <c r="AV347" i="5" s="1"/>
  <c r="BA165" i="5"/>
  <c r="BB166" i="5" s="1"/>
  <c r="BB167" i="5" s="1"/>
  <c r="BB168" i="5" s="1"/>
  <c r="BE225" i="5"/>
  <c r="BF226" i="5" s="1"/>
  <c r="BF227" i="5" s="1"/>
  <c r="BF228" i="5" s="1"/>
  <c r="BI284" i="5"/>
  <c r="B290" i="5" s="1"/>
  <c r="AZ165" i="5"/>
  <c r="BA166" i="5" s="1"/>
  <c r="BA167" i="5" s="1"/>
  <c r="BA168" i="5" s="1"/>
  <c r="BF255" i="5"/>
  <c r="BG256" i="5" s="1"/>
  <c r="BG257" i="5" s="1"/>
  <c r="BG258" i="5" s="1"/>
  <c r="BC151" i="5"/>
  <c r="BD152" i="5" s="1"/>
  <c r="BD153" i="5" s="1"/>
  <c r="BD154" i="5" s="1"/>
  <c r="BG211" i="5"/>
  <c r="BH212" i="5" s="1"/>
  <c r="BH213" i="5" s="1"/>
  <c r="BH214" i="5" s="1"/>
  <c r="BE136" i="5"/>
  <c r="BF137" i="5" s="1"/>
  <c r="BF138" i="5" s="1"/>
  <c r="BF139" i="5" s="1"/>
  <c r="BH180" i="5"/>
  <c r="BI181" i="5" s="1"/>
  <c r="BI182" i="5" s="1"/>
  <c r="BI183" i="5" s="1"/>
  <c r="AD105" i="5"/>
  <c r="AE106" i="5" s="1"/>
  <c r="AE107" i="5" s="1"/>
  <c r="AE108" i="5" s="1"/>
  <c r="AJ196" i="5"/>
  <c r="AK197" i="5" s="1"/>
  <c r="AK198" i="5" s="1"/>
  <c r="AK199" i="5" s="1"/>
  <c r="AT344" i="5"/>
  <c r="AU345" i="5" s="1"/>
  <c r="AU346" i="5" s="1"/>
  <c r="AU347" i="5" s="1"/>
  <c r="AB165" i="5"/>
  <c r="AC166" i="5" s="1"/>
  <c r="AC167" i="5" s="1"/>
  <c r="AC168" i="5" s="1"/>
  <c r="AC180" i="5"/>
  <c r="AD181" i="5" s="1"/>
  <c r="AD182" i="5" s="1"/>
  <c r="AD183" i="5" s="1"/>
  <c r="AS418" i="5"/>
  <c r="AT419" i="5" s="1"/>
  <c r="AT420" i="5" s="1"/>
  <c r="AT421" i="5" s="1"/>
  <c r="BB151" i="5"/>
  <c r="BC152" i="5" s="1"/>
  <c r="BC153" i="5" s="1"/>
  <c r="BC154" i="5" s="1"/>
  <c r="BF211" i="5"/>
  <c r="BG212" i="5" s="1"/>
  <c r="BG213" i="5" s="1"/>
  <c r="BG214" i="5" s="1"/>
  <c r="AR165" i="5"/>
  <c r="AS166" i="5" s="1"/>
  <c r="AS167" i="5" s="1"/>
  <c r="AS168" i="5" s="1"/>
  <c r="AS180" i="5"/>
  <c r="AT181" i="5" s="1"/>
  <c r="AT182" i="5" s="1"/>
  <c r="AT183" i="5" s="1"/>
  <c r="AZ284" i="5"/>
  <c r="BA285" i="5" s="1"/>
  <c r="BA286" i="5" s="1"/>
  <c r="BA287" i="5" s="1"/>
  <c r="BB165" i="5"/>
  <c r="BC166" i="5" s="1"/>
  <c r="BC167" i="5" s="1"/>
  <c r="BC168" i="5" s="1"/>
  <c r="BC180" i="5"/>
  <c r="BD181" i="5" s="1"/>
  <c r="BD182" i="5" s="1"/>
  <c r="BD183" i="5" s="1"/>
  <c r="V105" i="5"/>
  <c r="W106" i="5" s="1"/>
  <c r="W107" i="5" s="1"/>
  <c r="W108" i="5" s="1"/>
  <c r="AB196" i="5"/>
  <c r="AC197" i="5" s="1"/>
  <c r="AC198" i="5" s="1"/>
  <c r="AC199" i="5" s="1"/>
  <c r="AL344" i="5"/>
  <c r="AM345" i="5" s="1"/>
  <c r="AM346" i="5" s="1"/>
  <c r="AM347" i="5" s="1"/>
  <c r="AL151" i="5"/>
  <c r="AM152" i="5" s="1"/>
  <c r="AM153" i="5" s="1"/>
  <c r="AM154" i="5" s="1"/>
  <c r="AP211" i="5"/>
  <c r="AX330" i="5"/>
  <c r="AY331" i="5" s="1"/>
  <c r="AY332" i="5" s="1"/>
  <c r="AY333" i="5" s="1"/>
  <c r="BI165" i="5"/>
  <c r="B171" i="5"/>
  <c r="Q136" i="5"/>
  <c r="R137" i="5" s="1"/>
  <c r="R138" i="5" s="1"/>
  <c r="R139" i="5" s="1"/>
  <c r="U196" i="5"/>
  <c r="V197" i="5" s="1"/>
  <c r="V198" i="5" s="1"/>
  <c r="V199" i="5" s="1"/>
  <c r="AE344" i="5"/>
  <c r="AF345" i="5" s="1"/>
  <c r="AF346" i="5" s="1"/>
  <c r="AF347" i="5" s="1"/>
  <c r="AC165" i="5"/>
  <c r="AD166" i="5" s="1"/>
  <c r="AD167" i="5" s="1"/>
  <c r="AD168" i="5" s="1"/>
  <c r="AG225" i="5"/>
  <c r="AH226" i="5" s="1"/>
  <c r="AH227" i="5" s="1"/>
  <c r="AH228" i="5" s="1"/>
  <c r="AK284" i="5"/>
  <c r="AL285" i="5" s="1"/>
  <c r="AL286" i="5" s="1"/>
  <c r="AL287" i="5" s="1"/>
  <c r="AV151" i="5"/>
  <c r="AW152" i="5" s="1"/>
  <c r="AW153" i="5" s="1"/>
  <c r="AW154" i="5" s="1"/>
  <c r="BD270" i="5"/>
  <c r="BE271" i="5" s="1"/>
  <c r="BE272" i="5" s="1"/>
  <c r="BE273" i="5" s="1"/>
  <c r="AU151" i="5"/>
  <c r="AV152" i="5" s="1"/>
  <c r="AV153" i="5" s="1"/>
  <c r="AV154" i="5" s="1"/>
  <c r="AY211" i="5"/>
  <c r="AZ212" i="5" s="1"/>
  <c r="AZ213" i="5" s="1"/>
  <c r="AZ214" i="5" s="1"/>
  <c r="BD284" i="5"/>
  <c r="BE285" i="5" s="1"/>
  <c r="BE286" i="5" s="1"/>
  <c r="BE287" i="5" s="1"/>
  <c r="AD151" i="5"/>
  <c r="AE152" i="5" s="1"/>
  <c r="AE153" i="5" s="1"/>
  <c r="AE154" i="5" s="1"/>
  <c r="AH211" i="5"/>
  <c r="AP330" i="5"/>
  <c r="AQ331" i="5" s="1"/>
  <c r="AQ332" i="5" s="1"/>
  <c r="AQ333" i="5" s="1"/>
  <c r="AM151" i="5"/>
  <c r="AN152" i="5" s="1"/>
  <c r="AN153" i="5" s="1"/>
  <c r="AN154" i="5" s="1"/>
  <c r="AQ211" i="5"/>
  <c r="AR212" i="5" s="1"/>
  <c r="AR213" i="5" s="1"/>
  <c r="AR214" i="5" s="1"/>
  <c r="AW299" i="5"/>
  <c r="AX300" i="5" s="1"/>
  <c r="AX301" i="5" s="1"/>
  <c r="AX302" i="5" s="1"/>
  <c r="AD165" i="5"/>
  <c r="AE166" i="5" s="1"/>
  <c r="AE167" i="5" s="1"/>
  <c r="AE168" i="5" s="1"/>
  <c r="AE180" i="5"/>
  <c r="AF181" i="5" s="1"/>
  <c r="AF182" i="5" s="1"/>
  <c r="AF183" i="5" s="1"/>
  <c r="AO330" i="5"/>
  <c r="AP331" i="5" s="1"/>
  <c r="AP332" i="5" s="1"/>
  <c r="AP333" i="5" s="1"/>
  <c r="AJ91" i="5"/>
  <c r="AK92" i="5" s="1"/>
  <c r="AK93" i="5" s="1"/>
  <c r="AK94" i="5" s="1"/>
  <c r="AI211" i="5"/>
  <c r="AJ212" i="5" s="1"/>
  <c r="AJ213" i="5" s="1"/>
  <c r="AJ214" i="5" s="1"/>
  <c r="M91" i="5"/>
  <c r="N92" i="5" s="1"/>
  <c r="N93" i="5" s="1"/>
  <c r="N94" i="5" s="1"/>
  <c r="BB93" i="5"/>
  <c r="BB94" i="5" s="1"/>
  <c r="AB330" i="5"/>
  <c r="AC331" i="5" s="1"/>
  <c r="AC332" i="5" s="1"/>
  <c r="AC333" i="5" s="1"/>
  <c r="AE91" i="5"/>
  <c r="AF92" i="5" s="1"/>
  <c r="AF93" i="5" s="1"/>
  <c r="AF94" i="5" s="1"/>
  <c r="AT91" i="5"/>
  <c r="AU92" i="5" s="1"/>
  <c r="AU93" i="5" s="1"/>
  <c r="AU94" i="5" s="1"/>
  <c r="BC284" i="5"/>
  <c r="BD285" i="5" s="1"/>
  <c r="BD286" i="5" s="1"/>
  <c r="BD287" i="5" s="1"/>
  <c r="BH91" i="5"/>
  <c r="BI92" i="5" s="1"/>
  <c r="BI93" i="5" s="1"/>
  <c r="BI94" i="5" s="1"/>
  <c r="AX91" i="5"/>
  <c r="AY92" i="5" s="1"/>
  <c r="AY93" i="5" s="1"/>
  <c r="AY94" i="5" s="1"/>
  <c r="BB315" i="5"/>
  <c r="BC316" i="5" s="1"/>
  <c r="BC317" i="5" s="1"/>
  <c r="BC318" i="5" s="1"/>
  <c r="AN180" i="5"/>
  <c r="AO181" i="5" s="1"/>
  <c r="AO182" i="5" s="1"/>
  <c r="AO183" i="5" s="1"/>
  <c r="AC315" i="5"/>
  <c r="AD316" i="5" s="1"/>
  <c r="AD317" i="5" s="1"/>
  <c r="AD318" i="5" s="1"/>
  <c r="AY330" i="5"/>
  <c r="AZ331" i="5" s="1"/>
  <c r="AZ332" i="5" s="1"/>
  <c r="AZ333" i="5" s="1"/>
  <c r="AY255" i="5"/>
  <c r="AZ256" i="5" s="1"/>
  <c r="AZ257" i="5" s="1"/>
  <c r="AZ258" i="5" s="1"/>
  <c r="BF359" i="5"/>
  <c r="BG360" i="5" s="1"/>
  <c r="BG361" i="5" s="1"/>
  <c r="BG362" i="5" s="1"/>
  <c r="AM136" i="5"/>
  <c r="AN137" i="5" s="1"/>
  <c r="AN138" i="5" s="1"/>
  <c r="AN139" i="5" s="1"/>
  <c r="AT240" i="5"/>
  <c r="AU241" i="5" s="1"/>
  <c r="AU242" i="5" s="1"/>
  <c r="AU243" i="5" s="1"/>
  <c r="AX299" i="5"/>
  <c r="AY300" i="5" s="1"/>
  <c r="AY301" i="5" s="1"/>
  <c r="AY302" i="5" s="1"/>
  <c r="AE270" i="5"/>
  <c r="AF271" i="5" s="1"/>
  <c r="AF272" i="5" s="1"/>
  <c r="AF273" i="5" s="1"/>
  <c r="AH315" i="5"/>
  <c r="AI316" i="5" s="1"/>
  <c r="AI317" i="5" s="1"/>
  <c r="AI318" i="5" s="1"/>
  <c r="S105" i="5"/>
  <c r="T106" i="5" s="1"/>
  <c r="T107" i="5" s="1"/>
  <c r="T108" i="5" s="1"/>
  <c r="AD270" i="5"/>
  <c r="AE271" i="5" s="1"/>
  <c r="AE272" i="5" s="1"/>
  <c r="AE273" i="5" s="1"/>
  <c r="AK374" i="5"/>
  <c r="AL375" i="5" s="1"/>
  <c r="AL376" i="5" s="1"/>
  <c r="AL377" i="5" s="1"/>
  <c r="AM270" i="5"/>
  <c r="AN271" i="5" s="1"/>
  <c r="AN272" i="5" s="1"/>
  <c r="AN273" i="5" s="1"/>
  <c r="AP315" i="5"/>
  <c r="AQ316" i="5" s="1"/>
  <c r="AQ317" i="5" s="1"/>
  <c r="AQ318" i="5" s="1"/>
  <c r="R105" i="5"/>
  <c r="S106" i="5" s="1"/>
  <c r="S107" i="5" s="1"/>
  <c r="S108" i="5" s="1"/>
  <c r="AB255" i="5"/>
  <c r="AC256" i="5" s="1"/>
  <c r="AC257" i="5" s="1"/>
  <c r="AC258" i="5" s="1"/>
  <c r="AJ374" i="5"/>
  <c r="AK375" i="5" s="1"/>
  <c r="AK376" i="5" s="1"/>
  <c r="AK377" i="5" s="1"/>
  <c r="O120" i="5"/>
  <c r="P121" i="5" s="1"/>
  <c r="P122" i="5" s="1"/>
  <c r="P123" i="5" s="1"/>
  <c r="W240" i="5"/>
  <c r="X241" i="5" s="1"/>
  <c r="X242" i="5" s="1"/>
  <c r="X243" i="5" s="1"/>
  <c r="AE359" i="5"/>
  <c r="AF360" i="5" s="1"/>
  <c r="AF361" i="5" s="1"/>
  <c r="AF362" i="5" s="1"/>
  <c r="BC136" i="5"/>
  <c r="BD137" i="5" s="1"/>
  <c r="BD138" i="5" s="1"/>
  <c r="BD139" i="5" s="1"/>
  <c r="T151" i="5"/>
  <c r="U152" i="5" s="1"/>
  <c r="U153" i="5" s="1"/>
  <c r="U154" i="5" s="1"/>
  <c r="AA255" i="5"/>
  <c r="AB256" i="5" s="1"/>
  <c r="AB257" i="5" s="1"/>
  <c r="AB258" i="5" s="1"/>
  <c r="AI374" i="5"/>
  <c r="AJ375" i="5" s="1"/>
  <c r="AJ376" i="5" s="1"/>
  <c r="AJ377" i="5" s="1"/>
  <c r="BD136" i="5"/>
  <c r="BE137" i="5" s="1"/>
  <c r="BE138" i="5" s="1"/>
  <c r="BE139" i="5" s="1"/>
  <c r="AD120" i="5"/>
  <c r="AE121" i="5" s="1"/>
  <c r="AE122" i="5" s="1"/>
  <c r="AE123" i="5" s="1"/>
  <c r="AL240" i="5"/>
  <c r="AM241" i="5" s="1"/>
  <c r="AM242" i="5" s="1"/>
  <c r="AM243" i="5" s="1"/>
  <c r="AP299" i="5"/>
  <c r="AQ300" i="5" s="1"/>
  <c r="AQ301" i="5" s="1"/>
  <c r="AQ302" i="5" s="1"/>
  <c r="O136" i="5"/>
  <c r="P137" i="5" s="1"/>
  <c r="P138" i="5" s="1"/>
  <c r="P139" i="5" s="1"/>
  <c r="V240" i="5"/>
  <c r="W241" i="5" s="1"/>
  <c r="W242" i="5" s="1"/>
  <c r="W243" i="5" s="1"/>
  <c r="AA315" i="5"/>
  <c r="AB316" i="5" s="1"/>
  <c r="AB317" i="5" s="1"/>
  <c r="AB318" i="5" s="1"/>
  <c r="AJ151" i="5"/>
  <c r="AK152" i="5" s="1"/>
  <c r="AK153" i="5" s="1"/>
  <c r="AK154" i="5" s="1"/>
  <c r="AQ255" i="5"/>
  <c r="AR256" i="5" s="1"/>
  <c r="AR257" i="5" s="1"/>
  <c r="AR258" i="5" s="1"/>
  <c r="AZ389" i="5"/>
  <c r="BA390" i="5" s="1"/>
  <c r="BA391" i="5" s="1"/>
  <c r="BA392" i="5" s="1"/>
  <c r="M120" i="5"/>
  <c r="N121" i="5" s="1"/>
  <c r="N122" i="5" s="1"/>
  <c r="N123" i="5" s="1"/>
  <c r="W270" i="5"/>
  <c r="X271" i="5" s="1"/>
  <c r="X272" i="5" s="1"/>
  <c r="X273" i="5" s="1"/>
  <c r="Y299" i="5"/>
  <c r="Z300" i="5" s="1"/>
  <c r="Z301" i="5" s="1"/>
  <c r="Z302" i="5" s="1"/>
  <c r="AO136" i="5"/>
  <c r="AP137" i="5" s="1"/>
  <c r="AP138" i="5" s="1"/>
  <c r="AP139" i="5" s="1"/>
  <c r="AR180" i="5"/>
  <c r="AS181" i="5" s="1"/>
  <c r="AS182" i="5" s="1"/>
  <c r="AS183" i="5" s="1"/>
  <c r="BD359" i="5"/>
  <c r="BE360" i="5" s="1"/>
  <c r="BE361" i="5" s="1"/>
  <c r="BE362" i="5" s="1"/>
  <c r="AZ255" i="5"/>
  <c r="BA256" i="5" s="1"/>
  <c r="BA257" i="5" s="1"/>
  <c r="BA258" i="5" s="1"/>
  <c r="BH374" i="5"/>
  <c r="BI375" i="5" s="1"/>
  <c r="BI376" i="5" s="1"/>
  <c r="BI377" i="5" s="1"/>
  <c r="N151" i="5"/>
  <c r="O152" i="5" s="1"/>
  <c r="O153" i="5" s="1"/>
  <c r="O154" i="5" s="1"/>
  <c r="V270" i="5"/>
  <c r="W271" i="5" s="1"/>
  <c r="W272" i="5" s="1"/>
  <c r="W273" i="5" s="1"/>
  <c r="AC374" i="5"/>
  <c r="AD375" i="5" s="1"/>
  <c r="AD376" i="5" s="1"/>
  <c r="AD377" i="5" s="1"/>
  <c r="AI151" i="5"/>
  <c r="AJ152" i="5" s="1"/>
  <c r="AJ153" i="5" s="1"/>
  <c r="AJ154" i="5" s="1"/>
  <c r="AN225" i="5"/>
  <c r="AO226" i="5" s="1"/>
  <c r="AO227" i="5" s="1"/>
  <c r="AO228" i="5" s="1"/>
  <c r="AR284" i="5"/>
  <c r="AS285" i="5" s="1"/>
  <c r="AS286" i="5" s="1"/>
  <c r="AS287" i="5" s="1"/>
  <c r="AU120" i="5"/>
  <c r="AV121" i="5" s="1"/>
  <c r="AV122" i="5" s="1"/>
  <c r="AV123" i="5" s="1"/>
  <c r="BC240" i="5"/>
  <c r="BD241" i="5" s="1"/>
  <c r="BD242" i="5" s="1"/>
  <c r="BD243" i="5" s="1"/>
  <c r="AW136" i="5"/>
  <c r="AX137" i="5" s="1"/>
  <c r="AX138" i="5" s="1"/>
  <c r="AX139" i="5" s="1"/>
  <c r="AZ180" i="5"/>
  <c r="BA181" i="5" s="1"/>
  <c r="BA182" i="5" s="1"/>
  <c r="BA183" i="5" s="1"/>
  <c r="W136" i="5"/>
  <c r="X137" i="5" s="1"/>
  <c r="X138" i="5" s="1"/>
  <c r="X139" i="5" s="1"/>
  <c r="AD240" i="5"/>
  <c r="AE241" i="5" s="1"/>
  <c r="AE242" i="5" s="1"/>
  <c r="AE243" i="5" s="1"/>
  <c r="AH299" i="5"/>
  <c r="AI300" i="5" s="1"/>
  <c r="AI301" i="5" s="1"/>
  <c r="AI302" i="5" s="1"/>
  <c r="BG151" i="5"/>
  <c r="BH152" i="5" s="1"/>
  <c r="BH153" i="5" s="1"/>
  <c r="BH154" i="5" s="1"/>
  <c r="AQ105" i="5"/>
  <c r="AR106" i="5" s="1"/>
  <c r="AR107" i="5" s="1"/>
  <c r="AR108" i="5" s="1"/>
  <c r="BB270" i="5"/>
  <c r="BC271" i="5" s="1"/>
  <c r="BC272" i="5" s="1"/>
  <c r="BC273" i="5" s="1"/>
  <c r="BI374" i="5"/>
  <c r="B380" i="5" s="1"/>
  <c r="Z151" i="5"/>
  <c r="AA152" i="5" s="1"/>
  <c r="AA153" i="5" s="1"/>
  <c r="AA154" i="5" s="1"/>
  <c r="AF240" i="5"/>
  <c r="AG241" i="5" s="1"/>
  <c r="AG242" i="5" s="1"/>
  <c r="AG243" i="5" s="1"/>
  <c r="AN359" i="5"/>
  <c r="AO360" i="5" s="1"/>
  <c r="AO361" i="5" s="1"/>
  <c r="AO362" i="5" s="1"/>
  <c r="AH105" i="5"/>
  <c r="AI106" i="5" s="1"/>
  <c r="AI107" i="5" s="1"/>
  <c r="AI108" i="5" s="1"/>
  <c r="AR255" i="5"/>
  <c r="AS256" i="5" s="1"/>
  <c r="AS257" i="5" s="1"/>
  <c r="AS258" i="5" s="1"/>
  <c r="AZ374" i="5"/>
  <c r="BA375" i="5" s="1"/>
  <c r="BA376" i="5" s="1"/>
  <c r="BA377" i="5" s="1"/>
  <c r="S151" i="5"/>
  <c r="T152" i="5" s="1"/>
  <c r="T153" i="5" s="1"/>
  <c r="T154" i="5" s="1"/>
  <c r="X225" i="5"/>
  <c r="Y226" i="5" s="1"/>
  <c r="Y227" i="5" s="1"/>
  <c r="Y228" i="5" s="1"/>
  <c r="AG359" i="5"/>
  <c r="AH360" i="5" s="1"/>
  <c r="AH361" i="5" s="1"/>
  <c r="AH362" i="5" s="1"/>
  <c r="AN136" i="5"/>
  <c r="AO137" i="5" s="1"/>
  <c r="AO138" i="5" s="1"/>
  <c r="AO139" i="5" s="1"/>
  <c r="AU240" i="5"/>
  <c r="BC359" i="5"/>
  <c r="BD360" i="5" s="1"/>
  <c r="BD361" i="5" s="1"/>
  <c r="BD362" i="5" s="1"/>
  <c r="AI165" i="5"/>
  <c r="AJ166" i="5" s="1"/>
  <c r="AJ167" i="5" s="1"/>
  <c r="AJ168" i="5" s="1"/>
  <c r="AJ180" i="5"/>
  <c r="AK181" i="5" s="1"/>
  <c r="AK182" i="5" s="1"/>
  <c r="AK183" i="5" s="1"/>
  <c r="AV359" i="5"/>
  <c r="AW360" i="5" s="1"/>
  <c r="AW361" i="5" s="1"/>
  <c r="AW362" i="5" s="1"/>
  <c r="AZ151" i="5"/>
  <c r="BA152" i="5" s="1"/>
  <c r="BA153" i="5" s="1"/>
  <c r="BA154" i="5" s="1"/>
  <c r="BG255" i="5"/>
  <c r="BH256" i="5" s="1"/>
  <c r="BH257" i="5" s="1"/>
  <c r="BH258" i="5" s="1"/>
  <c r="BG105" i="5"/>
  <c r="BH106" i="5" s="1"/>
  <c r="BH107" i="5" s="1"/>
  <c r="BH108" i="5" s="1"/>
  <c r="AY151" i="5"/>
  <c r="AZ152" i="5" s="1"/>
  <c r="AZ153" i="5" s="1"/>
  <c r="AZ154" i="5" s="1"/>
  <c r="BD225" i="5"/>
  <c r="BE226" i="5" s="1"/>
  <c r="BE227" i="5" s="1"/>
  <c r="BE228" i="5" s="1"/>
  <c r="B157" i="5"/>
  <c r="BI151" i="5"/>
  <c r="AZ105" i="5"/>
  <c r="BA106" i="5" s="1"/>
  <c r="BA107" i="5" s="1"/>
  <c r="BA108" i="5" s="1"/>
  <c r="BG165" i="5"/>
  <c r="BH166" i="5" s="1"/>
  <c r="BH167" i="5" s="1"/>
  <c r="BH168" i="5" s="1"/>
  <c r="AF136" i="5"/>
  <c r="AG137" i="5" s="1"/>
  <c r="AG138" i="5" s="1"/>
  <c r="AG139" i="5" s="1"/>
  <c r="AM240" i="5"/>
  <c r="AU359" i="5"/>
  <c r="AV360" i="5" s="1"/>
  <c r="AV361" i="5" s="1"/>
  <c r="AV362" i="5" s="1"/>
  <c r="AA151" i="5"/>
  <c r="AB152" i="5" s="1"/>
  <c r="AB153" i="5" s="1"/>
  <c r="AB154" i="5" s="1"/>
  <c r="AF225" i="5"/>
  <c r="AG226" i="5" s="1"/>
  <c r="AG227" i="5" s="1"/>
  <c r="AG228" i="5" s="1"/>
  <c r="AN344" i="5"/>
  <c r="AO345" i="5" s="1"/>
  <c r="AO346" i="5" s="1"/>
  <c r="AO347" i="5" s="1"/>
  <c r="AY105" i="5"/>
  <c r="AZ106" i="5" s="1"/>
  <c r="AZ107" i="5" s="1"/>
  <c r="AZ108" i="5" s="1"/>
  <c r="AQ151" i="5"/>
  <c r="AR152" i="5" s="1"/>
  <c r="AR153" i="5" s="1"/>
  <c r="AR154" i="5" s="1"/>
  <c r="AV225" i="5"/>
  <c r="AW226" i="5" s="1"/>
  <c r="AW227" i="5" s="1"/>
  <c r="AW228" i="5" s="1"/>
  <c r="BD344" i="5"/>
  <c r="BE345" i="5" s="1"/>
  <c r="BE346" i="5" s="1"/>
  <c r="BE347" i="5" s="1"/>
  <c r="BA151" i="5"/>
  <c r="BB152" i="5" s="1"/>
  <c r="BB153" i="5" s="1"/>
  <c r="BB154" i="5" s="1"/>
  <c r="BH255" i="5"/>
  <c r="BI256" i="5" s="1"/>
  <c r="BI257" i="5" s="1"/>
  <c r="BI258" i="5" s="1"/>
  <c r="X136" i="5"/>
  <c r="Y137" i="5" s="1"/>
  <c r="Y138" i="5" s="1"/>
  <c r="Y139" i="5" s="1"/>
  <c r="AE240" i="5"/>
  <c r="AF241" i="5" s="1"/>
  <c r="AF242" i="5" s="1"/>
  <c r="AF243" i="5" s="1"/>
  <c r="AM359" i="5"/>
  <c r="AN360" i="5" s="1"/>
  <c r="AN361" i="5" s="1"/>
  <c r="AN362" i="5" s="1"/>
  <c r="AI105" i="5"/>
  <c r="AJ106" i="5" s="1"/>
  <c r="AJ107" i="5" s="1"/>
  <c r="AJ108" i="5" s="1"/>
  <c r="AT270" i="5"/>
  <c r="AU271" i="5" s="1"/>
  <c r="AU272" i="5" s="1"/>
  <c r="AU273" i="5" s="1"/>
  <c r="BA374" i="5"/>
  <c r="BB375" i="5" s="1"/>
  <c r="BB376" i="5" s="1"/>
  <c r="BB377" i="5" s="1"/>
  <c r="BH151" i="5"/>
  <c r="BI152" i="5" s="1"/>
  <c r="BI153" i="5" s="1"/>
  <c r="BI154" i="5" s="1"/>
  <c r="S165" i="5"/>
  <c r="T166" i="5" s="1"/>
  <c r="T167" i="5" s="1"/>
  <c r="T168" i="5" s="1"/>
  <c r="T180" i="5"/>
  <c r="U181" i="5" s="1"/>
  <c r="U182" i="5" s="1"/>
  <c r="U183" i="5" s="1"/>
  <c r="AF359" i="5"/>
  <c r="AG360" i="5" s="1"/>
  <c r="AG361" i="5" s="1"/>
  <c r="AG362" i="5" s="1"/>
  <c r="AB151" i="5"/>
  <c r="AC152" i="5" s="1"/>
  <c r="AC153" i="5" s="1"/>
  <c r="AC154" i="5" s="1"/>
  <c r="AI255" i="5"/>
  <c r="AJ256" i="5" s="1"/>
  <c r="AJ257" i="5" s="1"/>
  <c r="AJ258" i="5" s="1"/>
  <c r="AT418" i="5"/>
  <c r="AU419" i="5" s="1"/>
  <c r="AU420" i="5" s="1"/>
  <c r="AU421" i="5" s="1"/>
  <c r="AS105" i="5"/>
  <c r="AT106" i="5" s="1"/>
  <c r="AT107" i="5" s="1"/>
  <c r="AT108" i="5" s="1"/>
  <c r="BB240" i="5"/>
  <c r="BC241" i="5" s="1"/>
  <c r="BC242" i="5" s="1"/>
  <c r="BC243" i="5" s="1"/>
  <c r="BF299" i="5"/>
  <c r="BG300" i="5" s="1"/>
  <c r="BG301" i="5" s="1"/>
  <c r="BG302" i="5" s="1"/>
  <c r="AR105" i="5"/>
  <c r="AS106" i="5" s="1"/>
  <c r="AS107" i="5" s="1"/>
  <c r="AS108" i="5" s="1"/>
  <c r="BC270" i="5"/>
  <c r="BD271" i="5" s="1"/>
  <c r="BD272" i="5" s="1"/>
  <c r="BD273" i="5" s="1"/>
  <c r="BE299" i="5"/>
  <c r="BF300" i="5" s="1"/>
  <c r="BF301" i="5" s="1"/>
  <c r="BF302" i="5" s="1"/>
  <c r="AA105" i="5"/>
  <c r="AB106" i="5" s="1"/>
  <c r="AB107" i="5" s="1"/>
  <c r="AB108" i="5" s="1"/>
  <c r="AL270" i="5"/>
  <c r="AM271" i="5" s="1"/>
  <c r="AM272" i="5" s="1"/>
  <c r="AM273" i="5" s="1"/>
  <c r="AS374" i="5"/>
  <c r="AT375" i="5" s="1"/>
  <c r="AT376" i="5" s="1"/>
  <c r="AT377" i="5" s="1"/>
  <c r="AJ105" i="5"/>
  <c r="AK106" i="5" s="1"/>
  <c r="AK107" i="5" s="1"/>
  <c r="AK108" i="5" s="1"/>
  <c r="AU270" i="5"/>
  <c r="AV271" i="5" s="1"/>
  <c r="AV272" i="5" s="1"/>
  <c r="AV273" i="5" s="1"/>
  <c r="AX315" i="5"/>
  <c r="AY316" i="5" s="1"/>
  <c r="AY317" i="5" s="1"/>
  <c r="AY318" i="5" s="1"/>
  <c r="AC151" i="5"/>
  <c r="AD152" i="5" s="1"/>
  <c r="AD153" i="5" s="1"/>
  <c r="AD154" i="5" s="1"/>
  <c r="AJ255" i="5"/>
  <c r="AK256" i="5" s="1"/>
  <c r="AK257" i="5" s="1"/>
  <c r="AK258" i="5" s="1"/>
  <c r="AR374" i="5"/>
  <c r="AS375" i="5" s="1"/>
  <c r="AS376" i="5" s="1"/>
  <c r="AS377" i="5" s="1"/>
  <c r="BH105" i="5"/>
  <c r="BI106" i="5" s="1"/>
  <c r="BI107" i="5" s="1"/>
  <c r="BI108" i="5" s="1"/>
  <c r="B75" i="5"/>
  <c r="H76" i="5" s="1"/>
  <c r="I77" i="5" s="1"/>
  <c r="I78" i="5" s="1"/>
  <c r="I79" i="5" s="1"/>
  <c r="B402" i="5"/>
  <c r="AD403" i="5" s="1"/>
  <c r="AE404" i="5" s="1"/>
  <c r="AE405" i="5" s="1"/>
  <c r="AE406" i="5" s="1"/>
  <c r="B373" i="5"/>
  <c r="AB374" i="5" s="1"/>
  <c r="AC375" i="5" s="1"/>
  <c r="AC376" i="5" s="1"/>
  <c r="AC377" i="5" s="1"/>
  <c r="B417" i="5"/>
  <c r="AE418" i="5" s="1"/>
  <c r="AF419" i="5" s="1"/>
  <c r="AF420" i="5" s="1"/>
  <c r="AF421" i="5" s="1"/>
  <c r="B388" i="5"/>
  <c r="AC389" i="5" s="1"/>
  <c r="AD390" i="5" s="1"/>
  <c r="AD391" i="5" s="1"/>
  <c r="AD392" i="5" s="1"/>
  <c r="B343" i="5"/>
  <c r="Z344" i="5" s="1"/>
  <c r="AA345" i="5" s="1"/>
  <c r="AA346" i="5" s="1"/>
  <c r="AA347" i="5" s="1"/>
  <c r="B358" i="5"/>
  <c r="AA359" i="5" s="1"/>
  <c r="AB360" i="5" s="1"/>
  <c r="AB361" i="5" s="1"/>
  <c r="AB362" i="5" s="1"/>
  <c r="B329" i="5"/>
  <c r="Y330" i="5" s="1"/>
  <c r="Z331" i="5" s="1"/>
  <c r="Z332" i="5" s="1"/>
  <c r="Z333" i="5" s="1"/>
  <c r="B314" i="5"/>
  <c r="X315" i="5" s="1"/>
  <c r="Y316" i="5" s="1"/>
  <c r="Y317" i="5" s="1"/>
  <c r="Y318" i="5" s="1"/>
  <c r="B298" i="5"/>
  <c r="W299" i="5" s="1"/>
  <c r="X300" i="5" s="1"/>
  <c r="X301" i="5" s="1"/>
  <c r="X302" i="5" s="1"/>
  <c r="B283" i="5"/>
  <c r="V284" i="5" s="1"/>
  <c r="W285" i="5" s="1"/>
  <c r="W286" i="5" s="1"/>
  <c r="W287" i="5" s="1"/>
  <c r="B254" i="5"/>
  <c r="T255" i="5" s="1"/>
  <c r="U256" i="5" s="1"/>
  <c r="U257" i="5" s="1"/>
  <c r="U258" i="5" s="1"/>
  <c r="B224" i="5"/>
  <c r="R225" i="5" s="1"/>
  <c r="S226" i="5" s="1"/>
  <c r="S227" i="5" s="1"/>
  <c r="S228" i="5" s="1"/>
  <c r="B239" i="5"/>
  <c r="S240" i="5" s="1"/>
  <c r="T241" i="5" s="1"/>
  <c r="T242" i="5" s="1"/>
  <c r="T243" i="5" s="1"/>
  <c r="B195" i="5"/>
  <c r="P196" i="5" s="1"/>
  <c r="Q197" i="5" s="1"/>
  <c r="Q198" i="5" s="1"/>
  <c r="Q199" i="5" s="1"/>
  <c r="B269" i="5"/>
  <c r="U270" i="5" s="1"/>
  <c r="B210" i="5"/>
  <c r="Q211" i="5" s="1"/>
  <c r="R212" i="5" s="1"/>
  <c r="R213" i="5" s="1"/>
  <c r="R214" i="5" s="1"/>
  <c r="B179" i="5"/>
  <c r="O180" i="5" s="1"/>
  <c r="P181" i="5" s="1"/>
  <c r="P182" i="5" s="1"/>
  <c r="P183" i="5" s="1"/>
  <c r="B150" i="5"/>
  <c r="M151" i="5" s="1"/>
  <c r="N152" i="5" s="1"/>
  <c r="N153" i="5" s="1"/>
  <c r="N154" i="5" s="1"/>
  <c r="B104" i="5"/>
  <c r="J105" i="5" s="1"/>
  <c r="K106" i="5" s="1"/>
  <c r="K107" i="5" s="1"/>
  <c r="K108" i="5" s="1"/>
  <c r="B164" i="5"/>
  <c r="N165" i="5" s="1"/>
  <c r="O166" i="5" s="1"/>
  <c r="O167" i="5" s="1"/>
  <c r="O168" i="5" s="1"/>
  <c r="B119" i="5"/>
  <c r="K120" i="5" s="1"/>
  <c r="L121" i="5" s="1"/>
  <c r="L122" i="5" s="1"/>
  <c r="L123" i="5" s="1"/>
  <c r="B135" i="5"/>
  <c r="L136" i="5" s="1"/>
  <c r="M137" i="5" s="1"/>
  <c r="M138" i="5" s="1"/>
  <c r="M139" i="5" s="1"/>
  <c r="B90" i="5"/>
  <c r="I91" i="5" s="1"/>
  <c r="J92" i="5" s="1"/>
  <c r="J93" i="5" s="1"/>
  <c r="J94" i="5" s="1"/>
  <c r="BI91" i="5"/>
  <c r="B97" i="5"/>
  <c r="U211" i="5"/>
  <c r="V212" i="5" s="1"/>
  <c r="V213" i="5" s="1"/>
  <c r="V214" i="5" s="1"/>
  <c r="P91" i="5"/>
  <c r="Q92" i="5" s="1"/>
  <c r="Q93" i="5" s="1"/>
  <c r="Q94" i="5" s="1"/>
  <c r="L91" i="5"/>
  <c r="M92" i="5" s="1"/>
  <c r="M93" i="5" s="1"/>
  <c r="M94" i="5" s="1"/>
  <c r="AF91" i="5"/>
  <c r="AG92" i="5" s="1"/>
  <c r="AG93" i="5" s="1"/>
  <c r="AG94" i="5" s="1"/>
  <c r="U240" i="5"/>
  <c r="V241" i="5" s="1"/>
  <c r="V242" i="5" s="1"/>
  <c r="V243" i="5" s="1"/>
  <c r="AS196" i="5"/>
  <c r="AT197" i="5" s="1"/>
  <c r="AT198" i="5" s="1"/>
  <c r="AT199" i="5" s="1"/>
  <c r="V91" i="5"/>
  <c r="W92" i="5" s="1"/>
  <c r="W93" i="5" s="1"/>
  <c r="W94" i="5" s="1"/>
  <c r="O91" i="5"/>
  <c r="P92" i="5" s="1"/>
  <c r="P93" i="5" s="1"/>
  <c r="P94" i="5" s="1"/>
  <c r="AD91" i="5"/>
  <c r="AE92" i="5" s="1"/>
  <c r="AE93" i="5" s="1"/>
  <c r="AE94" i="5" s="1"/>
  <c r="AU91" i="5"/>
  <c r="AV92" i="5" s="1"/>
  <c r="AV93" i="5" s="1"/>
  <c r="AV94" i="5" s="1"/>
  <c r="AY91" i="5"/>
  <c r="AZ92" i="5" s="1"/>
  <c r="AZ93" i="5" s="1"/>
  <c r="AZ94" i="5" s="1"/>
  <c r="BI196" i="5"/>
  <c r="B202" i="5"/>
  <c r="G447" i="5" s="1"/>
  <c r="AL315" i="5"/>
  <c r="AM316" i="5" s="1"/>
  <c r="AM317" i="5" s="1"/>
  <c r="AM318" i="5" s="1"/>
  <c r="U91" i="5"/>
  <c r="V92" i="5" s="1"/>
  <c r="V93" i="5" s="1"/>
  <c r="V94" i="5" s="1"/>
  <c r="AZ270" i="5"/>
  <c r="BA271" i="5" s="1"/>
  <c r="BA272" i="5" s="1"/>
  <c r="BA273" i="5" s="1"/>
  <c r="BE344" i="5"/>
  <c r="BF345" i="5" s="1"/>
  <c r="BF346" i="5" s="1"/>
  <c r="BF347" i="5" s="1"/>
  <c r="AK105" i="5"/>
  <c r="AL106" i="5" s="1"/>
  <c r="AL107" i="5" s="1"/>
  <c r="AL108" i="5" s="1"/>
  <c r="AS225" i="5"/>
  <c r="AT226" i="5" s="1"/>
  <c r="AT227" i="5" s="1"/>
  <c r="AT228" i="5" s="1"/>
  <c r="AY315" i="5"/>
  <c r="AZ316" i="5" s="1"/>
  <c r="AZ317" i="5" s="1"/>
  <c r="AZ318" i="5" s="1"/>
  <c r="AN403" i="5"/>
  <c r="AO404" i="5" s="1"/>
  <c r="AO405" i="5" s="1"/>
  <c r="AO406" i="5" s="1"/>
  <c r="T120" i="5"/>
  <c r="U121" i="5" s="1"/>
  <c r="U122" i="5" s="1"/>
  <c r="U123" i="5" s="1"/>
  <c r="AB240" i="5"/>
  <c r="AC241" i="5" s="1"/>
  <c r="AC242" i="5" s="1"/>
  <c r="AC243" i="5" s="1"/>
  <c r="AM403" i="5"/>
  <c r="AN404" i="5" s="1"/>
  <c r="AN405" i="5" s="1"/>
  <c r="AN406" i="5" s="1"/>
  <c r="AC120" i="5"/>
  <c r="AD121" i="5" s="1"/>
  <c r="AD122" i="5" s="1"/>
  <c r="AD123" i="5" s="1"/>
  <c r="AJ225" i="5"/>
  <c r="AK226" i="5" s="1"/>
  <c r="AK227" i="5" s="1"/>
  <c r="AK228" i="5" s="1"/>
  <c r="AT374" i="5"/>
  <c r="AU375" i="5" s="1"/>
  <c r="AU376" i="5" s="1"/>
  <c r="AU377" i="5" s="1"/>
  <c r="S120" i="5"/>
  <c r="T121" i="5" s="1"/>
  <c r="T122" i="5" s="1"/>
  <c r="T123" i="5" s="1"/>
  <c r="AC270" i="5"/>
  <c r="AD271" i="5" s="1"/>
  <c r="AD272" i="5" s="1"/>
  <c r="AD273" i="5" s="1"/>
  <c r="AL403" i="5"/>
  <c r="AM404" i="5" s="1"/>
  <c r="AM405" i="5" s="1"/>
  <c r="AM406" i="5" s="1"/>
  <c r="P136" i="5"/>
  <c r="Q137" i="5" s="1"/>
  <c r="Q138" i="5" s="1"/>
  <c r="Q139" i="5" s="1"/>
  <c r="V225" i="5"/>
  <c r="W226" i="5" s="1"/>
  <c r="W227" i="5" s="1"/>
  <c r="W228" i="5" s="1"/>
  <c r="AG389" i="5"/>
  <c r="AH390" i="5" s="1"/>
  <c r="AH391" i="5" s="1"/>
  <c r="AH392" i="5" s="1"/>
  <c r="BA105" i="5"/>
  <c r="BB106" i="5" s="1"/>
  <c r="BB107" i="5" s="1"/>
  <c r="BB108" i="5" s="1"/>
  <c r="B231" i="5"/>
  <c r="BI225" i="5"/>
  <c r="Q105" i="5"/>
  <c r="R106" i="5" s="1"/>
  <c r="R107" i="5" s="1"/>
  <c r="R108" i="5" s="1"/>
  <c r="AB270" i="5"/>
  <c r="AC271" i="5" s="1"/>
  <c r="AC272" i="5" s="1"/>
  <c r="AC273" i="5" s="1"/>
  <c r="AH359" i="5"/>
  <c r="AI360" i="5" s="1"/>
  <c r="AI361" i="5" s="1"/>
  <c r="AI362" i="5" s="1"/>
  <c r="BF165" i="5"/>
  <c r="BG166" i="5" s="1"/>
  <c r="BG167" i="5" s="1"/>
  <c r="BG168" i="5" s="1"/>
  <c r="AC105" i="5"/>
  <c r="AD106" i="5" s="1"/>
  <c r="AD107" i="5" s="1"/>
  <c r="AD108" i="5" s="1"/>
  <c r="AK225" i="5"/>
  <c r="AL226" i="5" s="1"/>
  <c r="AL227" i="5" s="1"/>
  <c r="AL228" i="5" s="1"/>
  <c r="AQ315" i="5"/>
  <c r="AR316" i="5" s="1"/>
  <c r="AR317" i="5" s="1"/>
  <c r="AR318" i="5" s="1"/>
  <c r="Q165" i="5"/>
  <c r="R166" i="5" s="1"/>
  <c r="R167" i="5" s="1"/>
  <c r="R168" i="5" s="1"/>
  <c r="U225" i="5"/>
  <c r="V226" i="5" s="1"/>
  <c r="V227" i="5" s="1"/>
  <c r="V228" i="5" s="1"/>
  <c r="AD359" i="5"/>
  <c r="AE360" i="5" s="1"/>
  <c r="AE361" i="5" s="1"/>
  <c r="AE362" i="5" s="1"/>
  <c r="AG105" i="5"/>
  <c r="AH106" i="5" s="1"/>
  <c r="AH107" i="5" s="1"/>
  <c r="AH108" i="5" s="1"/>
  <c r="AR270" i="5"/>
  <c r="AS271" i="5" s="1"/>
  <c r="AS272" i="5" s="1"/>
  <c r="AS273" i="5" s="1"/>
  <c r="AW344" i="5"/>
  <c r="AX345" i="5" s="1"/>
  <c r="AX346" i="5" s="1"/>
  <c r="AX347" i="5" s="1"/>
  <c r="N136" i="5"/>
  <c r="O137" i="5" s="1"/>
  <c r="O138" i="5" s="1"/>
  <c r="O139" i="5" s="1"/>
  <c r="T225" i="5"/>
  <c r="U226" i="5" s="1"/>
  <c r="U227" i="5" s="1"/>
  <c r="U228" i="5" s="1"/>
  <c r="Z315" i="5"/>
  <c r="AA316" i="5" s="1"/>
  <c r="AA317" i="5" s="1"/>
  <c r="AA318" i="5" s="1"/>
  <c r="AP151" i="5"/>
  <c r="AQ152" i="5" s="1"/>
  <c r="AQ153" i="5" s="1"/>
  <c r="AQ154" i="5" s="1"/>
  <c r="AW255" i="5"/>
  <c r="AX256" i="5" s="1"/>
  <c r="AX257" i="5" s="1"/>
  <c r="AX258" i="5" s="1"/>
  <c r="BF389" i="5"/>
  <c r="BG390" i="5" s="1"/>
  <c r="BG391" i="5" s="1"/>
  <c r="BG392" i="5" s="1"/>
  <c r="BA270" i="5"/>
  <c r="BB271" i="5" s="1"/>
  <c r="BB272" i="5" s="1"/>
  <c r="BB273" i="5" s="1"/>
  <c r="L120" i="5"/>
  <c r="M121" i="5" s="1"/>
  <c r="M122" i="5" s="1"/>
  <c r="M123" i="5" s="1"/>
  <c r="T240" i="5"/>
  <c r="U241" i="5" s="1"/>
  <c r="U242" i="5" s="1"/>
  <c r="U243" i="5" s="1"/>
  <c r="AE403" i="5"/>
  <c r="AF404" i="5" s="1"/>
  <c r="AF405" i="5" s="1"/>
  <c r="AF406" i="5" s="1"/>
  <c r="AF105" i="5"/>
  <c r="AG106" i="5" s="1"/>
  <c r="AG107" i="5" s="1"/>
  <c r="AG108" i="5" s="1"/>
  <c r="AQ270" i="5"/>
  <c r="AR271" i="5" s="1"/>
  <c r="AR272" i="5" s="1"/>
  <c r="AR273" i="5" s="1"/>
  <c r="AV344" i="5"/>
  <c r="AW345" i="5" s="1"/>
  <c r="AW346" i="5" s="1"/>
  <c r="AW347" i="5" s="1"/>
  <c r="AV136" i="5"/>
  <c r="AW137" i="5" s="1"/>
  <c r="AW138" i="5" s="1"/>
  <c r="AW139" i="5" s="1"/>
  <c r="BB225" i="5"/>
  <c r="BC226" i="5" s="1"/>
  <c r="BC227" i="5" s="1"/>
  <c r="BC228" i="5" s="1"/>
  <c r="AX151" i="5"/>
  <c r="AY152" i="5" s="1"/>
  <c r="AY153" i="5" s="1"/>
  <c r="AY154" i="5" s="1"/>
  <c r="BE255" i="5"/>
  <c r="BF256" i="5" s="1"/>
  <c r="BF257" i="5" s="1"/>
  <c r="BF258" i="5" s="1"/>
  <c r="X151" i="5"/>
  <c r="Y152" i="5" s="1"/>
  <c r="Y153" i="5" s="1"/>
  <c r="Y154" i="5" s="1"/>
  <c r="AC225" i="5"/>
  <c r="AD226" i="5" s="1"/>
  <c r="AD227" i="5" s="1"/>
  <c r="AD228" i="5" s="1"/>
  <c r="AI315" i="5"/>
  <c r="AJ316" i="5" s="1"/>
  <c r="AJ317" i="5" s="1"/>
  <c r="AJ318" i="5" s="1"/>
  <c r="BD105" i="5"/>
  <c r="BE106" i="5" s="1"/>
  <c r="BE107" i="5" s="1"/>
  <c r="BE108" i="5" s="1"/>
  <c r="AR120" i="5"/>
  <c r="AS121" i="5" s="1"/>
  <c r="AS122" i="5" s="1"/>
  <c r="AS123" i="5" s="1"/>
  <c r="AZ240" i="5"/>
  <c r="BA241" i="5" s="1"/>
  <c r="BA242" i="5" s="1"/>
  <c r="BA243" i="5" s="1"/>
  <c r="Y136" i="5"/>
  <c r="Z137" i="5" s="1"/>
  <c r="Z138" i="5" s="1"/>
  <c r="Z139" i="5" s="1"/>
  <c r="AG255" i="5"/>
  <c r="AH256" i="5" s="1"/>
  <c r="AH257" i="5" s="1"/>
  <c r="AH258" i="5" s="1"/>
  <c r="AP389" i="5"/>
  <c r="AQ390" i="5" s="1"/>
  <c r="AQ391" i="5" s="1"/>
  <c r="AQ392" i="5" s="1"/>
  <c r="AI120" i="5"/>
  <c r="AJ121" i="5" s="1"/>
  <c r="AJ122" i="5" s="1"/>
  <c r="AJ123" i="5" s="1"/>
  <c r="AS270" i="5"/>
  <c r="AT271" i="5" s="1"/>
  <c r="AT272" i="5" s="1"/>
  <c r="AT273" i="5" s="1"/>
  <c r="BB403" i="5"/>
  <c r="BC404" i="5" s="1"/>
  <c r="BC405" i="5" s="1"/>
  <c r="BC406" i="5" s="1"/>
  <c r="P105" i="5"/>
  <c r="Q106" i="5" s="1"/>
  <c r="Q107" i="5" s="1"/>
  <c r="Q108" i="5" s="1"/>
  <c r="AA270" i="5"/>
  <c r="AB271" i="5" s="1"/>
  <c r="AB272" i="5" s="1"/>
  <c r="AB273" i="5" s="1"/>
  <c r="AF344" i="5"/>
  <c r="AG345" i="5" s="1"/>
  <c r="AG346" i="5" s="1"/>
  <c r="AG347" i="5" s="1"/>
  <c r="AP165" i="5"/>
  <c r="AQ166" i="5" s="1"/>
  <c r="AQ167" i="5" s="1"/>
  <c r="AQ168" i="5" s="1"/>
  <c r="AT225" i="5"/>
  <c r="AU226" i="5" s="1"/>
  <c r="AU227" i="5" s="1"/>
  <c r="AU228" i="5" s="1"/>
  <c r="BE389" i="5"/>
  <c r="BF390" i="5" s="1"/>
  <c r="BF391" i="5" s="1"/>
  <c r="BF392" i="5" s="1"/>
  <c r="AH151" i="5"/>
  <c r="AI152" i="5" s="1"/>
  <c r="AI153" i="5" s="1"/>
  <c r="AI154" i="5" s="1"/>
  <c r="AO255" i="5"/>
  <c r="AP256" i="5" s="1"/>
  <c r="AP257" i="5" s="1"/>
  <c r="AP258" i="5" s="1"/>
  <c r="AX389" i="5"/>
  <c r="AY390" i="5" s="1"/>
  <c r="AY391" i="5" s="1"/>
  <c r="AY392" i="5" s="1"/>
  <c r="AW105" i="5"/>
  <c r="AX106" i="5" s="1"/>
  <c r="AX107" i="5" s="1"/>
  <c r="AX108" i="5" s="1"/>
  <c r="BH270" i="5"/>
  <c r="BI271" i="5" s="1"/>
  <c r="BI272" i="5" s="1"/>
  <c r="BI273" i="5" s="1"/>
  <c r="BH120" i="5"/>
  <c r="BI121" i="5" s="1"/>
  <c r="BI122" i="5" s="1"/>
  <c r="BI123" i="5" s="1"/>
  <c r="AV105" i="5"/>
  <c r="AW106" i="5" s="1"/>
  <c r="AW107" i="5" s="1"/>
  <c r="AW108" i="5" s="1"/>
  <c r="BG270" i="5"/>
  <c r="BH271" i="5" s="1"/>
  <c r="BH272" i="5" s="1"/>
  <c r="BH273" i="5" s="1"/>
  <c r="BF105" i="5"/>
  <c r="BG106" i="5" s="1"/>
  <c r="BG107" i="5" s="1"/>
  <c r="BG108" i="5" s="1"/>
  <c r="BI105" i="5"/>
  <c r="B111" i="5"/>
  <c r="BA120" i="5"/>
  <c r="BB121" i="5" s="1"/>
  <c r="BB122" i="5" s="1"/>
  <c r="BB123" i="5" s="1"/>
  <c r="BH225" i="5"/>
  <c r="BI226" i="5" s="1"/>
  <c r="BI227" i="5" s="1"/>
  <c r="BI228" i="5" s="1"/>
  <c r="BF151" i="5"/>
  <c r="BG152" i="5" s="1"/>
  <c r="BG153" i="5" s="1"/>
  <c r="BG154" i="5" s="1"/>
  <c r="AE120" i="5"/>
  <c r="AF121" i="5" s="1"/>
  <c r="AF122" i="5" s="1"/>
  <c r="AF123" i="5" s="1"/>
  <c r="AL225" i="5"/>
  <c r="AM226" i="5" s="1"/>
  <c r="AM227" i="5" s="1"/>
  <c r="AM228" i="5" s="1"/>
  <c r="AW389" i="5"/>
  <c r="AX390" i="5" s="1"/>
  <c r="AX391" i="5" s="1"/>
  <c r="AX392" i="5" s="1"/>
  <c r="X105" i="5"/>
  <c r="Y106" i="5" s="1"/>
  <c r="Y107" i="5" s="1"/>
  <c r="Y108" i="5" s="1"/>
  <c r="AI270" i="5"/>
  <c r="AJ271" i="5" s="1"/>
  <c r="AJ272" i="5" s="1"/>
  <c r="AJ273" i="5" s="1"/>
  <c r="AJ284" i="5"/>
  <c r="AK285" i="5" s="1"/>
  <c r="AK286" i="5" s="1"/>
  <c r="AK287" i="5" s="1"/>
  <c r="AZ120" i="5"/>
  <c r="BA121" i="5" s="1"/>
  <c r="BA122" i="5" s="1"/>
  <c r="BA123" i="5" s="1"/>
  <c r="BH240" i="5"/>
  <c r="BI241" i="5" s="1"/>
  <c r="BI242" i="5" s="1"/>
  <c r="BI243" i="5" s="1"/>
  <c r="AN105" i="5"/>
  <c r="AO106" i="5" s="1"/>
  <c r="AO107" i="5" s="1"/>
  <c r="AO108" i="5" s="1"/>
  <c r="AY270" i="5"/>
  <c r="AZ271" i="5" s="1"/>
  <c r="AZ272" i="5" s="1"/>
  <c r="AZ273" i="5" s="1"/>
  <c r="BI418" i="5"/>
  <c r="B424" i="5" s="1"/>
  <c r="AX105" i="5"/>
  <c r="AY106" i="5" s="1"/>
  <c r="AY107" i="5" s="1"/>
  <c r="AY108" i="5" s="1"/>
  <c r="BI270" i="5"/>
  <c r="B276" i="5" s="1"/>
  <c r="Z165" i="5"/>
  <c r="AA166" i="5" s="1"/>
  <c r="AA167" i="5" s="1"/>
  <c r="AA168" i="5" s="1"/>
  <c r="AD225" i="5"/>
  <c r="AE226" i="5" s="1"/>
  <c r="AE227" i="5" s="1"/>
  <c r="AE228" i="5" s="1"/>
  <c r="AO389" i="5"/>
  <c r="AP390" i="5" s="1"/>
  <c r="AP391" i="5" s="1"/>
  <c r="AP392" i="5" s="1"/>
  <c r="AJ120" i="5"/>
  <c r="AK121" i="5" s="1"/>
  <c r="AK122" i="5" s="1"/>
  <c r="AK123" i="5" s="1"/>
  <c r="AR240" i="5"/>
  <c r="AS241" i="5" s="1"/>
  <c r="AS242" i="5" s="1"/>
  <c r="AS243" i="5" s="1"/>
  <c r="BC403" i="5"/>
  <c r="BD404" i="5" s="1"/>
  <c r="BD405" i="5" s="1"/>
  <c r="BD406" i="5" s="1"/>
  <c r="BE105" i="5"/>
  <c r="BF106" i="5" s="1"/>
  <c r="BF107" i="5" s="1"/>
  <c r="BF108" i="5" s="1"/>
  <c r="R151" i="5"/>
  <c r="S152" i="5" s="1"/>
  <c r="S153" i="5" s="1"/>
  <c r="S154" i="5" s="1"/>
  <c r="Y255" i="5"/>
  <c r="Z256" i="5" s="1"/>
  <c r="Z257" i="5" s="1"/>
  <c r="Z258" i="5" s="1"/>
  <c r="AH389" i="5"/>
  <c r="AI390" i="5" s="1"/>
  <c r="AI391" i="5" s="1"/>
  <c r="AI392" i="5" s="1"/>
  <c r="Y105" i="5"/>
  <c r="Z106" i="5" s="1"/>
  <c r="Z107" i="5" s="1"/>
  <c r="Z108" i="5" s="1"/>
  <c r="AJ270" i="5"/>
  <c r="AK271" i="5" s="1"/>
  <c r="AK272" i="5" s="1"/>
  <c r="AK273" i="5" s="1"/>
  <c r="AO344" i="5"/>
  <c r="AP345" i="5" s="1"/>
  <c r="AP346" i="5" s="1"/>
  <c r="AP347" i="5" s="1"/>
  <c r="AT120" i="5"/>
  <c r="AU121" i="5" s="1"/>
  <c r="AU122" i="5" s="1"/>
  <c r="AU123" i="5" s="1"/>
  <c r="BA225" i="5"/>
  <c r="BB226" i="5" s="1"/>
  <c r="BB227" i="5" s="1"/>
  <c r="BB228" i="5" s="1"/>
  <c r="BG315" i="5"/>
  <c r="BH316" i="5" s="1"/>
  <c r="BH317" i="5" s="1"/>
  <c r="BH318" i="5" s="1"/>
  <c r="AS120" i="5"/>
  <c r="AT121" i="5" s="1"/>
  <c r="AT122" i="5" s="1"/>
  <c r="AT123" i="5" s="1"/>
  <c r="AZ225" i="5"/>
  <c r="BA226" i="5" s="1"/>
  <c r="BA227" i="5" s="1"/>
  <c r="BA228" i="5" s="1"/>
  <c r="BF315" i="5"/>
  <c r="BG316" i="5" s="1"/>
  <c r="BG317" i="5" s="1"/>
  <c r="BG318" i="5" s="1"/>
  <c r="AB120" i="5"/>
  <c r="AC121" i="5" s="1"/>
  <c r="AC122" i="5" s="1"/>
  <c r="AC123" i="5" s="1"/>
  <c r="AJ240" i="5"/>
  <c r="AK241" i="5" s="1"/>
  <c r="AK242" i="5" s="1"/>
  <c r="AK243" i="5" s="1"/>
  <c r="AU403" i="5"/>
  <c r="AV404" i="5" s="1"/>
  <c r="AV405" i="5" s="1"/>
  <c r="AV406" i="5" s="1"/>
  <c r="AK120" i="5"/>
  <c r="AL121" i="5" s="1"/>
  <c r="AL122" i="5" s="1"/>
  <c r="AL123" i="5" s="1"/>
  <c r="AR225" i="5"/>
  <c r="AS226" i="5" s="1"/>
  <c r="AS227" i="5" s="1"/>
  <c r="AS228" i="5" s="1"/>
  <c r="AV284" i="5"/>
  <c r="AW285" i="5" s="1"/>
  <c r="AW286" i="5" s="1"/>
  <c r="AW287" i="5" s="1"/>
  <c r="Z105" i="5"/>
  <c r="AA106" i="5" s="1"/>
  <c r="AA107" i="5" s="1"/>
  <c r="AA108" i="5" s="1"/>
  <c r="AK270" i="5"/>
  <c r="AL271" i="5" s="1"/>
  <c r="AL272" i="5" s="1"/>
  <c r="AL273" i="5" s="1"/>
  <c r="AT403" i="5"/>
  <c r="AU404" i="5" s="1"/>
  <c r="AU405" i="5" s="1"/>
  <c r="AU406" i="5" s="1"/>
  <c r="B126" i="5"/>
  <c r="G442" i="5" s="1"/>
  <c r="BI120" i="5"/>
  <c r="R91" i="5"/>
  <c r="S92" i="5" s="1"/>
  <c r="S93" i="5" s="1"/>
  <c r="S94" i="5" s="1"/>
  <c r="Q91" i="5"/>
  <c r="R92" i="5" s="1"/>
  <c r="R93" i="5" s="1"/>
  <c r="R94" i="5" s="1"/>
  <c r="T211" i="5"/>
  <c r="U212" i="5" s="1"/>
  <c r="U213" i="5" s="1"/>
  <c r="U214" i="5" s="1"/>
  <c r="AL180" i="5"/>
  <c r="AM181" i="5" s="1"/>
  <c r="AM182" i="5" s="1"/>
  <c r="AM183" i="5" s="1"/>
  <c r="K91" i="5"/>
  <c r="L92" i="5" s="1"/>
  <c r="L93" i="5" s="1"/>
  <c r="L94" i="5" s="1"/>
  <c r="AL91" i="5"/>
  <c r="AM92" i="5" s="1"/>
  <c r="AM93" i="5" s="1"/>
  <c r="AM94" i="5" s="1"/>
  <c r="W284" i="5"/>
  <c r="X285" i="5" s="1"/>
  <c r="X286" i="5" s="1"/>
  <c r="X287" i="5" s="1"/>
  <c r="AT315" i="5"/>
  <c r="AU316" i="5" s="1"/>
  <c r="AU317" i="5" s="1"/>
  <c r="AU318" i="5" s="1"/>
  <c r="BC225" i="5"/>
  <c r="BD226" i="5" s="1"/>
  <c r="BD227" i="5" s="1"/>
  <c r="BD228" i="5" s="1"/>
  <c r="AP91" i="5"/>
  <c r="AQ92" i="5" s="1"/>
  <c r="AQ93" i="5" s="1"/>
  <c r="AQ94" i="5" s="1"/>
  <c r="AG91" i="5"/>
  <c r="AH92" i="5" s="1"/>
  <c r="AH93" i="5" s="1"/>
  <c r="AH94" i="5" s="1"/>
  <c r="AK91" i="5"/>
  <c r="AL92" i="5" s="1"/>
  <c r="AL93" i="5" s="1"/>
  <c r="AL94" i="5" s="1"/>
  <c r="AV91" i="5"/>
  <c r="AW92" i="5" s="1"/>
  <c r="AW93" i="5" s="1"/>
  <c r="AW94" i="5" s="1"/>
  <c r="AK211" i="5"/>
  <c r="AL212" i="5" s="1"/>
  <c r="AL213" i="5" s="1"/>
  <c r="AL214" i="5" s="1"/>
  <c r="BI255" i="5"/>
  <c r="B261" i="5"/>
  <c r="AX240" i="5"/>
  <c r="AY241" i="5" s="1"/>
  <c r="AY242" i="5" s="1"/>
  <c r="AY243" i="5" s="1"/>
  <c r="AO165" i="5"/>
  <c r="AP166" i="5" s="1"/>
  <c r="AP167" i="5" s="1"/>
  <c r="AP168" i="5" s="1"/>
  <c r="AU255" i="5"/>
  <c r="AV256" i="5" s="1"/>
  <c r="AV257" i="5" s="1"/>
  <c r="AV258" i="5" s="1"/>
  <c r="AW284" i="5"/>
  <c r="AX285" i="5" s="1"/>
  <c r="AX286" i="5" s="1"/>
  <c r="AX287" i="5" s="1"/>
  <c r="AD255" i="5"/>
  <c r="AE256" i="5" s="1"/>
  <c r="AE257" i="5" s="1"/>
  <c r="AE258" i="5" s="1"/>
  <c r="AK359" i="5"/>
  <c r="AL360" i="5" s="1"/>
  <c r="AL361" i="5" s="1"/>
  <c r="AL362" i="5" s="1"/>
  <c r="U136" i="5"/>
  <c r="V137" i="5" s="1"/>
  <c r="V138" i="5" s="1"/>
  <c r="V139" i="5" s="1"/>
  <c r="AA225" i="5"/>
  <c r="AB226" i="5" s="1"/>
  <c r="AB227" i="5" s="1"/>
  <c r="AB228" i="5" s="1"/>
  <c r="AJ359" i="5"/>
  <c r="AK360" i="5" s="1"/>
  <c r="AK361" i="5" s="1"/>
  <c r="AK362" i="5" s="1"/>
  <c r="AD136" i="5"/>
  <c r="AE137" i="5" s="1"/>
  <c r="AE138" i="5" s="1"/>
  <c r="AE139" i="5" s="1"/>
  <c r="AL255" i="5"/>
  <c r="AM256" i="5" s="1"/>
  <c r="AM257" i="5" s="1"/>
  <c r="AM258" i="5" s="1"/>
  <c r="AS359" i="5"/>
  <c r="AT360" i="5" s="1"/>
  <c r="AT361" i="5" s="1"/>
  <c r="AT362" i="5" s="1"/>
  <c r="T136" i="5"/>
  <c r="U137" i="5" s="1"/>
  <c r="U138" i="5" s="1"/>
  <c r="U139" i="5" s="1"/>
  <c r="AA240" i="5"/>
  <c r="AB241" i="5" s="1"/>
  <c r="AB242" i="5" s="1"/>
  <c r="AB243" i="5" s="1"/>
  <c r="AI359" i="5"/>
  <c r="AJ360" i="5" s="1"/>
  <c r="AJ361" i="5" s="1"/>
  <c r="AJ362" i="5" s="1"/>
  <c r="R165" i="5"/>
  <c r="S166" i="5" s="1"/>
  <c r="S167" i="5" s="1"/>
  <c r="S168" i="5" s="1"/>
  <c r="X255" i="5"/>
  <c r="Y256" i="5" s="1"/>
  <c r="Y257" i="5" s="1"/>
  <c r="Y258" i="5" s="1"/>
  <c r="AI418" i="5"/>
  <c r="AJ419" i="5" s="1"/>
  <c r="AJ420" i="5" s="1"/>
  <c r="AJ421" i="5" s="1"/>
  <c r="BE165" i="5"/>
  <c r="BF166" i="5" s="1"/>
  <c r="BF167" i="5" s="1"/>
  <c r="BF168" i="5" s="1"/>
  <c r="R120" i="5"/>
  <c r="S121" i="5" s="1"/>
  <c r="S122" i="5" s="1"/>
  <c r="S123" i="5" s="1"/>
  <c r="Z240" i="5"/>
  <c r="AA241" i="5" s="1"/>
  <c r="AA242" i="5" s="1"/>
  <c r="AA243" i="5" s="1"/>
  <c r="AG344" i="5"/>
  <c r="AH345" i="5" s="1"/>
  <c r="AH346" i="5" s="1"/>
  <c r="AH347" i="5" s="1"/>
  <c r="BC120" i="5"/>
  <c r="BD121" i="5" s="1"/>
  <c r="BD122" i="5" s="1"/>
  <c r="BD123" i="5" s="1"/>
  <c r="AE136" i="5"/>
  <c r="AF137" i="5" s="1"/>
  <c r="AF138" i="5" s="1"/>
  <c r="AF139" i="5" s="1"/>
  <c r="AM255" i="5"/>
  <c r="AN256" i="5" s="1"/>
  <c r="AN257" i="5" s="1"/>
  <c r="AN258" i="5" s="1"/>
  <c r="AU374" i="5"/>
  <c r="AV375" i="5" s="1"/>
  <c r="AV376" i="5" s="1"/>
  <c r="AV377" i="5" s="1"/>
  <c r="M105" i="5"/>
  <c r="N106" i="5" s="1"/>
  <c r="N107" i="5" s="1"/>
  <c r="N108" i="5" s="1"/>
  <c r="W255" i="5"/>
  <c r="X256" i="5" s="1"/>
  <c r="X257" i="5" s="1"/>
  <c r="X258" i="5" s="1"/>
  <c r="AE374" i="5"/>
  <c r="AF375" i="5" s="1"/>
  <c r="AF376" i="5" s="1"/>
  <c r="AF377" i="5" s="1"/>
  <c r="AH120" i="5"/>
  <c r="AI121" i="5" s="1"/>
  <c r="AI122" i="5" s="1"/>
  <c r="AI123" i="5" s="1"/>
  <c r="AP240" i="5"/>
  <c r="AQ241" i="5" s="1"/>
  <c r="AQ242" i="5" s="1"/>
  <c r="AQ243" i="5" s="1"/>
  <c r="AY374" i="5"/>
  <c r="AZ375" i="5" s="1"/>
  <c r="AZ376" i="5" s="1"/>
  <c r="AZ377" i="5" s="1"/>
  <c r="P165" i="5"/>
  <c r="Q166" i="5" s="1"/>
  <c r="Q167" i="5" s="1"/>
  <c r="Q168" i="5" s="1"/>
  <c r="V255" i="5"/>
  <c r="W256" i="5" s="1"/>
  <c r="W257" i="5" s="1"/>
  <c r="W258" i="5" s="1"/>
  <c r="AC359" i="5"/>
  <c r="AD360" i="5" s="1"/>
  <c r="AD361" i="5" s="1"/>
  <c r="AD362" i="5" s="1"/>
  <c r="AM105" i="5"/>
  <c r="AN106" i="5" s="1"/>
  <c r="AN107" i="5" s="1"/>
  <c r="AN108" i="5" s="1"/>
  <c r="AX270" i="5"/>
  <c r="AY271" i="5" s="1"/>
  <c r="AY272" i="5" s="1"/>
  <c r="AY273" i="5" s="1"/>
  <c r="BH418" i="5"/>
  <c r="BI419" i="5" s="1"/>
  <c r="BI420" i="5" s="1"/>
  <c r="BI421" i="5" s="1"/>
  <c r="AT165" i="5"/>
  <c r="AU166" i="5" s="1"/>
  <c r="AU167" i="5" s="1"/>
  <c r="AU168" i="5" s="1"/>
  <c r="AY240" i="5"/>
  <c r="AZ241" i="5" s="1"/>
  <c r="AZ242" i="5" s="1"/>
  <c r="AZ243" i="5" s="1"/>
  <c r="BG359" i="5"/>
  <c r="BH360" i="5" s="1"/>
  <c r="BH361" i="5" s="1"/>
  <c r="BH362" i="5" s="1"/>
  <c r="M136" i="5"/>
  <c r="N137" i="5" s="1"/>
  <c r="N138" i="5" s="1"/>
  <c r="N139" i="5" s="1"/>
  <c r="S225" i="5"/>
  <c r="T226" i="5" s="1"/>
  <c r="T227" i="5" s="1"/>
  <c r="T228" i="5" s="1"/>
  <c r="AB359" i="5"/>
  <c r="AC360" i="5" s="1"/>
  <c r="AC361" i="5" s="1"/>
  <c r="AC362" i="5" s="1"/>
  <c r="AG120" i="5"/>
  <c r="AH121" i="5" s="1"/>
  <c r="AH122" i="5" s="1"/>
  <c r="AH123" i="5" s="1"/>
  <c r="AN241" i="5"/>
  <c r="AN242" i="5" s="1"/>
  <c r="AN243" i="5" s="1"/>
  <c r="AO240" i="5"/>
  <c r="AP241" i="5" s="1"/>
  <c r="AP242" i="5" s="1"/>
  <c r="AP243" i="5" s="1"/>
  <c r="AW359" i="5"/>
  <c r="AX360" i="5" s="1"/>
  <c r="AX361" i="5" s="1"/>
  <c r="AX362" i="5" s="1"/>
  <c r="AX165" i="5"/>
  <c r="AY166" i="5" s="1"/>
  <c r="AY167" i="5" s="1"/>
  <c r="AY168" i="5" s="1"/>
  <c r="BD255" i="5"/>
  <c r="BE256" i="5" s="1"/>
  <c r="BE257" i="5" s="1"/>
  <c r="BE258" i="5" s="1"/>
  <c r="AU105" i="5"/>
  <c r="AV106" i="5" s="1"/>
  <c r="AV107" i="5" s="1"/>
  <c r="AV108" i="5" s="1"/>
  <c r="BF270" i="5"/>
  <c r="BG271" i="5" s="1"/>
  <c r="BG272" i="5" s="1"/>
  <c r="BG273" i="5" s="1"/>
  <c r="U105" i="5"/>
  <c r="V106" i="5" s="1"/>
  <c r="V107" i="5" s="1"/>
  <c r="V108" i="5" s="1"/>
  <c r="AE255" i="5"/>
  <c r="AF256" i="5" s="1"/>
  <c r="AF257" i="5" s="1"/>
  <c r="AF258" i="5" s="1"/>
  <c r="AO403" i="5"/>
  <c r="AP404" i="5" s="1"/>
  <c r="AP405" i="5" s="1"/>
  <c r="AP406" i="5" s="1"/>
  <c r="BE120" i="5"/>
  <c r="BF121" i="5" s="1"/>
  <c r="BF122" i="5" s="1"/>
  <c r="BF123" i="5" s="1"/>
  <c r="AS136" i="5"/>
  <c r="AT137" i="5" s="1"/>
  <c r="AT138" i="5" s="1"/>
  <c r="AT139" i="5" s="1"/>
  <c r="AY225" i="5"/>
  <c r="AZ226" i="5" s="1"/>
  <c r="AZ227" i="5" s="1"/>
  <c r="AZ228" i="5" s="1"/>
  <c r="BH359" i="5"/>
  <c r="BI360" i="5" s="1"/>
  <c r="BI361" i="5" s="1"/>
  <c r="BI362" i="5" s="1"/>
  <c r="W105" i="5"/>
  <c r="X106" i="5" s="1"/>
  <c r="X107" i="5" s="1"/>
  <c r="X108" i="5" s="1"/>
  <c r="AH270" i="5"/>
  <c r="AI271" i="5" s="1"/>
  <c r="AI272" i="5" s="1"/>
  <c r="AI273" i="5" s="1"/>
  <c r="AR418" i="5"/>
  <c r="AS419" i="5" s="1"/>
  <c r="AS420" i="5" s="1"/>
  <c r="AS421" i="5" s="1"/>
  <c r="AJ136" i="5"/>
  <c r="AK137" i="5" s="1"/>
  <c r="AK138" i="5" s="1"/>
  <c r="AK139" i="5" s="1"/>
  <c r="AQ240" i="5"/>
  <c r="AR241" i="5" s="1"/>
  <c r="AR242" i="5" s="1"/>
  <c r="AR243" i="5" s="1"/>
  <c r="AY359" i="5"/>
  <c r="AZ360" i="5" s="1"/>
  <c r="AZ361" i="5" s="1"/>
  <c r="AZ362" i="5" s="1"/>
  <c r="Q120" i="5"/>
  <c r="R121" i="5" s="1"/>
  <c r="R122" i="5" s="1"/>
  <c r="R123" i="5" s="1"/>
  <c r="Y240" i="5"/>
  <c r="Z241" i="5" s="1"/>
  <c r="Z242" i="5" s="1"/>
  <c r="Z243" i="5" s="1"/>
  <c r="AK418" i="5"/>
  <c r="AL419" i="5" s="1"/>
  <c r="AL420" i="5" s="1"/>
  <c r="AL421" i="5" s="1"/>
  <c r="AM120" i="5"/>
  <c r="AN121" i="5" s="1"/>
  <c r="AN122" i="5" s="1"/>
  <c r="AN123" i="5" s="1"/>
  <c r="AV255" i="5"/>
  <c r="AW256" i="5" s="1"/>
  <c r="AW257" i="5" s="1"/>
  <c r="AW258" i="5" s="1"/>
  <c r="BG418" i="5"/>
  <c r="BH419" i="5" s="1"/>
  <c r="BH420" i="5" s="1"/>
  <c r="BH421" i="5" s="1"/>
  <c r="AE105" i="5"/>
  <c r="AF106" i="5" s="1"/>
  <c r="AF107" i="5" s="1"/>
  <c r="AF108" i="5" s="1"/>
  <c r="AP270" i="5"/>
  <c r="AQ271" i="5" s="1"/>
  <c r="AQ272" i="5" s="1"/>
  <c r="AQ273" i="5" s="1"/>
  <c r="AZ418" i="5"/>
  <c r="BA419" i="5" s="1"/>
  <c r="BA420" i="5" s="1"/>
  <c r="BA421" i="5" s="1"/>
  <c r="AX120" i="5"/>
  <c r="AY121" i="5" s="1"/>
  <c r="AY122" i="5" s="1"/>
  <c r="AY123" i="5" s="1"/>
  <c r="BF240" i="5"/>
  <c r="BG241" i="5" s="1"/>
  <c r="BG242" i="5" s="1"/>
  <c r="BG243" i="5" s="1"/>
  <c r="BI136" i="5"/>
  <c r="B142" i="5"/>
  <c r="AW120" i="5"/>
  <c r="AX121" i="5" s="1"/>
  <c r="AX122" i="5" s="1"/>
  <c r="AX123" i="5" s="1"/>
  <c r="BE240" i="5"/>
  <c r="BF241" i="5" s="1"/>
  <c r="BF242" i="5" s="1"/>
  <c r="BF243" i="5" s="1"/>
  <c r="BH284" i="5"/>
  <c r="BI285" i="5" s="1"/>
  <c r="BI286" i="5" s="1"/>
  <c r="BI287" i="5" s="1"/>
  <c r="BG120" i="5"/>
  <c r="BH121" i="5" s="1"/>
  <c r="BH122" i="5" s="1"/>
  <c r="BH123" i="5" s="1"/>
  <c r="BB136" i="5"/>
  <c r="BC137" i="5" s="1"/>
  <c r="BC138" i="5" s="1"/>
  <c r="BC139" i="5" s="1"/>
  <c r="BC105" i="5"/>
  <c r="BD106" i="5" s="1"/>
  <c r="BD107" i="5" s="1"/>
  <c r="BD108" i="5" s="1"/>
  <c r="AH165" i="5"/>
  <c r="AI166" i="5" s="1"/>
  <c r="AI167" i="5" s="1"/>
  <c r="AI168" i="5" s="1"/>
  <c r="AN255" i="5"/>
  <c r="AO256" i="5" s="1"/>
  <c r="AO257" i="5" s="1"/>
  <c r="AO258" i="5" s="1"/>
  <c r="AY418" i="5"/>
  <c r="AZ419" i="5" s="1"/>
  <c r="AZ420" i="5" s="1"/>
  <c r="AZ421" i="5" s="1"/>
  <c r="Y120" i="5"/>
  <c r="Z121" i="5" s="1"/>
  <c r="Z122" i="5" s="1"/>
  <c r="Z123" i="5" s="1"/>
  <c r="AG240" i="5"/>
  <c r="AH241" i="5" s="1"/>
  <c r="AH242" i="5" s="1"/>
  <c r="AH243" i="5" s="1"/>
  <c r="AQ389" i="5"/>
  <c r="AR390" i="5" s="1"/>
  <c r="AR391" i="5" s="1"/>
  <c r="AR392" i="5" s="1"/>
  <c r="BA136" i="5"/>
  <c r="BB137" i="5" s="1"/>
  <c r="BB138" i="5" s="1"/>
  <c r="BB139" i="5" s="1"/>
  <c r="BG225" i="5"/>
  <c r="BH226" i="5" s="1"/>
  <c r="BH227" i="5" s="1"/>
  <c r="BH228" i="5" s="1"/>
  <c r="AO120" i="5"/>
  <c r="AP121" i="5" s="1"/>
  <c r="AP122" i="5" s="1"/>
  <c r="AP123" i="5" s="1"/>
  <c r="AV241" i="5"/>
  <c r="AV242" i="5" s="1"/>
  <c r="AV243" i="5" s="1"/>
  <c r="AW240" i="5"/>
  <c r="AX241" i="5" s="1"/>
  <c r="AX242" i="5" s="1"/>
  <c r="AX243" i="5" s="1"/>
  <c r="BE359" i="5"/>
  <c r="BF360" i="5" s="1"/>
  <c r="BF361" i="5" s="1"/>
  <c r="BF362" i="5" s="1"/>
  <c r="AY120" i="5"/>
  <c r="AZ121" i="5" s="1"/>
  <c r="AZ122" i="5" s="1"/>
  <c r="AZ123" i="5" s="1"/>
  <c r="BG240" i="5"/>
  <c r="BH241" i="5" s="1"/>
  <c r="BH242" i="5" s="1"/>
  <c r="BH243" i="5" s="1"/>
  <c r="W120" i="5"/>
  <c r="X121" i="5" s="1"/>
  <c r="X122" i="5" s="1"/>
  <c r="X123" i="5" s="1"/>
  <c r="AF255" i="5"/>
  <c r="AG256" i="5" s="1"/>
  <c r="AG257" i="5" s="1"/>
  <c r="AG258" i="5" s="1"/>
  <c r="AQ418" i="5"/>
  <c r="AR419" i="5" s="1"/>
  <c r="AR420" i="5" s="1"/>
  <c r="AR421" i="5" s="1"/>
  <c r="AK136" i="5"/>
  <c r="AL137" i="5" s="1"/>
  <c r="AL138" i="5" s="1"/>
  <c r="AL139" i="5" s="1"/>
  <c r="AQ225" i="5"/>
  <c r="AR226" i="5" s="1"/>
  <c r="AR227" i="5" s="1"/>
  <c r="AR228" i="5" s="1"/>
  <c r="AZ359" i="5"/>
  <c r="BA360" i="5" s="1"/>
  <c r="BA361" i="5" s="1"/>
  <c r="BA362" i="5" s="1"/>
  <c r="BF120" i="5"/>
  <c r="BG121" i="5" s="1"/>
  <c r="BG122" i="5" s="1"/>
  <c r="BG123" i="5" s="1"/>
  <c r="O105" i="5"/>
  <c r="P106" i="5" s="1"/>
  <c r="P107" i="5" s="1"/>
  <c r="P108" i="5" s="1"/>
  <c r="V271" i="5"/>
  <c r="V272" i="5" s="1"/>
  <c r="V273" i="5" s="1"/>
  <c r="Z270" i="5"/>
  <c r="AA271" i="5" s="1"/>
  <c r="AA272" i="5" s="1"/>
  <c r="AA273" i="5" s="1"/>
  <c r="AJ418" i="5"/>
  <c r="AK419" i="5" s="1"/>
  <c r="AK420" i="5" s="1"/>
  <c r="AK421" i="5" s="1"/>
  <c r="Z120" i="5"/>
  <c r="AA121" i="5" s="1"/>
  <c r="AA122" i="5" s="1"/>
  <c r="AA123" i="5" s="1"/>
  <c r="AH240" i="5"/>
  <c r="AI241" i="5" s="1"/>
  <c r="AI242" i="5" s="1"/>
  <c r="AI243" i="5" s="1"/>
  <c r="AS403" i="5"/>
  <c r="AT404" i="5" s="1"/>
  <c r="AT405" i="5" s="1"/>
  <c r="AT406" i="5" s="1"/>
  <c r="AU136" i="5"/>
  <c r="AV137" i="5" s="1"/>
  <c r="AV138" i="5" s="1"/>
  <c r="AV139" i="5" s="1"/>
  <c r="BC255" i="5"/>
  <c r="BD256" i="5" s="1"/>
  <c r="BD257" i="5" s="1"/>
  <c r="BD258" i="5" s="1"/>
  <c r="BE284" i="5"/>
  <c r="BF285" i="5" s="1"/>
  <c r="BF286" i="5" s="1"/>
  <c r="BF287" i="5" s="1"/>
  <c r="AT136" i="5"/>
  <c r="AU137" i="5" s="1"/>
  <c r="AU138" i="5" s="1"/>
  <c r="AU139" i="5" s="1"/>
  <c r="BB255" i="5"/>
  <c r="BC256" i="5" s="1"/>
  <c r="BC257" i="5" s="1"/>
  <c r="BC258" i="5" s="1"/>
  <c r="BI359" i="5"/>
  <c r="B365" i="5" s="1"/>
  <c r="AC136" i="5"/>
  <c r="AD137" i="5" s="1"/>
  <c r="AD138" i="5" s="1"/>
  <c r="AD139" i="5" s="1"/>
  <c r="AI225" i="5"/>
  <c r="AJ226" i="5" s="1"/>
  <c r="AJ227" i="5" s="1"/>
  <c r="AJ228" i="5" s="1"/>
  <c r="AR359" i="5"/>
  <c r="AS360" i="5" s="1"/>
  <c r="AS361" i="5" s="1"/>
  <c r="AS362" i="5" s="1"/>
  <c r="AL136" i="5"/>
  <c r="AM137" i="5" s="1"/>
  <c r="AM138" i="5" s="1"/>
  <c r="AM139" i="5" s="1"/>
  <c r="AT255" i="5"/>
  <c r="AU256" i="5" s="1"/>
  <c r="AU257" i="5" s="1"/>
  <c r="AU258" i="5" s="1"/>
  <c r="BA359" i="5"/>
  <c r="BB360" i="5" s="1"/>
  <c r="BB361" i="5" s="1"/>
  <c r="BB362" i="5" s="1"/>
  <c r="AA120" i="5"/>
  <c r="AB121" i="5" s="1"/>
  <c r="AB122" i="5" s="1"/>
  <c r="AB123" i="5" s="1"/>
  <c r="AI240" i="5"/>
  <c r="AJ241" i="5" s="1"/>
  <c r="AJ242" i="5" s="1"/>
  <c r="AJ243" i="5" s="1"/>
  <c r="AQ359" i="5"/>
  <c r="AR360" i="5" s="1"/>
  <c r="AR361" i="5" s="1"/>
  <c r="AR362" i="5" s="1"/>
  <c r="AJ330" i="5"/>
  <c r="AK331" i="5" s="1"/>
  <c r="AK332" i="5" s="1"/>
  <c r="AK333" i="5" s="1"/>
  <c r="AM180" i="5"/>
  <c r="AN181" i="5" s="1"/>
  <c r="AN182" i="5" s="1"/>
  <c r="AN183" i="5" s="1"/>
  <c r="BE91" i="5"/>
  <c r="BF92" i="5" s="1"/>
  <c r="BF93" i="5" s="1"/>
  <c r="BF94" i="5" s="1"/>
  <c r="BI240" i="5"/>
  <c r="B246" i="5"/>
  <c r="AP284" i="5"/>
  <c r="AQ285" i="5" s="1"/>
  <c r="AQ286" i="5" s="1"/>
  <c r="AQ287" i="5" s="1"/>
  <c r="AM91" i="5"/>
  <c r="AN92" i="5" s="1"/>
  <c r="AN93" i="5" s="1"/>
  <c r="AN94" i="5" s="1"/>
  <c r="AK330" i="5"/>
  <c r="AL331" i="5" s="1"/>
  <c r="AL332" i="5" s="1"/>
  <c r="AL333" i="5" s="1"/>
  <c r="BA240" i="5"/>
  <c r="BB241" i="5" s="1"/>
  <c r="BB242" i="5" s="1"/>
  <c r="BB243" i="5" s="1"/>
  <c r="AO315" i="5"/>
  <c r="AP316" i="5" s="1"/>
  <c r="AP317" i="5" s="1"/>
  <c r="AP318" i="5" s="1"/>
  <c r="Y91" i="5"/>
  <c r="Z92" i="5" s="1"/>
  <c r="Z93" i="5" s="1"/>
  <c r="Z94" i="5" s="1"/>
  <c r="AF196" i="5"/>
  <c r="AG197" i="5" s="1"/>
  <c r="AG198" i="5" s="1"/>
  <c r="AG199" i="5" s="1"/>
  <c r="BD330" i="5"/>
  <c r="BE331" i="5" s="1"/>
  <c r="BE332" i="5" s="1"/>
  <c r="BE333" i="5" s="1"/>
  <c r="BI403" i="5"/>
  <c r="B409" i="5" s="1"/>
  <c r="AN151" i="5"/>
  <c r="AO152" i="5" s="1"/>
  <c r="AO153" i="5" s="1"/>
  <c r="AO154" i="5" s="1"/>
  <c r="BD389" i="5"/>
  <c r="BE390" i="5" s="1"/>
  <c r="BE391" i="5" s="1"/>
  <c r="BE392" i="5" s="1"/>
  <c r="BF418" i="5"/>
  <c r="BG419" i="5" s="1"/>
  <c r="BG420" i="5" s="1"/>
  <c r="BG421" i="5" s="1"/>
  <c r="AJ344" i="5"/>
  <c r="AK345" i="5" s="1"/>
  <c r="AK346" i="5" s="1"/>
  <c r="AK347" i="5" s="1"/>
  <c r="AM389" i="5"/>
  <c r="AN390" i="5" s="1"/>
  <c r="AN391" i="5" s="1"/>
  <c r="AN392" i="5" s="1"/>
  <c r="W165" i="5"/>
  <c r="X166" i="5" s="1"/>
  <c r="X167" i="5" s="1"/>
  <c r="X168" i="5" s="1"/>
  <c r="AG315" i="5"/>
  <c r="AH316" i="5" s="1"/>
  <c r="AH317" i="5" s="1"/>
  <c r="AH318" i="5" s="1"/>
  <c r="AL389" i="5"/>
  <c r="AM390" i="5" s="1"/>
  <c r="AM391" i="5" s="1"/>
  <c r="AM392" i="5" s="1"/>
  <c r="AF165" i="5"/>
  <c r="AG166" i="5" s="1"/>
  <c r="AG167" i="5" s="1"/>
  <c r="AG168" i="5" s="1"/>
  <c r="AR344" i="5"/>
  <c r="AS345" i="5" s="1"/>
  <c r="AS346" i="5" s="1"/>
  <c r="AS347" i="5" s="1"/>
  <c r="AU389" i="5"/>
  <c r="AV390" i="5" s="1"/>
  <c r="AV391" i="5" s="1"/>
  <c r="AV392" i="5" s="1"/>
  <c r="V165" i="5"/>
  <c r="W166" i="5" s="1"/>
  <c r="W167" i="5" s="1"/>
  <c r="W168" i="5" s="1"/>
  <c r="AD284" i="5"/>
  <c r="AE285" i="5" s="1"/>
  <c r="AE286" i="5" s="1"/>
  <c r="AE287" i="5" s="1"/>
  <c r="AK389" i="5"/>
  <c r="AL390" i="5" s="1"/>
  <c r="AL391" i="5" s="1"/>
  <c r="AL392" i="5" s="1"/>
  <c r="Q151" i="5"/>
  <c r="R152" i="5" s="1"/>
  <c r="R153" i="5" s="1"/>
  <c r="R154" i="5" s="1"/>
  <c r="AA299" i="5"/>
  <c r="AB300" i="5" s="1"/>
  <c r="AB301" i="5" s="1"/>
  <c r="AB302" i="5" s="1"/>
  <c r="AF374" i="5"/>
  <c r="AG375" i="5" s="1"/>
  <c r="AG376" i="5" s="1"/>
  <c r="AG377" i="5" s="1"/>
  <c r="BD151" i="5"/>
  <c r="BE152" i="5" s="1"/>
  <c r="BE153" i="5" s="1"/>
  <c r="BE154" i="5" s="1"/>
  <c r="S136" i="5"/>
  <c r="T137" i="5" s="1"/>
  <c r="T138" i="5" s="1"/>
  <c r="T139" i="5" s="1"/>
  <c r="AF330" i="5"/>
  <c r="AG331" i="5" s="1"/>
  <c r="AG332" i="5" s="1"/>
  <c r="AG333" i="5" s="1"/>
  <c r="AL418" i="5"/>
  <c r="AM419" i="5" s="1"/>
  <c r="AM420" i="5" s="1"/>
  <c r="AM421" i="5" s="1"/>
  <c r="BE151" i="5"/>
  <c r="BF152" i="5" s="1"/>
  <c r="BF153" i="5" s="1"/>
  <c r="BF154" i="5" s="1"/>
  <c r="AG165" i="5"/>
  <c r="AH166" i="5" s="1"/>
  <c r="AH167" i="5" s="1"/>
  <c r="AH168" i="5" s="1"/>
  <c r="AS344" i="5"/>
  <c r="AT345" i="5" s="1"/>
  <c r="AT346" i="5" s="1"/>
  <c r="AT347" i="5" s="1"/>
  <c r="AO284" i="5"/>
  <c r="AP285" i="5" s="1"/>
  <c r="AP286" i="5" s="1"/>
  <c r="AP287" i="5" s="1"/>
  <c r="P151" i="5"/>
  <c r="Q152" i="5" s="1"/>
  <c r="Q153" i="5" s="1"/>
  <c r="Q154" i="5" s="1"/>
  <c r="AC344" i="5"/>
  <c r="AD345" i="5" s="1"/>
  <c r="AD346" i="5" s="1"/>
  <c r="AD347" i="5" s="1"/>
  <c r="Y284" i="5"/>
  <c r="Z285" i="5" s="1"/>
  <c r="Z286" i="5" s="1"/>
  <c r="Z287" i="5" s="1"/>
  <c r="AI136" i="5"/>
  <c r="AJ137" i="5" s="1"/>
  <c r="AJ138" i="5" s="1"/>
  <c r="AJ139" i="5" s="1"/>
  <c r="AT299" i="5"/>
  <c r="AU300" i="5" s="1"/>
  <c r="AU301" i="5" s="1"/>
  <c r="AU302" i="5" s="1"/>
  <c r="AX359" i="5"/>
  <c r="AY360" i="5" s="1"/>
  <c r="AY361" i="5" s="1"/>
  <c r="AY362" i="5" s="1"/>
  <c r="L105" i="5"/>
  <c r="M106" i="5" s="1"/>
  <c r="M107" i="5" s="1"/>
  <c r="M108" i="5" s="1"/>
  <c r="AB344" i="5"/>
  <c r="AC345" i="5" s="1"/>
  <c r="AC346" i="5" s="1"/>
  <c r="AC347" i="5" s="1"/>
  <c r="AE389" i="5"/>
  <c r="AF390" i="5" s="1"/>
  <c r="AF391" i="5" s="1"/>
  <c r="AF392" i="5" s="1"/>
  <c r="AN120" i="5"/>
  <c r="AO121" i="5" s="1"/>
  <c r="AO122" i="5" s="1"/>
  <c r="AO123" i="5" s="1"/>
  <c r="BB330" i="5"/>
  <c r="BC331" i="5" s="1"/>
  <c r="BC332" i="5" s="1"/>
  <c r="BC333" i="5" s="1"/>
  <c r="BE374" i="5"/>
  <c r="BF375" i="5" s="1"/>
  <c r="BF376" i="5" s="1"/>
  <c r="BF377" i="5" s="1"/>
  <c r="BB284" i="5"/>
  <c r="BC285" i="5" s="1"/>
  <c r="BC286" i="5" s="1"/>
  <c r="BC287" i="5" s="1"/>
  <c r="BI389" i="5"/>
  <c r="B395" i="5" s="1"/>
  <c r="O165" i="5"/>
  <c r="P166" i="5" s="1"/>
  <c r="P167" i="5" s="1"/>
  <c r="P168" i="5" s="1"/>
  <c r="Y315" i="5"/>
  <c r="Z316" i="5" s="1"/>
  <c r="Z317" i="5" s="1"/>
  <c r="Z318" i="5" s="1"/>
  <c r="AD389" i="5"/>
  <c r="AE390" i="5" s="1"/>
  <c r="AE391" i="5" s="1"/>
  <c r="AE392" i="5" s="1"/>
  <c r="AH136" i="5"/>
  <c r="AI137" i="5" s="1"/>
  <c r="AI138" i="5" s="1"/>
  <c r="AI139" i="5" s="1"/>
  <c r="BA418" i="5"/>
  <c r="BB419" i="5" s="1"/>
  <c r="BB420" i="5" s="1"/>
  <c r="BB421" i="5" s="1"/>
  <c r="AX374" i="5"/>
  <c r="AY375" i="5" s="1"/>
  <c r="AY376" i="5" s="1"/>
  <c r="AY377" i="5" s="1"/>
  <c r="AW151" i="5"/>
  <c r="AX152" i="5" s="1"/>
  <c r="AX153" i="5" s="1"/>
  <c r="AX154" i="5" s="1"/>
  <c r="BG299" i="5"/>
  <c r="BH300" i="5" s="1"/>
  <c r="BH301" i="5" s="1"/>
  <c r="BH302" i="5" s="1"/>
  <c r="AV120" i="5"/>
  <c r="AW121" i="5" s="1"/>
  <c r="AW122" i="5" s="1"/>
  <c r="AW123" i="5" s="1"/>
  <c r="Y165" i="5"/>
  <c r="Z166" i="5" s="1"/>
  <c r="Z167" i="5" s="1"/>
  <c r="Z168" i="5" s="1"/>
  <c r="AM374" i="5"/>
  <c r="AN375" i="5" s="1"/>
  <c r="AN376" i="5" s="1"/>
  <c r="AN377" i="5" s="1"/>
  <c r="AG284" i="5"/>
  <c r="AH285" i="5" s="1"/>
  <c r="AH286" i="5" s="1"/>
  <c r="AH287" i="5" s="1"/>
  <c r="BF136" i="5"/>
  <c r="BG137" i="5" s="1"/>
  <c r="BG138" i="5" s="1"/>
  <c r="BG139" i="5" s="1"/>
  <c r="AU165" i="5"/>
  <c r="AV166" i="5" s="1"/>
  <c r="AV167" i="5" s="1"/>
  <c r="AV168" i="5" s="1"/>
  <c r="BD299" i="5"/>
  <c r="BE300" i="5" s="1"/>
  <c r="BE301" i="5" s="1"/>
  <c r="BE302" i="5" s="1"/>
  <c r="X120" i="5"/>
  <c r="Y121" i="5" s="1"/>
  <c r="Y122" i="5" s="1"/>
  <c r="Y123" i="5" s="1"/>
  <c r="AL330" i="5"/>
  <c r="AM331" i="5" s="1"/>
  <c r="AM332" i="5" s="1"/>
  <c r="AM333" i="5" s="1"/>
  <c r="AO374" i="5"/>
  <c r="AP375" i="5" s="1"/>
  <c r="AP376" i="5" s="1"/>
  <c r="AP377" i="5" s="1"/>
  <c r="AL165" i="5"/>
  <c r="AM166" i="5" s="1"/>
  <c r="AM167" i="5" s="1"/>
  <c r="AM168" i="5" s="1"/>
  <c r="AV315" i="5"/>
  <c r="AW316" i="5" s="1"/>
  <c r="AW317" i="5" s="1"/>
  <c r="AW318" i="5" s="1"/>
  <c r="BA389" i="5"/>
  <c r="BB390" i="5" s="1"/>
  <c r="BB391" i="5" s="1"/>
  <c r="BB392" i="5" s="1"/>
  <c r="R136" i="5"/>
  <c r="S137" i="5" s="1"/>
  <c r="S138" i="5" s="1"/>
  <c r="S139" i="5" s="1"/>
  <c r="AE330" i="5"/>
  <c r="AF331" i="5" s="1"/>
  <c r="AF332" i="5" s="1"/>
  <c r="AF333" i="5" s="1"/>
  <c r="AH374" i="5"/>
  <c r="AI375" i="5" s="1"/>
  <c r="AI376" i="5" s="1"/>
  <c r="AI377" i="5" s="1"/>
  <c r="AO151" i="5"/>
  <c r="AP152" i="5" s="1"/>
  <c r="AP153" i="5" s="1"/>
  <c r="AP154" i="5" s="1"/>
  <c r="BA330" i="5"/>
  <c r="BB331" i="5" s="1"/>
  <c r="BB332" i="5" s="1"/>
  <c r="BB333" i="5" s="1"/>
  <c r="BD374" i="5"/>
  <c r="BE375" i="5" s="1"/>
  <c r="BE376" i="5" s="1"/>
  <c r="BE377" i="5" s="1"/>
  <c r="AF120" i="5"/>
  <c r="AG121" i="5" s="1"/>
  <c r="AG122" i="5" s="1"/>
  <c r="AG123" i="5" s="1"/>
  <c r="AT330" i="5"/>
  <c r="AU331" i="5" s="1"/>
  <c r="AU332" i="5" s="1"/>
  <c r="AU333" i="5" s="1"/>
  <c r="AW374" i="5"/>
  <c r="AX375" i="5" s="1"/>
  <c r="AX376" i="5" s="1"/>
  <c r="AX377" i="5" s="1"/>
  <c r="AY136" i="5"/>
  <c r="AZ137" i="5" s="1"/>
  <c r="AZ138" i="5" s="1"/>
  <c r="AZ139" i="5" s="1"/>
  <c r="AX136" i="5"/>
  <c r="AY137" i="5" s="1"/>
  <c r="AY138" i="5" s="1"/>
  <c r="AY139" i="5" s="1"/>
  <c r="BH136" i="5"/>
  <c r="BI137" i="5" s="1"/>
  <c r="BI138" i="5" s="1"/>
  <c r="BI139" i="5" s="1"/>
  <c r="BD165" i="5"/>
  <c r="BE166" i="5" s="1"/>
  <c r="BE167" i="5" s="1"/>
  <c r="BE168" i="5" s="1"/>
  <c r="BD120" i="5"/>
  <c r="BE121" i="5" s="1"/>
  <c r="BE122" i="5" s="1"/>
  <c r="BE123" i="5" s="1"/>
  <c r="AG151" i="5"/>
  <c r="AH152" i="5" s="1"/>
  <c r="AH153" i="5" s="1"/>
  <c r="AH154" i="5" s="1"/>
  <c r="AS330" i="5"/>
  <c r="AT331" i="5" s="1"/>
  <c r="AT332" i="5" s="1"/>
  <c r="AT333" i="5" s="1"/>
  <c r="AV374" i="5"/>
  <c r="AW375" i="5" s="1"/>
  <c r="AW376" i="5" s="1"/>
  <c r="AW377" i="5" s="1"/>
  <c r="Z136" i="5"/>
  <c r="AA137" i="5" s="1"/>
  <c r="AA138" i="5" s="1"/>
  <c r="AA139" i="5" s="1"/>
  <c r="AM330" i="5"/>
  <c r="AN331" i="5" s="1"/>
  <c r="AN332" i="5" s="1"/>
  <c r="AN333" i="5" s="1"/>
  <c r="AP374" i="5"/>
  <c r="AQ375" i="5" s="1"/>
  <c r="AQ376" i="5" s="1"/>
  <c r="AQ377" i="5" s="1"/>
  <c r="BC165" i="5"/>
  <c r="BD166" i="5" s="1"/>
  <c r="BD167" i="5" s="1"/>
  <c r="BD168" i="5" s="1"/>
  <c r="AP136" i="5"/>
  <c r="AQ137" i="5" s="1"/>
  <c r="AQ138" i="5" s="1"/>
  <c r="AQ139" i="5" s="1"/>
  <c r="BG389" i="5"/>
  <c r="BH390" i="5" s="1"/>
  <c r="BH391" i="5" s="1"/>
  <c r="BH392" i="5" s="1"/>
  <c r="BF374" i="5"/>
  <c r="BG375" i="5" s="1"/>
  <c r="BG376" i="5" s="1"/>
  <c r="BG377" i="5" s="1"/>
  <c r="AZ136" i="5"/>
  <c r="BA137" i="5" s="1"/>
  <c r="BA138" i="5" s="1"/>
  <c r="BA139" i="5" s="1"/>
  <c r="Y151" i="5"/>
  <c r="Z152" i="5" s="1"/>
  <c r="Z153" i="5" s="1"/>
  <c r="Z154" i="5" s="1"/>
  <c r="AI299" i="5"/>
  <c r="AJ300" i="5" s="1"/>
  <c r="AJ301" i="5" s="1"/>
  <c r="AJ302" i="5" s="1"/>
  <c r="AN374" i="5"/>
  <c r="AO375" i="5" s="1"/>
  <c r="AO376" i="5" s="1"/>
  <c r="AO377" i="5" s="1"/>
  <c r="AM165" i="5"/>
  <c r="AN166" i="5" s="1"/>
  <c r="AN167" i="5" s="1"/>
  <c r="AN168" i="5" s="1"/>
  <c r="AU284" i="5"/>
  <c r="AV285" i="5" s="1"/>
  <c r="AV286" i="5" s="1"/>
  <c r="AV287" i="5" s="1"/>
  <c r="BB389" i="5"/>
  <c r="BC390" i="5" s="1"/>
  <c r="BC391" i="5" s="1"/>
  <c r="BC392" i="5" s="1"/>
  <c r="BG136" i="5"/>
  <c r="BH137" i="5" s="1"/>
  <c r="BH138" i="5" s="1"/>
  <c r="BH139" i="5" s="1"/>
  <c r="P120" i="5"/>
  <c r="Q121" i="5" s="1"/>
  <c r="Q122" i="5" s="1"/>
  <c r="Q123" i="5" s="1"/>
  <c r="AD330" i="5"/>
  <c r="AE331" i="5" s="1"/>
  <c r="AE332" i="5" s="1"/>
  <c r="AE333" i="5" s="1"/>
  <c r="AG374" i="5"/>
  <c r="AH375" i="5" s="1"/>
  <c r="AH376" i="5" s="1"/>
  <c r="AH377" i="5" s="1"/>
  <c r="AA136" i="5"/>
  <c r="AB137" i="5" s="1"/>
  <c r="AB138" i="5" s="1"/>
  <c r="AB139" i="5" s="1"/>
  <c r="AL299" i="5"/>
  <c r="AM300" i="5" s="1"/>
  <c r="AM301" i="5" s="1"/>
  <c r="AM302" i="5" s="1"/>
  <c r="AR389" i="5"/>
  <c r="AS390" i="5" s="1"/>
  <c r="AS391" i="5" s="1"/>
  <c r="AS392" i="5" s="1"/>
  <c r="AW165" i="5"/>
  <c r="AX166" i="5" s="1"/>
  <c r="AX167" i="5" s="1"/>
  <c r="AX168" i="5" s="1"/>
  <c r="BI344" i="5"/>
  <c r="B350" i="5" s="1"/>
  <c r="AV165" i="5"/>
  <c r="AW166" i="5" s="1"/>
  <c r="AW167" i="5" s="1"/>
  <c r="AW168" i="5" s="1"/>
  <c r="BH344" i="5"/>
  <c r="BI345" i="5" s="1"/>
  <c r="BI346" i="5" s="1"/>
  <c r="BI347" i="5" s="1"/>
  <c r="AE165" i="5"/>
  <c r="AF166" i="5" s="1"/>
  <c r="AF167" i="5" s="1"/>
  <c r="AF168" i="5" s="1"/>
  <c r="AM284" i="5"/>
  <c r="AN285" i="5" s="1"/>
  <c r="AN286" i="5" s="1"/>
  <c r="AN287" i="5" s="1"/>
  <c r="AT389" i="5"/>
  <c r="AU390" i="5" s="1"/>
  <c r="AU391" i="5" s="1"/>
  <c r="AU392" i="5" s="1"/>
  <c r="AN165" i="5"/>
  <c r="AO166" i="5" s="1"/>
  <c r="AO167" i="5" s="1"/>
  <c r="AO168" i="5" s="1"/>
  <c r="AZ344" i="5"/>
  <c r="BA345" i="5" s="1"/>
  <c r="BA346" i="5" s="1"/>
  <c r="BA347" i="5" s="1"/>
  <c r="BC389" i="5"/>
  <c r="BD390" i="5" s="1"/>
  <c r="BD391" i="5" s="1"/>
  <c r="BD392" i="5" s="1"/>
  <c r="AB136" i="5"/>
  <c r="AC137" i="5" s="1"/>
  <c r="AC138" i="5" s="1"/>
  <c r="AC139" i="5" s="1"/>
  <c r="AL284" i="5"/>
  <c r="AM285" i="5" s="1"/>
  <c r="AM286" i="5" s="1"/>
  <c r="AM287" i="5" s="1"/>
  <c r="AS389" i="5"/>
  <c r="AT390" i="5" s="1"/>
  <c r="AT391" i="5" s="1"/>
  <c r="AT392" i="5" s="1"/>
  <c r="AJ211" i="5"/>
  <c r="AK212" i="5" s="1"/>
  <c r="AK213" i="5" s="1"/>
  <c r="AK214" i="5" s="1"/>
  <c r="AV330" i="5"/>
  <c r="AW331" i="5" s="1"/>
  <c r="AW332" i="5" s="1"/>
  <c r="AW333" i="5" s="1"/>
  <c r="AL196" i="5"/>
  <c r="AM197" i="5" s="1"/>
  <c r="AM198" i="5" s="1"/>
  <c r="AM199" i="5" s="1"/>
  <c r="T91" i="5"/>
  <c r="U92" i="5" s="1"/>
  <c r="U93" i="5" s="1"/>
  <c r="U94" i="5" s="1"/>
  <c r="AK315" i="5"/>
  <c r="AL316" i="5" s="1"/>
  <c r="AL317" i="5" s="1"/>
  <c r="AL318" i="5" s="1"/>
  <c r="AD315" i="5"/>
  <c r="AE316" i="5" s="1"/>
  <c r="AE317" i="5" s="1"/>
  <c r="AE318" i="5" s="1"/>
  <c r="AR299" i="5"/>
  <c r="AS300" i="5" s="1"/>
  <c r="AS301" i="5" s="1"/>
  <c r="AS302" i="5" s="1"/>
  <c r="BA180" i="5"/>
  <c r="BB181" i="5" s="1"/>
  <c r="BB182" i="5" s="1"/>
  <c r="BB183" i="5" s="1"/>
  <c r="AH91" i="5"/>
  <c r="AI92" i="5" s="1"/>
  <c r="AI93" i="5" s="1"/>
  <c r="AI94" i="5" s="1"/>
  <c r="N91" i="5"/>
  <c r="O92" i="5" s="1"/>
  <c r="O93" i="5" s="1"/>
  <c r="O94" i="5" s="1"/>
  <c r="X91" i="5"/>
  <c r="Y92" i="5" s="1"/>
  <c r="Y93" i="5" s="1"/>
  <c r="Y94" i="5" s="1"/>
  <c r="AR91" i="5"/>
  <c r="AS92" i="5" s="1"/>
  <c r="AS93" i="5" s="1"/>
  <c r="AS94" i="5" s="1"/>
  <c r="AQ91" i="5"/>
  <c r="AR92" i="5" s="1"/>
  <c r="AR93" i="5" s="1"/>
  <c r="AR94" i="5" s="1"/>
  <c r="AI91" i="5"/>
  <c r="AJ92" i="5" s="1"/>
  <c r="AJ93" i="5" s="1"/>
  <c r="AJ94" i="5" s="1"/>
  <c r="AV211" i="5"/>
  <c r="AW212" i="5" s="1"/>
  <c r="AW213" i="5" s="1"/>
  <c r="AW214" i="5" s="1"/>
  <c r="BB299" i="5"/>
  <c r="BC300" i="5" s="1"/>
  <c r="BC301" i="5" s="1"/>
  <c r="BC302" i="5" s="1"/>
  <c r="BH389" i="5"/>
  <c r="BI390" i="5" s="1"/>
  <c r="BI391" i="5" s="1"/>
  <c r="BI392" i="5" s="1"/>
  <c r="AP180" i="5"/>
  <c r="AQ181" i="5" s="1"/>
  <c r="AQ182" i="5" s="1"/>
  <c r="AQ183" i="5" s="1"/>
  <c r="BA344" i="5"/>
  <c r="BB345" i="5" s="1"/>
  <c r="BB346" i="5" s="1"/>
  <c r="BB347" i="5" s="1"/>
  <c r="BE403" i="5"/>
  <c r="BF404" i="5" s="1"/>
  <c r="BF405" i="5" s="1"/>
  <c r="BF406" i="5" s="1"/>
  <c r="Y180" i="5"/>
  <c r="Z181" i="5" s="1"/>
  <c r="Z182" i="5" s="1"/>
  <c r="Z183" i="5" s="1"/>
  <c r="AL374" i="5"/>
  <c r="AM375" i="5" s="1"/>
  <c r="AM376" i="5" s="1"/>
  <c r="AM377" i="5" s="1"/>
  <c r="AO418" i="5"/>
  <c r="AP419" i="5" s="1"/>
  <c r="AP420" i="5" s="1"/>
  <c r="AP421" i="5" s="1"/>
  <c r="Y196" i="5"/>
  <c r="Z197" i="5" s="1"/>
  <c r="Z198" i="5" s="1"/>
  <c r="Z199" i="5" s="1"/>
  <c r="AI344" i="5"/>
  <c r="AJ345" i="5" s="1"/>
  <c r="AJ346" i="5" s="1"/>
  <c r="AJ347" i="5" s="1"/>
  <c r="AN418" i="5"/>
  <c r="AO419" i="5" s="1"/>
  <c r="AO420" i="5" s="1"/>
  <c r="AO421" i="5" s="1"/>
  <c r="AH196" i="5"/>
  <c r="AI197" i="5" s="1"/>
  <c r="AI198" i="5" s="1"/>
  <c r="AI199" i="5" s="1"/>
  <c r="AN284" i="5"/>
  <c r="AO285" i="5" s="1"/>
  <c r="AO286" i="5" s="1"/>
  <c r="AO287" i="5" s="1"/>
  <c r="AW418" i="5"/>
  <c r="AX419" i="5" s="1"/>
  <c r="AX420" i="5" s="1"/>
  <c r="AX421" i="5" s="1"/>
  <c r="Y211" i="5"/>
  <c r="Z212" i="5" s="1"/>
  <c r="Z213" i="5" s="1"/>
  <c r="Z214" i="5" s="1"/>
  <c r="AF315" i="5"/>
  <c r="AG316" i="5" s="1"/>
  <c r="AG317" i="5" s="1"/>
  <c r="AG318" i="5" s="1"/>
  <c r="AM418" i="5"/>
  <c r="AN419" i="5" s="1"/>
  <c r="AN420" i="5" s="1"/>
  <c r="AN421" i="5" s="1"/>
  <c r="S180" i="5"/>
  <c r="T181" i="5" s="1"/>
  <c r="T182" i="5" s="1"/>
  <c r="T183" i="5" s="1"/>
  <c r="AB315" i="5"/>
  <c r="AC316" i="5" s="1"/>
  <c r="AC317" i="5" s="1"/>
  <c r="AC318" i="5" s="1"/>
  <c r="AH403" i="5"/>
  <c r="AI404" i="5" s="1"/>
  <c r="AI405" i="5" s="1"/>
  <c r="AI406" i="5" s="1"/>
  <c r="BF180" i="5"/>
  <c r="BG181" i="5" s="1"/>
  <c r="BG182" i="5" s="1"/>
  <c r="BG183" i="5" s="1"/>
  <c r="X211" i="5"/>
  <c r="Y212" i="5" s="1"/>
  <c r="Y213" i="5" s="1"/>
  <c r="Y214" i="5" s="1"/>
  <c r="AD299" i="5"/>
  <c r="AE300" i="5" s="1"/>
  <c r="AE301" i="5" s="1"/>
  <c r="AE302" i="5" s="1"/>
  <c r="AK403" i="5"/>
  <c r="AL404" i="5" s="1"/>
  <c r="AL405" i="5" s="1"/>
  <c r="AL406" i="5" s="1"/>
  <c r="BG180" i="5"/>
  <c r="BH181" i="5" s="1"/>
  <c r="BH182" i="5" s="1"/>
  <c r="BH183" i="5" s="1"/>
  <c r="AH180" i="5"/>
  <c r="AI181" i="5" s="1"/>
  <c r="AI182" i="5" s="1"/>
  <c r="AI183" i="5" s="1"/>
  <c r="AX418" i="5"/>
  <c r="AY419" i="5" s="1"/>
  <c r="AY420" i="5" s="1"/>
  <c r="AY421" i="5" s="1"/>
  <c r="AT359" i="5"/>
  <c r="AU360" i="5" s="1"/>
  <c r="AU361" i="5" s="1"/>
  <c r="AU362" i="5" s="1"/>
  <c r="R180" i="5"/>
  <c r="S181" i="5" s="1"/>
  <c r="S182" i="5" s="1"/>
  <c r="S183" i="5" s="1"/>
  <c r="AG403" i="5"/>
  <c r="AH404" i="5" s="1"/>
  <c r="AH405" i="5" s="1"/>
  <c r="AH406" i="5" s="1"/>
  <c r="AH418" i="5"/>
  <c r="AI419" i="5" s="1"/>
  <c r="AI420" i="5" s="1"/>
  <c r="AI421" i="5" s="1"/>
  <c r="AN211" i="5"/>
  <c r="AO212" i="5" s="1"/>
  <c r="AO213" i="5" s="1"/>
  <c r="AO214" i="5" s="1"/>
  <c r="AU315" i="5"/>
  <c r="AV316" i="5" s="1"/>
  <c r="AV317" i="5" s="1"/>
  <c r="AV318" i="5" s="1"/>
  <c r="BB418" i="5"/>
  <c r="BC419" i="5" s="1"/>
  <c r="BC420" i="5" s="1"/>
  <c r="BC421" i="5" s="1"/>
  <c r="Q180" i="5"/>
  <c r="R181" i="5" s="1"/>
  <c r="R182" i="5" s="1"/>
  <c r="R183" i="5" s="1"/>
  <c r="AF403" i="5"/>
  <c r="AG404" i="5" s="1"/>
  <c r="AG405" i="5" s="1"/>
  <c r="AG406" i="5" s="1"/>
  <c r="AG418" i="5"/>
  <c r="AH419" i="5" s="1"/>
  <c r="AH420" i="5" s="1"/>
  <c r="AH421" i="5" s="1"/>
  <c r="AQ212" i="5"/>
  <c r="AQ213" i="5" s="1"/>
  <c r="AQ214" i="5" s="1"/>
  <c r="AT211" i="5"/>
  <c r="AU212" i="5" s="1"/>
  <c r="AU213" i="5" s="1"/>
  <c r="AU214" i="5" s="1"/>
  <c r="AZ299" i="5"/>
  <c r="BA300" i="5" s="1"/>
  <c r="BA301" i="5" s="1"/>
  <c r="BA302" i="5" s="1"/>
  <c r="BG403" i="5"/>
  <c r="BH404" i="5" s="1"/>
  <c r="BH405" i="5" s="1"/>
  <c r="BH406" i="5" s="1"/>
  <c r="AW211" i="5"/>
  <c r="AX212" i="5" s="1"/>
  <c r="AX213" i="5" s="1"/>
  <c r="AX214" i="5" s="1"/>
  <c r="BD315" i="5"/>
  <c r="BE316" i="5" s="1"/>
  <c r="BE317" i="5" s="1"/>
  <c r="BE318" i="5" s="1"/>
  <c r="Q196" i="5"/>
  <c r="R197" i="5" s="1"/>
  <c r="R198" i="5" s="1"/>
  <c r="R199" i="5" s="1"/>
  <c r="AA344" i="5"/>
  <c r="AB345" i="5" s="1"/>
  <c r="AB346" i="5" s="1"/>
  <c r="AB347" i="5" s="1"/>
  <c r="AF418" i="5"/>
  <c r="AG419" i="5" s="1"/>
  <c r="AG420" i="5" s="1"/>
  <c r="AG421" i="5" s="1"/>
  <c r="AM211" i="5"/>
  <c r="AN212" i="5" s="1"/>
  <c r="AN213" i="5" s="1"/>
  <c r="AN214" i="5" s="1"/>
  <c r="AU330" i="5"/>
  <c r="AV331" i="5" s="1"/>
  <c r="AV332" i="5" s="1"/>
  <c r="AV333" i="5" s="1"/>
  <c r="AZ403" i="5"/>
  <c r="BA404" i="5" s="1"/>
  <c r="BA405" i="5" s="1"/>
  <c r="BA406" i="5" s="1"/>
  <c r="AY180" i="5"/>
  <c r="AZ181" i="5" s="1"/>
  <c r="AZ182" i="5" s="1"/>
  <c r="AZ183" i="5" s="1"/>
  <c r="BH315" i="5"/>
  <c r="BI316" i="5" s="1"/>
  <c r="BI317" i="5" s="1"/>
  <c r="BI318" i="5" s="1"/>
  <c r="BD240" i="5"/>
  <c r="BE241" i="5" s="1"/>
  <c r="BE242" i="5" s="1"/>
  <c r="BE243" i="5" s="1"/>
  <c r="BG284" i="5"/>
  <c r="BH285" i="5" s="1"/>
  <c r="BH286" i="5" s="1"/>
  <c r="BH287" i="5" s="1"/>
  <c r="Z180" i="5"/>
  <c r="AA181" i="5" s="1"/>
  <c r="AA182" i="5" s="1"/>
  <c r="AA183" i="5" s="1"/>
  <c r="AK344" i="5"/>
  <c r="AL345" i="5" s="1"/>
  <c r="AL346" i="5" s="1"/>
  <c r="AL347" i="5" s="1"/>
  <c r="AN389" i="5"/>
  <c r="AO390" i="5" s="1"/>
  <c r="AO391" i="5" s="1"/>
  <c r="AO392" i="5" s="1"/>
  <c r="AW196" i="5"/>
  <c r="AX197" i="5" s="1"/>
  <c r="AX198" i="5" s="1"/>
  <c r="AX199" i="5" s="1"/>
  <c r="BG344" i="5"/>
  <c r="BH345" i="5" s="1"/>
  <c r="BH346" i="5" s="1"/>
  <c r="BH347" i="5" s="1"/>
  <c r="AE225" i="5"/>
  <c r="AF226" i="5" s="1"/>
  <c r="AF227" i="5" s="1"/>
  <c r="AF228" i="5" s="1"/>
  <c r="AI284" i="5"/>
  <c r="AJ285" i="5" s="1"/>
  <c r="AJ286" i="5" s="1"/>
  <c r="AJ287" i="5" s="1"/>
  <c r="AQ403" i="5"/>
  <c r="AR404" i="5" s="1"/>
  <c r="AR405" i="5" s="1"/>
  <c r="AR406" i="5" s="1"/>
  <c r="AO211" i="5"/>
  <c r="AP212" i="5" s="1"/>
  <c r="AP213" i="5" s="1"/>
  <c r="AP214" i="5" s="1"/>
  <c r="AT284" i="5"/>
  <c r="AU285" i="5" s="1"/>
  <c r="AU286" i="5" s="1"/>
  <c r="AU287" i="5" s="1"/>
  <c r="BC418" i="5"/>
  <c r="BD419" i="5" s="1"/>
  <c r="BD420" i="5" s="1"/>
  <c r="BD421" i="5" s="1"/>
  <c r="W211" i="5"/>
  <c r="X212" i="5" s="1"/>
  <c r="X213" i="5" s="1"/>
  <c r="X214" i="5" s="1"/>
  <c r="AI389" i="5"/>
  <c r="AJ390" i="5" s="1"/>
  <c r="AJ391" i="5" s="1"/>
  <c r="AJ392" i="5" s="1"/>
  <c r="AJ403" i="5"/>
  <c r="AK404" i="5" s="1"/>
  <c r="AK405" i="5" s="1"/>
  <c r="AK406" i="5" s="1"/>
  <c r="AQ180" i="5"/>
  <c r="AR181" i="5" s="1"/>
  <c r="AR182" i="5" s="1"/>
  <c r="AR183" i="5" s="1"/>
  <c r="AY299" i="5"/>
  <c r="AZ300" i="5" s="1"/>
  <c r="AZ301" i="5" s="1"/>
  <c r="AZ302" i="5" s="1"/>
  <c r="BF403" i="5"/>
  <c r="BG404" i="5" s="1"/>
  <c r="BG405" i="5" s="1"/>
  <c r="BG406" i="5" s="1"/>
  <c r="AM225" i="5"/>
  <c r="AN226" i="5" s="1"/>
  <c r="AN227" i="5" s="1"/>
  <c r="AN228" i="5" s="1"/>
  <c r="AS315" i="5"/>
  <c r="AT316" i="5" s="1"/>
  <c r="AT317" i="5" s="1"/>
  <c r="AT318" i="5" s="1"/>
  <c r="AY403" i="5"/>
  <c r="AZ404" i="5" s="1"/>
  <c r="AZ405" i="5" s="1"/>
  <c r="AZ406" i="5" s="1"/>
  <c r="BD211" i="5"/>
  <c r="BE212" i="5" s="1"/>
  <c r="BE213" i="5" s="1"/>
  <c r="BE214" i="5" s="1"/>
  <c r="BA212" i="5"/>
  <c r="BA213" i="5" s="1"/>
  <c r="BA214" i="5" s="1"/>
  <c r="BC211" i="5"/>
  <c r="BD212" i="5" s="1"/>
  <c r="BD213" i="5" s="1"/>
  <c r="BD214" i="5" s="1"/>
  <c r="BF196" i="5"/>
  <c r="BG197" i="5" s="1"/>
  <c r="BG198" i="5" s="1"/>
  <c r="BG199" i="5" s="1"/>
  <c r="AO270" i="5"/>
  <c r="AP271" i="5" s="1"/>
  <c r="AP272" i="5" s="1"/>
  <c r="AP273" i="5" s="1"/>
  <c r="AQ299" i="5"/>
  <c r="AR300" i="5" s="1"/>
  <c r="AR301" i="5" s="1"/>
  <c r="AR302" i="5" s="1"/>
  <c r="AX403" i="5"/>
  <c r="AY404" i="5" s="1"/>
  <c r="AY405" i="5" s="1"/>
  <c r="AY406" i="5" s="1"/>
  <c r="AC212" i="5"/>
  <c r="AC213" i="5" s="1"/>
  <c r="AC214" i="5" s="1"/>
  <c r="AE211" i="5"/>
  <c r="AF212" i="5" s="1"/>
  <c r="AF213" i="5" s="1"/>
  <c r="AF214" i="5" s="1"/>
  <c r="AO359" i="5"/>
  <c r="AP360" i="5" s="1"/>
  <c r="AP361" i="5" s="1"/>
  <c r="AP362" i="5" s="1"/>
  <c r="AR403" i="5"/>
  <c r="AS404" i="5" s="1"/>
  <c r="AS405" i="5" s="1"/>
  <c r="AS406" i="5" s="1"/>
  <c r="BE196" i="5"/>
  <c r="BF197" i="5" s="1"/>
  <c r="BF198" i="5" s="1"/>
  <c r="BF199" i="5" s="1"/>
  <c r="AU211" i="5"/>
  <c r="AV212" i="5" s="1"/>
  <c r="AV213" i="5" s="1"/>
  <c r="AV214" i="5" s="1"/>
  <c r="BC330" i="5"/>
  <c r="BD331" i="5" s="1"/>
  <c r="BD332" i="5" s="1"/>
  <c r="BD333" i="5" s="1"/>
  <c r="BH403" i="5"/>
  <c r="BI404" i="5" s="1"/>
  <c r="BI405" i="5" s="1"/>
  <c r="BI406" i="5" s="1"/>
  <c r="BE211" i="5"/>
  <c r="BF212" i="5" s="1"/>
  <c r="BF213" i="5" s="1"/>
  <c r="BF214" i="5" s="1"/>
  <c r="AA180" i="5"/>
  <c r="AB181" i="5" s="1"/>
  <c r="AB182" i="5" s="1"/>
  <c r="AB183" i="5" s="1"/>
  <c r="AJ315" i="5"/>
  <c r="AK316" i="5" s="1"/>
  <c r="AK317" i="5" s="1"/>
  <c r="AK318" i="5" s="1"/>
  <c r="AP403" i="5"/>
  <c r="AQ404" i="5" s="1"/>
  <c r="AQ405" i="5" s="1"/>
  <c r="AQ406" i="5" s="1"/>
  <c r="AS255" i="5"/>
  <c r="AT256" i="5" s="1"/>
  <c r="AT257" i="5" s="1"/>
  <c r="AT258" i="5" s="1"/>
  <c r="AY344" i="5"/>
  <c r="AZ345" i="5" s="1"/>
  <c r="AZ346" i="5" s="1"/>
  <c r="AZ347" i="5" s="1"/>
  <c r="BD418" i="5"/>
  <c r="BE419" i="5" s="1"/>
  <c r="BE420" i="5" s="1"/>
  <c r="BE421" i="5" s="1"/>
  <c r="X240" i="5"/>
  <c r="Y241" i="5" s="1"/>
  <c r="Y242" i="5" s="1"/>
  <c r="Y243" i="5" s="1"/>
  <c r="AB299" i="5"/>
  <c r="AC300" i="5" s="1"/>
  <c r="AC301" i="5" s="1"/>
  <c r="AC302" i="5" s="1"/>
  <c r="AI403" i="5"/>
  <c r="AJ404" i="5" s="1"/>
  <c r="AJ405" i="5" s="1"/>
  <c r="AJ406" i="5" s="1"/>
  <c r="AF211" i="5"/>
  <c r="AG212" i="5" s="1"/>
  <c r="AG213" i="5" s="1"/>
  <c r="AG214" i="5" s="1"/>
  <c r="AM315" i="5"/>
  <c r="AN316" i="5" s="1"/>
  <c r="AN317" i="5" s="1"/>
  <c r="AN318" i="5" s="1"/>
  <c r="AQ374" i="5"/>
  <c r="AR375" i="5" s="1"/>
  <c r="AR376" i="5" s="1"/>
  <c r="AR377" i="5" s="1"/>
  <c r="AX180" i="5"/>
  <c r="AY181" i="5" s="1"/>
  <c r="AY182" i="5" s="1"/>
  <c r="AY183" i="5" s="1"/>
  <c r="AW180" i="5"/>
  <c r="AX181" i="5" s="1"/>
  <c r="AX182" i="5" s="1"/>
  <c r="AX183" i="5" s="1"/>
  <c r="AG196" i="5"/>
  <c r="AH197" i="5" s="1"/>
  <c r="AH198" i="5" s="1"/>
  <c r="AH199" i="5" s="1"/>
  <c r="AQ344" i="5"/>
  <c r="AR345" i="5" s="1"/>
  <c r="AR346" i="5" s="1"/>
  <c r="AR347" i="5" s="1"/>
  <c r="AV418" i="5"/>
  <c r="AW419" i="5" s="1"/>
  <c r="AW420" i="5" s="1"/>
  <c r="AW421" i="5" s="1"/>
  <c r="AO180" i="5"/>
  <c r="AP181" i="5" s="1"/>
  <c r="AP182" i="5" s="1"/>
  <c r="AP183" i="5" s="1"/>
  <c r="BD403" i="5"/>
  <c r="BE404" i="5" s="1"/>
  <c r="BE405" i="5" s="1"/>
  <c r="BE406" i="5" s="1"/>
  <c r="BE418" i="5"/>
  <c r="BF419" i="5" s="1"/>
  <c r="BF420" i="5" s="1"/>
  <c r="BF421" i="5" s="1"/>
  <c r="AH225" i="5"/>
  <c r="AI226" i="5" s="1"/>
  <c r="AI227" i="5" s="1"/>
  <c r="AI228" i="5" s="1"/>
  <c r="AN315" i="5"/>
  <c r="AO316" i="5" s="1"/>
  <c r="AO317" i="5" s="1"/>
  <c r="AO318" i="5" s="1"/>
  <c r="AU418" i="5"/>
  <c r="AV419" i="5" s="1"/>
  <c r="AV420" i="5" s="1"/>
  <c r="AV421" i="5" s="1"/>
  <c r="J91" i="5"/>
  <c r="K92" i="5" s="1"/>
  <c r="K93" i="5" s="1"/>
  <c r="K94" i="5" s="1"/>
  <c r="BI330" i="5"/>
  <c r="B336" i="5" s="1"/>
  <c r="BC91" i="5"/>
  <c r="BD92" i="5" s="1"/>
  <c r="BD93" i="5" s="1"/>
  <c r="BD94" i="5" s="1"/>
  <c r="AX211" i="5"/>
  <c r="AY212" i="5" s="1"/>
  <c r="AY213" i="5" s="1"/>
  <c r="AY214" i="5" s="1"/>
  <c r="AU299" i="5"/>
  <c r="AV300" i="5" s="1"/>
  <c r="AV301" i="5" s="1"/>
  <c r="AV302" i="5" s="1"/>
  <c r="AS211" i="5"/>
  <c r="AT212" i="5" s="1"/>
  <c r="AT213" i="5" s="1"/>
  <c r="AT214" i="5" s="1"/>
  <c r="BF91" i="5"/>
  <c r="BG92" i="5" s="1"/>
  <c r="BG93" i="5" s="1"/>
  <c r="BG94" i="5" s="1"/>
  <c r="AC91" i="5"/>
  <c r="AD92" i="5" s="1"/>
  <c r="AD93" i="5" s="1"/>
  <c r="AD94" i="5" s="1"/>
  <c r="AD196" i="5"/>
  <c r="AE197" i="5" s="1"/>
  <c r="AE198" i="5" s="1"/>
  <c r="AE199" i="5" s="1"/>
  <c r="AW91" i="5"/>
  <c r="AX92" i="5" s="1"/>
  <c r="AX93" i="5" s="1"/>
  <c r="AX94" i="5" s="1"/>
  <c r="AW315" i="5"/>
  <c r="AX316" i="5" s="1"/>
  <c r="AX317" i="5" s="1"/>
  <c r="AX318" i="5" s="1"/>
  <c r="AM299" i="5"/>
  <c r="AN300" i="5" s="1"/>
  <c r="AN301" i="5" s="1"/>
  <c r="AN302" i="5" s="1"/>
  <c r="AU196" i="5"/>
  <c r="BC315" i="5"/>
  <c r="BD316" i="5" s="1"/>
  <c r="BD317" i="5" s="1"/>
  <c r="BD318" i="5" s="1"/>
  <c r="AQ196" i="5"/>
  <c r="AR197" i="5" s="1"/>
  <c r="AR198" i="5" s="1"/>
  <c r="AR199" i="5" s="1"/>
  <c r="BC374" i="5"/>
  <c r="BD375" i="5" s="1"/>
  <c r="BD376" i="5" s="1"/>
  <c r="BD377" i="5" s="1"/>
  <c r="AI76" i="5"/>
  <c r="AJ77" i="5" s="1"/>
  <c r="AJ78" i="5" s="1"/>
  <c r="AJ79" i="5" s="1"/>
  <c r="Z196" i="5"/>
  <c r="AA197" i="5" s="1"/>
  <c r="AA198" i="5" s="1"/>
  <c r="AA199" i="5" s="1"/>
  <c r="AF284" i="5"/>
  <c r="AG285" i="5" s="1"/>
  <c r="AG286" i="5" s="1"/>
  <c r="AG287" i="5" s="1"/>
  <c r="X180" i="5"/>
  <c r="Y181" i="5" s="1"/>
  <c r="Y182" i="5" s="1"/>
  <c r="Y183" i="5" s="1"/>
  <c r="AF299" i="5"/>
  <c r="AG300" i="5" s="1"/>
  <c r="AG301" i="5" s="1"/>
  <c r="AG302" i="5" s="1"/>
  <c r="Q76" i="5"/>
  <c r="R77" i="5" s="1"/>
  <c r="R78" i="5" s="1"/>
  <c r="R79" i="5" s="1"/>
  <c r="AG180" i="5"/>
  <c r="AH181" i="5" s="1"/>
  <c r="AH182" i="5" s="1"/>
  <c r="AH183" i="5" s="1"/>
  <c r="AQ330" i="5"/>
  <c r="AR331" i="5" s="1"/>
  <c r="AR332" i="5" s="1"/>
  <c r="AR333" i="5" s="1"/>
  <c r="X196" i="5"/>
  <c r="Y197" i="5" s="1"/>
  <c r="Y198" i="5" s="1"/>
  <c r="Y199" i="5" s="1"/>
  <c r="AE299" i="5"/>
  <c r="AF300" i="5" s="1"/>
  <c r="AF301" i="5" s="1"/>
  <c r="AF302" i="5" s="1"/>
  <c r="P76" i="5"/>
  <c r="Q77" i="5" s="1"/>
  <c r="Q78" i="5" s="1"/>
  <c r="Q79" i="5" s="1"/>
  <c r="Y270" i="5"/>
  <c r="Z271" i="5" s="1"/>
  <c r="Z272" i="5" s="1"/>
  <c r="Z273" i="5" s="1"/>
  <c r="AC330" i="5"/>
  <c r="AD331" i="5" s="1"/>
  <c r="AD332" i="5" s="1"/>
  <c r="AD333" i="5" s="1"/>
  <c r="L76" i="5"/>
  <c r="M77" i="5" s="1"/>
  <c r="M78" i="5" s="1"/>
  <c r="M79" i="5" s="1"/>
  <c r="BG196" i="5"/>
  <c r="BH197" i="5" s="1"/>
  <c r="BH198" i="5" s="1"/>
  <c r="BH199" i="5" s="1"/>
  <c r="W196" i="5"/>
  <c r="X197" i="5" s="1"/>
  <c r="X198" i="5" s="1"/>
  <c r="X199" i="5" s="1"/>
  <c r="AE315" i="5"/>
  <c r="AF316" i="5" s="1"/>
  <c r="AF317" i="5" s="1"/>
  <c r="AF318" i="5" s="1"/>
  <c r="O76" i="5"/>
  <c r="P77" i="5" s="1"/>
  <c r="P78" i="5" s="1"/>
  <c r="P79" i="5" s="1"/>
  <c r="B217" i="5"/>
  <c r="BI211" i="5"/>
  <c r="BI76" i="5"/>
  <c r="B82" i="5"/>
  <c r="AI196" i="5"/>
  <c r="AJ197" i="5" s="1"/>
  <c r="AJ198" i="5" s="1"/>
  <c r="AJ199" i="5" s="1"/>
  <c r="AW403" i="5"/>
  <c r="AX404" i="5" s="1"/>
  <c r="AX405" i="5" s="1"/>
  <c r="AX406" i="5" s="1"/>
  <c r="S196" i="5"/>
  <c r="T197" i="5" s="1"/>
  <c r="T198" i="5" s="1"/>
  <c r="T199" i="5" s="1"/>
  <c r="AF389" i="5"/>
  <c r="AG390" i="5" s="1"/>
  <c r="AG391" i="5" s="1"/>
  <c r="AG392" i="5" s="1"/>
  <c r="K76" i="5"/>
  <c r="L77" i="5" s="1"/>
  <c r="L78" i="5" s="1"/>
  <c r="L79" i="5" s="1"/>
  <c r="AM196" i="5"/>
  <c r="AN197" i="5" s="1"/>
  <c r="AN198" i="5" s="1"/>
  <c r="AN199" i="5" s="1"/>
  <c r="BA403" i="5"/>
  <c r="BB404" i="5" s="1"/>
  <c r="BB405" i="5" s="1"/>
  <c r="BB406" i="5" s="1"/>
  <c r="AE76" i="5"/>
  <c r="AF77" i="5" s="1"/>
  <c r="AF78" i="5" s="1"/>
  <c r="AF79" i="5" s="1"/>
  <c r="R196" i="5"/>
  <c r="S197" i="5" s="1"/>
  <c r="S198" i="5" s="1"/>
  <c r="S199" i="5" s="1"/>
  <c r="X284" i="5"/>
  <c r="Y285" i="5" s="1"/>
  <c r="Y286" i="5" s="1"/>
  <c r="Y287" i="5" s="1"/>
  <c r="J76" i="5"/>
  <c r="K77" i="5" s="1"/>
  <c r="K78" i="5" s="1"/>
  <c r="K79" i="5" s="1"/>
  <c r="AV240" i="5"/>
  <c r="AW241" i="5" s="1"/>
  <c r="AW242" i="5" s="1"/>
  <c r="AW243" i="5" s="1"/>
  <c r="AY284" i="5"/>
  <c r="AZ285" i="5" s="1"/>
  <c r="AZ286" i="5" s="1"/>
  <c r="AZ287" i="5" s="1"/>
  <c r="AK76" i="5"/>
  <c r="AL77" i="5" s="1"/>
  <c r="AL78" i="5" s="1"/>
  <c r="AL79" i="5" s="1"/>
  <c r="AV197" i="5"/>
  <c r="AV198" i="5" s="1"/>
  <c r="AV199" i="5" s="1"/>
  <c r="AV196" i="5"/>
  <c r="AW197" i="5" s="1"/>
  <c r="AW198" i="5" s="1"/>
  <c r="AW199" i="5" s="1"/>
  <c r="BC299" i="5"/>
  <c r="BD300" i="5" s="1"/>
  <c r="BD301" i="5" s="1"/>
  <c r="BD302" i="5" s="1"/>
  <c r="P180" i="5"/>
  <c r="Q181" i="5" s="1"/>
  <c r="Q182" i="5" s="1"/>
  <c r="Q183" i="5" s="1"/>
  <c r="X299" i="5"/>
  <c r="Y300" i="5" s="1"/>
  <c r="Y301" i="5" s="1"/>
  <c r="Y302" i="5" s="1"/>
  <c r="I76" i="5"/>
  <c r="J77" i="5" s="1"/>
  <c r="J78" i="5" s="1"/>
  <c r="J79" i="5" s="1"/>
  <c r="AP255" i="5"/>
  <c r="AQ256" i="5" s="1"/>
  <c r="AQ257" i="5" s="1"/>
  <c r="AQ258" i="5" s="1"/>
  <c r="AS299" i="5"/>
  <c r="AT300" i="5" s="1"/>
  <c r="AT301" i="5" s="1"/>
  <c r="AT302" i="5" s="1"/>
  <c r="AD76" i="5"/>
  <c r="AE77" i="5" s="1"/>
  <c r="AE78" i="5" s="1"/>
  <c r="AE79" i="5" s="1"/>
  <c r="BA211" i="5"/>
  <c r="BB212" i="5" s="1"/>
  <c r="BB213" i="5" s="1"/>
  <c r="BB214" i="5" s="1"/>
  <c r="BF284" i="5"/>
  <c r="BG285" i="5" s="1"/>
  <c r="BG286" i="5" s="1"/>
  <c r="BG287" i="5" s="1"/>
  <c r="AS78" i="5"/>
  <c r="AS79" i="5" s="1"/>
  <c r="BB211" i="5"/>
  <c r="BC212" i="5" s="1"/>
  <c r="BC213" i="5" s="1"/>
  <c r="BC214" i="5" s="1"/>
  <c r="BI315" i="5"/>
  <c r="B321" i="5" s="1"/>
  <c r="AS76" i="5"/>
  <c r="AT77" i="5" s="1"/>
  <c r="AT78" i="5" s="1"/>
  <c r="AT79" i="5" s="1"/>
  <c r="AA196" i="5"/>
  <c r="AB197" i="5" s="1"/>
  <c r="AB198" i="5" s="1"/>
  <c r="AB199" i="5" s="1"/>
  <c r="AL359" i="5"/>
  <c r="AM360" i="5" s="1"/>
  <c r="AM361" i="5" s="1"/>
  <c r="AM362" i="5" s="1"/>
  <c r="T78" i="5"/>
  <c r="T79" i="5" s="1"/>
  <c r="BB76" i="5"/>
  <c r="BC77" i="5" s="1"/>
  <c r="BC78" i="5" s="1"/>
  <c r="BC79" i="5" s="1"/>
  <c r="AV180" i="5"/>
  <c r="AW181" i="5" s="1"/>
  <c r="AW182" i="5" s="1"/>
  <c r="AW183" i="5" s="1"/>
  <c r="BE315" i="5"/>
  <c r="BF316" i="5" s="1"/>
  <c r="BF317" i="5" s="1"/>
  <c r="BF318" i="5" s="1"/>
  <c r="AO76" i="5"/>
  <c r="AP77" i="5" s="1"/>
  <c r="AP78" i="5" s="1"/>
  <c r="AP79" i="5" s="1"/>
  <c r="AD211" i="5"/>
  <c r="AE212" i="5" s="1"/>
  <c r="AE213" i="5" s="1"/>
  <c r="AE214" i="5" s="1"/>
  <c r="AJ299" i="5"/>
  <c r="AK300" i="5" s="1"/>
  <c r="AK301" i="5" s="1"/>
  <c r="AK302" i="5" s="1"/>
  <c r="U76" i="5"/>
  <c r="V77" i="5" s="1"/>
  <c r="V78" i="5" s="1"/>
  <c r="V79" i="5" s="1"/>
  <c r="AN196" i="5"/>
  <c r="AO197" i="5" s="1"/>
  <c r="AO198" i="5" s="1"/>
  <c r="AO199" i="5" s="1"/>
  <c r="AX344" i="5"/>
  <c r="AY345" i="5" s="1"/>
  <c r="AY346" i="5" s="1"/>
  <c r="AY347" i="5" s="1"/>
  <c r="AF76" i="5"/>
  <c r="AG77" i="5" s="1"/>
  <c r="AG78" i="5" s="1"/>
  <c r="AG79" i="5" s="1"/>
  <c r="V196" i="5"/>
  <c r="W197" i="5" s="1"/>
  <c r="W198" i="5" s="1"/>
  <c r="W199" i="5" s="1"/>
  <c r="AC299" i="5"/>
  <c r="AD300" i="5" s="1"/>
  <c r="AD301" i="5" s="1"/>
  <c r="AD302" i="5" s="1"/>
  <c r="N76" i="5"/>
  <c r="O77" i="5" s="1"/>
  <c r="O78" i="5" s="1"/>
  <c r="O79" i="5" s="1"/>
  <c r="AW270" i="5"/>
  <c r="AX271" i="5" s="1"/>
  <c r="AX272" i="5" s="1"/>
  <c r="AX273" i="5" s="1"/>
  <c r="AZ315" i="5"/>
  <c r="BA316" i="5" s="1"/>
  <c r="BA317" i="5" s="1"/>
  <c r="BA318" i="5" s="1"/>
  <c r="AJ76" i="5"/>
  <c r="AK77" i="5" s="1"/>
  <c r="AK78" i="5" s="1"/>
  <c r="AK79" i="5" s="1"/>
  <c r="AI212" i="5"/>
  <c r="AI213" i="5" s="1"/>
  <c r="AI214" i="5" s="1"/>
  <c r="AL211" i="5"/>
  <c r="AM212" i="5" s="1"/>
  <c r="AM213" i="5" s="1"/>
  <c r="AM214" i="5" s="1"/>
  <c r="AQ284" i="5"/>
  <c r="AR285" i="5" s="1"/>
  <c r="AR286" i="5" s="1"/>
  <c r="AR287" i="5" s="1"/>
  <c r="AC76" i="5"/>
  <c r="AD77" i="5" s="1"/>
  <c r="AD78" i="5" s="1"/>
  <c r="AD79" i="5" s="1"/>
  <c r="BC196" i="5"/>
  <c r="BD197" i="5" s="1"/>
  <c r="BD198" i="5" s="1"/>
  <c r="BD199" i="5" s="1"/>
  <c r="AU76" i="5"/>
  <c r="AV77" i="5" s="1"/>
  <c r="AV78" i="5" s="1"/>
  <c r="AV79" i="5" s="1"/>
  <c r="BE76" i="5"/>
  <c r="BF77" i="5" s="1"/>
  <c r="BF78" i="5" s="1"/>
  <c r="BF79" i="5" s="1"/>
  <c r="BB196" i="5"/>
  <c r="BC197" i="5" s="1"/>
  <c r="BC198" i="5" s="1"/>
  <c r="BC199" i="5" s="1"/>
  <c r="BI299" i="5"/>
  <c r="B305" i="5" s="1"/>
  <c r="AT76" i="5"/>
  <c r="AU77" i="5" s="1"/>
  <c r="AU78" i="5" s="1"/>
  <c r="AU79" i="5" s="1"/>
  <c r="BD76" i="5"/>
  <c r="BE77" i="5" s="1"/>
  <c r="BE78" i="5" s="1"/>
  <c r="BE79" i="5" s="1"/>
  <c r="BG76" i="5"/>
  <c r="BH77" i="5" s="1"/>
  <c r="BH78" i="5" s="1"/>
  <c r="BH79" i="5" s="1"/>
  <c r="BE180" i="5"/>
  <c r="BF181" i="5" s="1"/>
  <c r="BF182" i="5" s="1"/>
  <c r="BF183" i="5" s="1"/>
  <c r="AX76" i="5"/>
  <c r="AY77" i="5" s="1"/>
  <c r="AY78" i="5" s="1"/>
  <c r="AY79" i="5" s="1"/>
  <c r="BA76" i="5"/>
  <c r="BB77" i="5" s="1"/>
  <c r="BB78" i="5" s="1"/>
  <c r="BB79" i="5" s="1"/>
  <c r="AI180" i="5"/>
  <c r="AJ181" i="5" s="1"/>
  <c r="AJ182" i="5" s="1"/>
  <c r="AJ183" i="5" s="1"/>
  <c r="AR315" i="5"/>
  <c r="AS316" i="5" s="1"/>
  <c r="AS317" i="5" s="1"/>
  <c r="AS318" i="5" s="1"/>
  <c r="AB76" i="5"/>
  <c r="AC77" i="5" s="1"/>
  <c r="AC78" i="5" s="1"/>
  <c r="AC79" i="5" s="1"/>
  <c r="AH255" i="5"/>
  <c r="AI256" i="5" s="1"/>
  <c r="AI257" i="5" s="1"/>
  <c r="AI258" i="5" s="1"/>
  <c r="AK299" i="5"/>
  <c r="AL300" i="5" s="1"/>
  <c r="AL301" i="5" s="1"/>
  <c r="AL302" i="5" s="1"/>
  <c r="V76" i="5"/>
  <c r="W77" i="5" s="1"/>
  <c r="W78" i="5" s="1"/>
  <c r="W79" i="5" s="1"/>
  <c r="BD180" i="5"/>
  <c r="BE181" i="5" s="1"/>
  <c r="BE182" i="5" s="1"/>
  <c r="BE183" i="5" s="1"/>
  <c r="AW76" i="5"/>
  <c r="AX77" i="5" s="1"/>
  <c r="AX78" i="5" s="1"/>
  <c r="AX79" i="5" s="1"/>
  <c r="AX255" i="5"/>
  <c r="AY256" i="5" s="1"/>
  <c r="AY257" i="5" s="1"/>
  <c r="AY258" i="5" s="1"/>
  <c r="BA299" i="5"/>
  <c r="BB300" i="5" s="1"/>
  <c r="BB301" i="5" s="1"/>
  <c r="BB302" i="5" s="1"/>
  <c r="AL76" i="5"/>
  <c r="AM77" i="5" s="1"/>
  <c r="AM78" i="5" s="1"/>
  <c r="AM79" i="5" s="1"/>
  <c r="BD196" i="5"/>
  <c r="BE197" i="5" s="1"/>
  <c r="BE198" i="5" s="1"/>
  <c r="BE199" i="5" s="1"/>
  <c r="AV76" i="5"/>
  <c r="AW77" i="5" s="1"/>
  <c r="AW78" i="5" s="1"/>
  <c r="AW79" i="5" s="1"/>
  <c r="AG270" i="5"/>
  <c r="AH271" i="5" s="1"/>
  <c r="AH272" i="5" s="1"/>
  <c r="AH273" i="5" s="1"/>
  <c r="AH284" i="5"/>
  <c r="AI285" i="5" s="1"/>
  <c r="AI286" i="5" s="1"/>
  <c r="AI287" i="5" s="1"/>
  <c r="T76" i="5"/>
  <c r="U77" i="5" s="1"/>
  <c r="U78" i="5" s="1"/>
  <c r="U79" i="5" s="1"/>
  <c r="AO196" i="5"/>
  <c r="AP197" i="5" s="1"/>
  <c r="AP198" i="5" s="1"/>
  <c r="AP199" i="5" s="1"/>
  <c r="AV299" i="5"/>
  <c r="AW300" i="5" s="1"/>
  <c r="AW301" i="5" s="1"/>
  <c r="AW302" i="5" s="1"/>
  <c r="AG76" i="5"/>
  <c r="AH77" i="5" s="1"/>
  <c r="AH78" i="5" s="1"/>
  <c r="AH79" i="5" s="1"/>
  <c r="BC76" i="5"/>
  <c r="BD77" i="5" s="1"/>
  <c r="BD78" i="5" s="1"/>
  <c r="BD79" i="5" s="1"/>
  <c r="S212" i="5"/>
  <c r="S213" i="5" s="1"/>
  <c r="S214" i="5" s="1"/>
  <c r="V211" i="5"/>
  <c r="W212" i="5" s="1"/>
  <c r="W213" i="5" s="1"/>
  <c r="W214" i="5" s="1"/>
  <c r="AA284" i="5"/>
  <c r="AB285" i="5" s="1"/>
  <c r="AB286" i="5" s="1"/>
  <c r="AB287" i="5" s="1"/>
  <c r="M76" i="5"/>
  <c r="N77" i="5" s="1"/>
  <c r="N78" i="5" s="1"/>
  <c r="N79" i="5" s="1"/>
  <c r="AE196" i="5"/>
  <c r="AF197" i="5" s="1"/>
  <c r="AF198" i="5" s="1"/>
  <c r="AF199" i="5" s="1"/>
  <c r="AN330" i="5"/>
  <c r="AO331" i="5" s="1"/>
  <c r="AO332" i="5" s="1"/>
  <c r="AO333" i="5" s="1"/>
  <c r="W76" i="5"/>
  <c r="X77" i="5" s="1"/>
  <c r="X78" i="5" s="1"/>
  <c r="X79" i="5" s="1"/>
  <c r="AY196" i="5"/>
  <c r="AZ197" i="5" s="1"/>
  <c r="AZ198" i="5" s="1"/>
  <c r="AZ199" i="5" s="1"/>
  <c r="BH330" i="5"/>
  <c r="BI331" i="5" s="1"/>
  <c r="BI332" i="5" s="1"/>
  <c r="BI333" i="5" s="1"/>
  <c r="AQ76" i="5"/>
  <c r="AR77" i="5" s="1"/>
  <c r="AR78" i="5" s="1"/>
  <c r="AR79" i="5" s="1"/>
  <c r="AX196" i="5"/>
  <c r="AY197" i="5" s="1"/>
  <c r="AY198" i="5" s="1"/>
  <c r="AY199" i="5" s="1"/>
  <c r="BG330" i="5"/>
  <c r="BH331" i="5" s="1"/>
  <c r="BH332" i="5" s="1"/>
  <c r="BH333" i="5" s="1"/>
  <c r="AP76" i="5"/>
  <c r="AQ77" i="5" s="1"/>
  <c r="AQ78" i="5" s="1"/>
  <c r="AQ79" i="5" s="1"/>
  <c r="AF180" i="5"/>
  <c r="AG181" i="5" s="1"/>
  <c r="AG182" i="5" s="1"/>
  <c r="AG183" i="5" s="1"/>
  <c r="AN299" i="5"/>
  <c r="AO300" i="5" s="1"/>
  <c r="AO301" i="5" s="1"/>
  <c r="AO302" i="5" s="1"/>
  <c r="Y76" i="5"/>
  <c r="Z77" i="5" s="1"/>
  <c r="Z78" i="5" s="1"/>
  <c r="Z79" i="5" s="1"/>
  <c r="AP196" i="5"/>
  <c r="AQ197" i="5" s="1"/>
  <c r="AQ198" i="5" s="1"/>
  <c r="AQ199" i="5" s="1"/>
  <c r="BB374" i="5"/>
  <c r="BC375" i="5" s="1"/>
  <c r="BC376" i="5" s="1"/>
  <c r="BC377" i="5" s="1"/>
  <c r="AH76" i="5"/>
  <c r="AI77" i="5" s="1"/>
  <c r="AI78" i="5" s="1"/>
  <c r="AI79" i="5" s="1"/>
  <c r="AG211" i="5"/>
  <c r="AH212" i="5" s="1"/>
  <c r="AH213" i="5" s="1"/>
  <c r="AH214" i="5" s="1"/>
  <c r="AP344" i="5"/>
  <c r="AQ345" i="5" s="1"/>
  <c r="AQ346" i="5" s="1"/>
  <c r="AQ347" i="5" s="1"/>
  <c r="X76" i="5"/>
  <c r="Y77" i="5" s="1"/>
  <c r="Y78" i="5" s="1"/>
  <c r="Y79" i="5" s="1"/>
  <c r="BF76" i="5"/>
  <c r="BG77" i="5" s="1"/>
  <c r="BG78" i="5" s="1"/>
  <c r="BG79" i="5" s="1"/>
  <c r="AR46" i="5"/>
  <c r="AS47" i="5" s="1"/>
  <c r="AS48" i="5" s="1"/>
  <c r="AS49" i="5" s="1"/>
  <c r="B67" i="5"/>
  <c r="G438" i="5" s="1"/>
  <c r="AI61" i="5"/>
  <c r="AJ62" i="5" s="1"/>
  <c r="AJ63" i="5" s="1"/>
  <c r="AJ64" i="5" s="1"/>
  <c r="BG61" i="5"/>
  <c r="BH62" i="5" s="1"/>
  <c r="BH63" i="5" s="1"/>
  <c r="BH64" i="5" s="1"/>
  <c r="X61" i="5"/>
  <c r="Y62" i="5" s="1"/>
  <c r="Y63" i="5" s="1"/>
  <c r="Y64" i="5" s="1"/>
  <c r="AX61" i="5"/>
  <c r="AY62" i="5" s="1"/>
  <c r="AY63" i="5" s="1"/>
  <c r="AY64" i="5" s="1"/>
  <c r="N46" i="5"/>
  <c r="O47" i="5" s="1"/>
  <c r="O48" i="5" s="1"/>
  <c r="O49" i="5" s="1"/>
  <c r="AG46" i="5"/>
  <c r="AH47" i="5" s="1"/>
  <c r="AH48" i="5" s="1"/>
  <c r="AH49" i="5" s="1"/>
  <c r="Y61" i="5"/>
  <c r="Z62" i="5" s="1"/>
  <c r="Z63" i="5" s="1"/>
  <c r="Z64" i="5" s="1"/>
  <c r="L61" i="5"/>
  <c r="M62" i="5" s="1"/>
  <c r="M63" i="5" s="1"/>
  <c r="M64" i="5" s="1"/>
  <c r="AP61" i="5"/>
  <c r="AQ62" i="5" s="1"/>
  <c r="AQ63" i="5" s="1"/>
  <c r="AQ64" i="5" s="1"/>
  <c r="AO61" i="5"/>
  <c r="AP62" i="5" s="1"/>
  <c r="AP63" i="5" s="1"/>
  <c r="AP64" i="5" s="1"/>
  <c r="BB61" i="5"/>
  <c r="BC62" i="5" s="1"/>
  <c r="BC63" i="5" s="1"/>
  <c r="BC64" i="5" s="1"/>
  <c r="BI61" i="5"/>
  <c r="BD61" i="5"/>
  <c r="BE62" i="5" s="1"/>
  <c r="BE63" i="5" s="1"/>
  <c r="BE64" i="5" s="1"/>
  <c r="O61" i="5"/>
  <c r="P62" i="5" s="1"/>
  <c r="P63" i="5" s="1"/>
  <c r="P64" i="5" s="1"/>
  <c r="N61" i="5"/>
  <c r="O62" i="5" s="1"/>
  <c r="O63" i="5" s="1"/>
  <c r="O64" i="5" s="1"/>
  <c r="I61" i="5"/>
  <c r="J62" i="5" s="1"/>
  <c r="J63" i="5" s="1"/>
  <c r="J64" i="5" s="1"/>
  <c r="BE61" i="5"/>
  <c r="BF62" i="5" s="1"/>
  <c r="BF63" i="5" s="1"/>
  <c r="BF64" i="5" s="1"/>
  <c r="AQ61" i="5"/>
  <c r="AR62" i="5" s="1"/>
  <c r="AR63" i="5" s="1"/>
  <c r="AR64" i="5" s="1"/>
  <c r="R61" i="5"/>
  <c r="S62" i="5" s="1"/>
  <c r="S63" i="5" s="1"/>
  <c r="S64" i="5" s="1"/>
  <c r="BA61" i="5"/>
  <c r="BB62" i="5" s="1"/>
  <c r="BB63" i="5" s="1"/>
  <c r="BB64" i="5" s="1"/>
  <c r="AA61" i="5"/>
  <c r="AB62" i="5" s="1"/>
  <c r="AB63" i="5" s="1"/>
  <c r="AB64" i="5" s="1"/>
  <c r="U61" i="5"/>
  <c r="V62" i="5" s="1"/>
  <c r="V63" i="5" s="1"/>
  <c r="V64" i="5" s="1"/>
  <c r="AK61" i="5"/>
  <c r="AL62" i="5" s="1"/>
  <c r="AL63" i="5" s="1"/>
  <c r="AL64" i="5" s="1"/>
  <c r="AE61" i="5"/>
  <c r="AF62" i="5" s="1"/>
  <c r="AF63" i="5" s="1"/>
  <c r="AF64" i="5" s="1"/>
  <c r="W61" i="5"/>
  <c r="X62" i="5" s="1"/>
  <c r="X63" i="5" s="1"/>
  <c r="X64" i="5" s="1"/>
  <c r="AH61" i="5"/>
  <c r="AI62" i="5" s="1"/>
  <c r="AI63" i="5" s="1"/>
  <c r="AI64" i="5" s="1"/>
  <c r="AB61" i="5"/>
  <c r="AC62" i="5" s="1"/>
  <c r="AC63" i="5" s="1"/>
  <c r="AC64" i="5" s="1"/>
  <c r="AV61" i="5"/>
  <c r="AW62" i="5" s="1"/>
  <c r="AW63" i="5" s="1"/>
  <c r="AW64" i="5" s="1"/>
  <c r="Q61" i="5"/>
  <c r="R62" i="5" s="1"/>
  <c r="R63" i="5" s="1"/>
  <c r="R64" i="5" s="1"/>
  <c r="T61" i="5"/>
  <c r="U62" i="5" s="1"/>
  <c r="U63" i="5" s="1"/>
  <c r="U64" i="5" s="1"/>
  <c r="AU61" i="5"/>
  <c r="AV62" i="5" s="1"/>
  <c r="AV63" i="5" s="1"/>
  <c r="AV64" i="5" s="1"/>
  <c r="S61" i="5"/>
  <c r="T62" i="5" s="1"/>
  <c r="T63" i="5" s="1"/>
  <c r="T64" i="5" s="1"/>
  <c r="K61" i="5"/>
  <c r="L62" i="5" s="1"/>
  <c r="L63" i="5" s="1"/>
  <c r="L64" i="5" s="1"/>
  <c r="AL61" i="5"/>
  <c r="AM62" i="5" s="1"/>
  <c r="AM63" i="5" s="1"/>
  <c r="AM64" i="5" s="1"/>
  <c r="AW61" i="5"/>
  <c r="AX62" i="5" s="1"/>
  <c r="AX63" i="5" s="1"/>
  <c r="AX64" i="5" s="1"/>
  <c r="BH61" i="5"/>
  <c r="BI62" i="5" s="1"/>
  <c r="BI63" i="5" s="1"/>
  <c r="BI64" i="5" s="1"/>
  <c r="J61" i="5"/>
  <c r="K62" i="5" s="1"/>
  <c r="K63" i="5" s="1"/>
  <c r="K64" i="5" s="1"/>
  <c r="AF61" i="5"/>
  <c r="AG62" i="5" s="1"/>
  <c r="AG63" i="5" s="1"/>
  <c r="AG64" i="5" s="1"/>
  <c r="AN61" i="5"/>
  <c r="AO62" i="5" s="1"/>
  <c r="AO63" i="5" s="1"/>
  <c r="AO64" i="5" s="1"/>
  <c r="V61" i="5"/>
  <c r="W62" i="5" s="1"/>
  <c r="W63" i="5" s="1"/>
  <c r="W64" i="5" s="1"/>
  <c r="AG61" i="5"/>
  <c r="AH62" i="5" s="1"/>
  <c r="AH63" i="5" s="1"/>
  <c r="AH64" i="5" s="1"/>
  <c r="BC61" i="5"/>
  <c r="BD62" i="5" s="1"/>
  <c r="BD63" i="5" s="1"/>
  <c r="BD64" i="5" s="1"/>
  <c r="AD61" i="5"/>
  <c r="AE62" i="5" s="1"/>
  <c r="AE63" i="5" s="1"/>
  <c r="AE64" i="5" s="1"/>
  <c r="H61" i="5"/>
  <c r="I62" i="5" s="1"/>
  <c r="I63" i="5" s="1"/>
  <c r="I64" i="5" s="1"/>
  <c r="AC61" i="5"/>
  <c r="AD62" i="5" s="1"/>
  <c r="AD63" i="5" s="1"/>
  <c r="AD64" i="5" s="1"/>
  <c r="AR61" i="5"/>
  <c r="AS62" i="5" s="1"/>
  <c r="AS63" i="5" s="1"/>
  <c r="AS64" i="5" s="1"/>
  <c r="AZ61" i="5"/>
  <c r="BA62" i="5" s="1"/>
  <c r="BA63" i="5" s="1"/>
  <c r="BA64" i="5" s="1"/>
  <c r="AM61" i="5"/>
  <c r="AN62" i="5" s="1"/>
  <c r="AN63" i="5" s="1"/>
  <c r="AN64" i="5" s="1"/>
  <c r="P61" i="5"/>
  <c r="Q62" i="5" s="1"/>
  <c r="Q63" i="5" s="1"/>
  <c r="Q64" i="5" s="1"/>
  <c r="M61" i="5"/>
  <c r="N62" i="5" s="1"/>
  <c r="N63" i="5" s="1"/>
  <c r="N64" i="5" s="1"/>
  <c r="AJ61" i="5"/>
  <c r="AK62" i="5" s="1"/>
  <c r="AK63" i="5" s="1"/>
  <c r="AK64" i="5" s="1"/>
  <c r="BF61" i="5"/>
  <c r="BG62" i="5" s="1"/>
  <c r="BG63" i="5" s="1"/>
  <c r="BG64" i="5" s="1"/>
  <c r="AT61" i="5"/>
  <c r="AU62" i="5" s="1"/>
  <c r="AU63" i="5" s="1"/>
  <c r="AU64" i="5" s="1"/>
  <c r="AY61" i="5"/>
  <c r="AZ62" i="5" s="1"/>
  <c r="AZ63" i="5" s="1"/>
  <c r="AZ64" i="5" s="1"/>
  <c r="Z61" i="5"/>
  <c r="AA62" i="5" s="1"/>
  <c r="AA63" i="5" s="1"/>
  <c r="AA64" i="5" s="1"/>
  <c r="AS61" i="5"/>
  <c r="AT62" i="5" s="1"/>
  <c r="AT63" i="5" s="1"/>
  <c r="AT64" i="5" s="1"/>
  <c r="BC17" i="5"/>
  <c r="BD18" i="5" s="1"/>
  <c r="BD19" i="5" s="1"/>
  <c r="BD20" i="5" s="1"/>
  <c r="Z46" i="5"/>
  <c r="AA47" i="5" s="1"/>
  <c r="AA48" i="5" s="1"/>
  <c r="AA49" i="5" s="1"/>
  <c r="B52" i="5"/>
  <c r="G436" i="5" s="1"/>
  <c r="BH46" i="5"/>
  <c r="BI47" i="5" s="1"/>
  <c r="BI48" i="5" s="1"/>
  <c r="BI49" i="5" s="1"/>
  <c r="I32" i="5"/>
  <c r="J33" i="5" s="1"/>
  <c r="R46" i="5"/>
  <c r="S47" i="5" s="1"/>
  <c r="S48" i="5" s="1"/>
  <c r="S49" i="5" s="1"/>
  <c r="H46" i="5"/>
  <c r="I47" i="5" s="1"/>
  <c r="I48" i="5" s="1"/>
  <c r="I49" i="5" s="1"/>
  <c r="AN46" i="5"/>
  <c r="AO47" i="5" s="1"/>
  <c r="AO48" i="5" s="1"/>
  <c r="AO49" i="5" s="1"/>
  <c r="V46" i="5"/>
  <c r="W47" i="5" s="1"/>
  <c r="W48" i="5" s="1"/>
  <c r="W49" i="5" s="1"/>
  <c r="AJ46" i="5"/>
  <c r="AK47" i="5" s="1"/>
  <c r="AK48" i="5" s="1"/>
  <c r="AK49" i="5" s="1"/>
  <c r="T46" i="5"/>
  <c r="U47" i="5" s="1"/>
  <c r="U48" i="5" s="1"/>
  <c r="U49" i="5" s="1"/>
  <c r="AU46" i="5"/>
  <c r="AV47" i="5" s="1"/>
  <c r="AV48" i="5" s="1"/>
  <c r="AV49" i="5" s="1"/>
  <c r="AB46" i="5"/>
  <c r="AC47" i="5" s="1"/>
  <c r="AC48" i="5" s="1"/>
  <c r="AC49" i="5" s="1"/>
  <c r="AV46" i="5"/>
  <c r="AW47" i="5" s="1"/>
  <c r="AW48" i="5" s="1"/>
  <c r="AW49" i="5" s="1"/>
  <c r="L46" i="5"/>
  <c r="M47" i="5" s="1"/>
  <c r="M48" i="5" s="1"/>
  <c r="M49" i="5" s="1"/>
  <c r="J46" i="5"/>
  <c r="K47" i="5" s="1"/>
  <c r="K48" i="5" s="1"/>
  <c r="K49" i="5" s="1"/>
  <c r="BF46" i="5"/>
  <c r="BG47" i="5" s="1"/>
  <c r="BG48" i="5" s="1"/>
  <c r="BG49" i="5" s="1"/>
  <c r="BC46" i="5"/>
  <c r="BD47" i="5" s="1"/>
  <c r="BD48" i="5" s="1"/>
  <c r="BD49" i="5" s="1"/>
  <c r="AC46" i="5"/>
  <c r="AD47" i="5" s="1"/>
  <c r="AD48" i="5" s="1"/>
  <c r="AD49" i="5" s="1"/>
  <c r="U46" i="5"/>
  <c r="V47" i="5" s="1"/>
  <c r="V48" i="5" s="1"/>
  <c r="V49" i="5" s="1"/>
  <c r="BB46" i="5"/>
  <c r="BC47" i="5" s="1"/>
  <c r="BC48" i="5" s="1"/>
  <c r="BC49" i="5" s="1"/>
  <c r="BG46" i="5"/>
  <c r="BH47" i="5" s="1"/>
  <c r="BH48" i="5" s="1"/>
  <c r="BH49" i="5" s="1"/>
  <c r="AP46" i="5"/>
  <c r="AQ47" i="5" s="1"/>
  <c r="AQ48" i="5" s="1"/>
  <c r="AQ49" i="5" s="1"/>
  <c r="AX46" i="5"/>
  <c r="AY47" i="5" s="1"/>
  <c r="AY48" i="5" s="1"/>
  <c r="AY49" i="5" s="1"/>
  <c r="AT46" i="5"/>
  <c r="AU47" i="5" s="1"/>
  <c r="AU48" i="5" s="1"/>
  <c r="AU49" i="5" s="1"/>
  <c r="G46" i="5"/>
  <c r="H47" i="5" s="1"/>
  <c r="H48" i="5" s="1"/>
  <c r="H49" i="5" s="1"/>
  <c r="AA46" i="5"/>
  <c r="AB47" i="5" s="1"/>
  <c r="AB48" i="5" s="1"/>
  <c r="AB49" i="5" s="1"/>
  <c r="AZ46" i="5"/>
  <c r="BA47" i="5" s="1"/>
  <c r="BA48" i="5" s="1"/>
  <c r="BA49" i="5" s="1"/>
  <c r="O46" i="5"/>
  <c r="P47" i="5" s="1"/>
  <c r="P48" i="5" s="1"/>
  <c r="P49" i="5" s="1"/>
  <c r="W46" i="5"/>
  <c r="X47" i="5" s="1"/>
  <c r="X48" i="5" s="1"/>
  <c r="X49" i="5" s="1"/>
  <c r="K46" i="5"/>
  <c r="L47" i="5" s="1"/>
  <c r="L48" i="5" s="1"/>
  <c r="L49" i="5" s="1"/>
  <c r="AW46" i="5"/>
  <c r="AX47" i="5" s="1"/>
  <c r="AX48" i="5" s="1"/>
  <c r="AX49" i="5" s="1"/>
  <c r="BI46" i="5"/>
  <c r="AS46" i="5"/>
  <c r="AT47" i="5" s="1"/>
  <c r="AT48" i="5" s="1"/>
  <c r="AT49" i="5" s="1"/>
  <c r="BD46" i="5"/>
  <c r="BE47" i="5" s="1"/>
  <c r="BE48" i="5" s="1"/>
  <c r="BE49" i="5" s="1"/>
  <c r="M46" i="5"/>
  <c r="N47" i="5" s="1"/>
  <c r="N48" i="5" s="1"/>
  <c r="N49" i="5" s="1"/>
  <c r="X46" i="5"/>
  <c r="Y47" i="5" s="1"/>
  <c r="Y48" i="5" s="1"/>
  <c r="Y49" i="5" s="1"/>
  <c r="AQ46" i="5"/>
  <c r="AR47" i="5" s="1"/>
  <c r="AR48" i="5" s="1"/>
  <c r="AR49" i="5" s="1"/>
  <c r="AO46" i="5"/>
  <c r="AP47" i="5" s="1"/>
  <c r="AP48" i="5" s="1"/>
  <c r="AP49" i="5" s="1"/>
  <c r="Y46" i="5"/>
  <c r="Z47" i="5" s="1"/>
  <c r="Z48" i="5" s="1"/>
  <c r="Z49" i="5" s="1"/>
  <c r="AD46" i="5"/>
  <c r="AE47" i="5" s="1"/>
  <c r="AE48" i="5" s="1"/>
  <c r="AE49" i="5" s="1"/>
  <c r="AL46" i="5"/>
  <c r="AM47" i="5" s="1"/>
  <c r="AM48" i="5" s="1"/>
  <c r="AM49" i="5" s="1"/>
  <c r="AM46" i="5"/>
  <c r="AN47" i="5" s="1"/>
  <c r="AN48" i="5" s="1"/>
  <c r="AN49" i="5" s="1"/>
  <c r="AE46" i="5"/>
  <c r="AF47" i="5" s="1"/>
  <c r="AF48" i="5" s="1"/>
  <c r="AF49" i="5" s="1"/>
  <c r="BE46" i="5"/>
  <c r="BF47" i="5" s="1"/>
  <c r="BF48" i="5" s="1"/>
  <c r="BF49" i="5" s="1"/>
  <c r="BA46" i="5"/>
  <c r="BB47" i="5" s="1"/>
  <c r="BB48" i="5" s="1"/>
  <c r="BB49" i="5" s="1"/>
  <c r="P46" i="5"/>
  <c r="Q47" i="5" s="1"/>
  <c r="Q48" i="5" s="1"/>
  <c r="Q49" i="5" s="1"/>
  <c r="AY46" i="5"/>
  <c r="AZ47" i="5" s="1"/>
  <c r="AZ48" i="5" s="1"/>
  <c r="AZ49" i="5" s="1"/>
  <c r="S46" i="5"/>
  <c r="T47" i="5" s="1"/>
  <c r="T48" i="5" s="1"/>
  <c r="T49" i="5" s="1"/>
  <c r="AI46" i="5"/>
  <c r="AJ47" i="5" s="1"/>
  <c r="AJ48" i="5" s="1"/>
  <c r="AJ49" i="5" s="1"/>
  <c r="AK46" i="5"/>
  <c r="AL47" i="5" s="1"/>
  <c r="AL48" i="5" s="1"/>
  <c r="AL49" i="5" s="1"/>
  <c r="AH46" i="5"/>
  <c r="AI47" i="5" s="1"/>
  <c r="AI48" i="5" s="1"/>
  <c r="AI49" i="5" s="1"/>
  <c r="AF46" i="5"/>
  <c r="AG47" i="5" s="1"/>
  <c r="AG48" i="5" s="1"/>
  <c r="AG49" i="5" s="1"/>
  <c r="F46" i="5"/>
  <c r="G47" i="5" s="1"/>
  <c r="G48" i="5" s="1"/>
  <c r="G49" i="5" s="1"/>
  <c r="Q46" i="5"/>
  <c r="R47" i="5" s="1"/>
  <c r="R48" i="5" s="1"/>
  <c r="R49" i="5" s="1"/>
  <c r="I46" i="5"/>
  <c r="J47" i="5" s="1"/>
  <c r="J48" i="5" s="1"/>
  <c r="J49" i="5" s="1"/>
  <c r="BF32" i="5"/>
  <c r="BG33" i="5" s="1"/>
  <c r="BG34" i="5" s="1"/>
  <c r="BG35" i="5" s="1"/>
  <c r="AQ32" i="5"/>
  <c r="AR33" i="5" s="1"/>
  <c r="AR34" i="5" s="1"/>
  <c r="AR35" i="5" s="1"/>
  <c r="AF32" i="5"/>
  <c r="AG33" i="5" s="1"/>
  <c r="AG34" i="5" s="1"/>
  <c r="AG35" i="5" s="1"/>
  <c r="B38" i="5"/>
  <c r="G435" i="5" s="1"/>
  <c r="J34" i="5"/>
  <c r="J35" i="5" s="1"/>
  <c r="AY32" i="5"/>
  <c r="AZ33" i="5" s="1"/>
  <c r="AZ34" i="5" s="1"/>
  <c r="AZ35" i="5" s="1"/>
  <c r="S32" i="5"/>
  <c r="T33" i="5" s="1"/>
  <c r="T34" i="5" s="1"/>
  <c r="T35" i="5" s="1"/>
  <c r="BD32" i="5"/>
  <c r="BE33" i="5" s="1"/>
  <c r="BE34" i="5" s="1"/>
  <c r="BE35" i="5" s="1"/>
  <c r="AM32" i="5"/>
  <c r="AN33" i="5" s="1"/>
  <c r="AN34" i="5" s="1"/>
  <c r="AN35" i="5" s="1"/>
  <c r="L32" i="5"/>
  <c r="M33" i="5" s="1"/>
  <c r="M34" i="5" s="1"/>
  <c r="M35" i="5" s="1"/>
  <c r="Q32" i="5"/>
  <c r="R33" i="5" s="1"/>
  <c r="R34" i="5" s="1"/>
  <c r="R35" i="5" s="1"/>
  <c r="G32" i="5"/>
  <c r="H33" i="5" s="1"/>
  <c r="H34" i="5" s="1"/>
  <c r="H35" i="5" s="1"/>
  <c r="H32" i="5"/>
  <c r="I33" i="5" s="1"/>
  <c r="I34" i="5" s="1"/>
  <c r="I35" i="5" s="1"/>
  <c r="BA32" i="5"/>
  <c r="BB33" i="5" s="1"/>
  <c r="BB34" i="5" s="1"/>
  <c r="BB35" i="5" s="1"/>
  <c r="AT32" i="5"/>
  <c r="AU33" i="5" s="1"/>
  <c r="AU34" i="5" s="1"/>
  <c r="AU35" i="5" s="1"/>
  <c r="W32" i="5"/>
  <c r="X33" i="5" s="1"/>
  <c r="X34" i="5" s="1"/>
  <c r="X35" i="5" s="1"/>
  <c r="AP32" i="5"/>
  <c r="AQ33" i="5" s="1"/>
  <c r="AQ34" i="5" s="1"/>
  <c r="AQ35" i="5" s="1"/>
  <c r="AG32" i="5"/>
  <c r="AH33" i="5" s="1"/>
  <c r="AH34" i="5" s="1"/>
  <c r="AH35" i="5" s="1"/>
  <c r="AU32" i="5"/>
  <c r="AV33" i="5" s="1"/>
  <c r="AV34" i="5" s="1"/>
  <c r="AV35" i="5" s="1"/>
  <c r="AV32" i="5"/>
  <c r="AW33" i="5" s="1"/>
  <c r="AW34" i="5" s="1"/>
  <c r="AW35" i="5" s="1"/>
  <c r="X32" i="5"/>
  <c r="Y33" i="5" s="1"/>
  <c r="Y34" i="5" s="1"/>
  <c r="Y35" i="5" s="1"/>
  <c r="P32" i="5"/>
  <c r="Q33" i="5" s="1"/>
  <c r="Q34" i="5" s="1"/>
  <c r="Q35" i="5" s="1"/>
  <c r="U32" i="5"/>
  <c r="V33" i="5" s="1"/>
  <c r="V34" i="5" s="1"/>
  <c r="V35" i="5" s="1"/>
  <c r="BE32" i="5"/>
  <c r="BF33" i="5" s="1"/>
  <c r="BF34" i="5" s="1"/>
  <c r="BF35" i="5" s="1"/>
  <c r="F32" i="5"/>
  <c r="G33" i="5" s="1"/>
  <c r="G34" i="5" s="1"/>
  <c r="G35" i="5" s="1"/>
  <c r="BB32" i="5"/>
  <c r="BC33" i="5" s="1"/>
  <c r="BC34" i="5" s="1"/>
  <c r="BC35" i="5" s="1"/>
  <c r="Z32" i="5"/>
  <c r="AA33" i="5" s="1"/>
  <c r="AA34" i="5" s="1"/>
  <c r="AA35" i="5" s="1"/>
  <c r="AB32" i="5"/>
  <c r="AC33" i="5" s="1"/>
  <c r="AC34" i="5" s="1"/>
  <c r="AC35" i="5" s="1"/>
  <c r="T32" i="5"/>
  <c r="U33" i="5" s="1"/>
  <c r="U34" i="5" s="1"/>
  <c r="U35" i="5" s="1"/>
  <c r="AO32" i="5"/>
  <c r="AP33" i="5" s="1"/>
  <c r="AP34" i="5" s="1"/>
  <c r="AP35" i="5" s="1"/>
  <c r="BI32" i="5"/>
  <c r="AW32" i="5"/>
  <c r="AX33" i="5" s="1"/>
  <c r="AX34" i="5" s="1"/>
  <c r="AX35" i="5" s="1"/>
  <c r="AS32" i="5"/>
  <c r="AT33" i="5" s="1"/>
  <c r="AT34" i="5" s="1"/>
  <c r="AT35" i="5" s="1"/>
  <c r="BG32" i="5"/>
  <c r="BH33" i="5" s="1"/>
  <c r="BH34" i="5" s="1"/>
  <c r="BH35" i="5" s="1"/>
  <c r="N32" i="5"/>
  <c r="O33" i="5" s="1"/>
  <c r="O34" i="5" s="1"/>
  <c r="O35" i="5" s="1"/>
  <c r="V32" i="5"/>
  <c r="W33" i="5" s="1"/>
  <c r="W34" i="5" s="1"/>
  <c r="W35" i="5" s="1"/>
  <c r="J32" i="5"/>
  <c r="K33" i="5" s="1"/>
  <c r="K34" i="5" s="1"/>
  <c r="K35" i="5" s="1"/>
  <c r="K32" i="5"/>
  <c r="L33" i="5" s="1"/>
  <c r="L34" i="5" s="1"/>
  <c r="L35" i="5" s="1"/>
  <c r="BH32" i="5"/>
  <c r="BI33" i="5" s="1"/>
  <c r="BI34" i="5" s="1"/>
  <c r="BI35" i="5" s="1"/>
  <c r="AR32" i="5"/>
  <c r="AS33" i="5" s="1"/>
  <c r="AS34" i="5" s="1"/>
  <c r="AS35" i="5" s="1"/>
  <c r="BC32" i="5"/>
  <c r="BD33" i="5" s="1"/>
  <c r="BD34" i="5" s="1"/>
  <c r="BD35" i="5" s="1"/>
  <c r="AC32" i="5"/>
  <c r="AD33" i="5" s="1"/>
  <c r="AD34" i="5" s="1"/>
  <c r="AD35" i="5" s="1"/>
  <c r="AK32" i="5"/>
  <c r="AL33" i="5" s="1"/>
  <c r="AL34" i="5" s="1"/>
  <c r="AL35" i="5" s="1"/>
  <c r="AL32" i="5"/>
  <c r="AM33" i="5" s="1"/>
  <c r="AM34" i="5" s="1"/>
  <c r="AM35" i="5" s="1"/>
  <c r="AD32" i="5"/>
  <c r="AE33" i="5" s="1"/>
  <c r="AE34" i="5" s="1"/>
  <c r="AE35" i="5" s="1"/>
  <c r="AI32" i="5"/>
  <c r="AJ33" i="5" s="1"/>
  <c r="AJ34" i="5" s="1"/>
  <c r="AJ35" i="5" s="1"/>
  <c r="AZ32" i="5"/>
  <c r="BA33" i="5" s="1"/>
  <c r="BA34" i="5" s="1"/>
  <c r="BA35" i="5" s="1"/>
  <c r="O32" i="5"/>
  <c r="P33" i="5" s="1"/>
  <c r="P34" i="5" s="1"/>
  <c r="P35" i="5" s="1"/>
  <c r="AX32" i="5"/>
  <c r="AY33" i="5" s="1"/>
  <c r="AY34" i="5" s="1"/>
  <c r="AY35" i="5" s="1"/>
  <c r="R32" i="5"/>
  <c r="S33" i="5" s="1"/>
  <c r="S34" i="5" s="1"/>
  <c r="S35" i="5" s="1"/>
  <c r="AH32" i="5"/>
  <c r="AI33" i="5" s="1"/>
  <c r="AI34" i="5" s="1"/>
  <c r="AI35" i="5" s="1"/>
  <c r="AJ32" i="5"/>
  <c r="AK33" i="5" s="1"/>
  <c r="AK34" i="5" s="1"/>
  <c r="AK35" i="5" s="1"/>
  <c r="AE32" i="5"/>
  <c r="AF33" i="5" s="1"/>
  <c r="AF34" i="5" s="1"/>
  <c r="AF35" i="5" s="1"/>
  <c r="E32" i="5"/>
  <c r="F33" i="5" s="1"/>
  <c r="F34" i="5" s="1"/>
  <c r="F35" i="5" s="1"/>
  <c r="AN32" i="5"/>
  <c r="AO33" i="5" s="1"/>
  <c r="AO34" i="5" s="1"/>
  <c r="AO35" i="5" s="1"/>
  <c r="M32" i="5"/>
  <c r="N33" i="5" s="1"/>
  <c r="N34" i="5" s="1"/>
  <c r="N35" i="5" s="1"/>
  <c r="AA32" i="5"/>
  <c r="AB33" i="5" s="1"/>
  <c r="AB34" i="5" s="1"/>
  <c r="AB35" i="5" s="1"/>
  <c r="Y32" i="5"/>
  <c r="Z33" i="5" s="1"/>
  <c r="Z34" i="5" s="1"/>
  <c r="Z35" i="5" s="1"/>
  <c r="AL17" i="5"/>
  <c r="AM18" i="5" s="1"/>
  <c r="AM19" i="5" s="1"/>
  <c r="AM20" i="5" s="1"/>
  <c r="M17" i="5"/>
  <c r="N18" i="5" s="1"/>
  <c r="N19" i="5" s="1"/>
  <c r="N20" i="5" s="1"/>
  <c r="V17" i="5"/>
  <c r="W18" i="5" s="1"/>
  <c r="W19" i="5" s="1"/>
  <c r="W20" i="5" s="1"/>
  <c r="Z17" i="5"/>
  <c r="AA18" i="5" s="1"/>
  <c r="AA19" i="5" s="1"/>
  <c r="AA20" i="5" s="1"/>
  <c r="AI17" i="5"/>
  <c r="AJ18" i="5" s="1"/>
  <c r="AJ19" i="5" s="1"/>
  <c r="AJ20" i="5" s="1"/>
  <c r="AA17" i="5"/>
  <c r="AB18" i="5" s="1"/>
  <c r="AB19" i="5" s="1"/>
  <c r="AB20" i="5" s="1"/>
  <c r="U17" i="5"/>
  <c r="V18" i="5" s="1"/>
  <c r="V19" i="5" s="1"/>
  <c r="V20" i="5" s="1"/>
  <c r="AN17" i="5"/>
  <c r="AO18" i="5" s="1"/>
  <c r="AO19" i="5" s="1"/>
  <c r="AO20" i="5" s="1"/>
  <c r="L17" i="5"/>
  <c r="M18" i="5" s="1"/>
  <c r="M19" i="5" s="1"/>
  <c r="M20" i="5" s="1"/>
  <c r="T17" i="5"/>
  <c r="U18" i="5" s="1"/>
  <c r="U19" i="5" s="1"/>
  <c r="U20" i="5" s="1"/>
  <c r="BA17" i="5"/>
  <c r="BB18" i="5" s="1"/>
  <c r="BB19" i="5" s="1"/>
  <c r="BB20" i="5" s="1"/>
  <c r="AT17" i="5"/>
  <c r="AU18" i="5" s="1"/>
  <c r="AU19" i="5" s="1"/>
  <c r="AU20" i="5" s="1"/>
  <c r="H17" i="5"/>
  <c r="I18" i="5" s="1"/>
  <c r="I19" i="5" s="1"/>
  <c r="I20" i="5" s="1"/>
  <c r="AQ19" i="5"/>
  <c r="AQ20" i="5" s="1"/>
  <c r="BG17" i="5"/>
  <c r="BH18" i="5" s="1"/>
  <c r="BH19" i="5" s="1"/>
  <c r="BH20" i="5" s="1"/>
  <c r="AQ17" i="5"/>
  <c r="AR18" i="5" s="1"/>
  <c r="AR19" i="5" s="1"/>
  <c r="AR20" i="5" s="1"/>
  <c r="W17" i="5"/>
  <c r="X18" i="5" s="1"/>
  <c r="X19" i="5" s="1"/>
  <c r="X20" i="5" s="1"/>
  <c r="AV17" i="5"/>
  <c r="AW18" i="5" s="1"/>
  <c r="AW19" i="5" s="1"/>
  <c r="AW20" i="5" s="1"/>
  <c r="E17" i="5"/>
  <c r="F18" i="5" s="1"/>
  <c r="F19" i="5" s="1"/>
  <c r="F20" i="5" s="1"/>
  <c r="BH17" i="5"/>
  <c r="BI18" i="5" s="1"/>
  <c r="BI19" i="5" s="1"/>
  <c r="BI20" i="5" s="1"/>
  <c r="I17" i="5"/>
  <c r="J18" i="5" s="1"/>
  <c r="J19" i="5" s="1"/>
  <c r="J20" i="5" s="1"/>
  <c r="AK17" i="5"/>
  <c r="AL18" i="5" s="1"/>
  <c r="AL19" i="5" s="1"/>
  <c r="AL20" i="5" s="1"/>
  <c r="S17" i="5"/>
  <c r="T18" i="5" s="1"/>
  <c r="T19" i="5" s="1"/>
  <c r="T20" i="5" s="1"/>
  <c r="B23" i="5"/>
  <c r="G434" i="5" s="1"/>
  <c r="Q19" i="5"/>
  <c r="Q20" i="5" s="1"/>
  <c r="AD17" i="5"/>
  <c r="AE18" i="5" s="1"/>
  <c r="AE19" i="5" s="1"/>
  <c r="AE20" i="5" s="1"/>
  <c r="BD17" i="5"/>
  <c r="BE18" i="5" s="1"/>
  <c r="BE19" i="5" s="1"/>
  <c r="BE20" i="5" s="1"/>
  <c r="O17" i="5"/>
  <c r="P18" i="5" s="1"/>
  <c r="P19" i="5" s="1"/>
  <c r="P20" i="5" s="1"/>
  <c r="AZ17" i="5"/>
  <c r="BA18" i="5" s="1"/>
  <c r="BA19" i="5" s="1"/>
  <c r="BA20" i="5" s="1"/>
  <c r="AH17" i="5"/>
  <c r="AI18" i="5" s="1"/>
  <c r="AI19" i="5" s="1"/>
  <c r="AI20" i="5" s="1"/>
  <c r="AX17" i="5"/>
  <c r="AY18" i="5" s="1"/>
  <c r="AY19" i="5" s="1"/>
  <c r="AY20" i="5" s="1"/>
  <c r="AE17" i="5"/>
  <c r="AF18" i="5" s="1"/>
  <c r="AF19" i="5" s="1"/>
  <c r="AF20" i="5" s="1"/>
  <c r="D17" i="5"/>
  <c r="E18" i="5" s="1"/>
  <c r="E19" i="5" s="1"/>
  <c r="E20" i="5" s="1"/>
  <c r="J17" i="5"/>
  <c r="K18" i="5" s="1"/>
  <c r="K19" i="5" s="1"/>
  <c r="K20" i="5" s="1"/>
  <c r="F17" i="5"/>
  <c r="G18" i="5" s="1"/>
  <c r="G19" i="5" s="1"/>
  <c r="G20" i="5" s="1"/>
  <c r="BI17" i="5"/>
  <c r="G17" i="5"/>
  <c r="H18" i="5" s="1"/>
  <c r="H19" i="5" s="1"/>
  <c r="H20" i="5" s="1"/>
  <c r="AY17" i="5"/>
  <c r="AZ18" i="5" s="1"/>
  <c r="AZ19" i="5" s="1"/>
  <c r="AZ20" i="5" s="1"/>
  <c r="Y17" i="5"/>
  <c r="Z18" i="5" s="1"/>
  <c r="Z19" i="5" s="1"/>
  <c r="Z20" i="5" s="1"/>
  <c r="AF17" i="5"/>
  <c r="AG18" i="5" s="1"/>
  <c r="AG19" i="5" s="1"/>
  <c r="AG20" i="5" s="1"/>
  <c r="BF17" i="5"/>
  <c r="BG18" i="5" s="1"/>
  <c r="BG19" i="5" s="1"/>
  <c r="BG20" i="5" s="1"/>
  <c r="BE17" i="5"/>
  <c r="BF18" i="5" s="1"/>
  <c r="BF19" i="5" s="1"/>
  <c r="BF20" i="5" s="1"/>
  <c r="AR17" i="5"/>
  <c r="AS18" i="5" s="1"/>
  <c r="AS19" i="5" s="1"/>
  <c r="AS20" i="5" s="1"/>
  <c r="BB17" i="5"/>
  <c r="BC18" i="5" s="1"/>
  <c r="BC19" i="5" s="1"/>
  <c r="BC20" i="5" s="1"/>
  <c r="R17" i="5"/>
  <c r="S18" i="5" s="1"/>
  <c r="S19" i="5" s="1"/>
  <c r="S20" i="5" s="1"/>
  <c r="K17" i="5"/>
  <c r="L18" i="5" s="1"/>
  <c r="L19" i="5" s="1"/>
  <c r="L20" i="5" s="1"/>
  <c r="AS17" i="5"/>
  <c r="AT18" i="5" s="1"/>
  <c r="AT19" i="5" s="1"/>
  <c r="AT20" i="5" s="1"/>
  <c r="AU17" i="5"/>
  <c r="AV18" i="5" s="1"/>
  <c r="AV19" i="5" s="1"/>
  <c r="AV20" i="5" s="1"/>
  <c r="AO17" i="5"/>
  <c r="AP18" i="5" s="1"/>
  <c r="AP19" i="5" s="1"/>
  <c r="AP20" i="5" s="1"/>
  <c r="X17" i="5"/>
  <c r="Y18" i="5" s="1"/>
  <c r="Y19" i="5" s="1"/>
  <c r="Y20" i="5" s="1"/>
  <c r="AB17" i="5"/>
  <c r="AC18" i="5" s="1"/>
  <c r="AC19" i="5" s="1"/>
  <c r="AC20" i="5" s="1"/>
  <c r="AJ17" i="5"/>
  <c r="AK18" i="5" s="1"/>
  <c r="AK19" i="5" s="1"/>
  <c r="AK20" i="5" s="1"/>
  <c r="AC17" i="5"/>
  <c r="AD18" i="5" s="1"/>
  <c r="AD19" i="5" s="1"/>
  <c r="AD20" i="5" s="1"/>
  <c r="AM17" i="5"/>
  <c r="AN18" i="5" s="1"/>
  <c r="AN19" i="5" s="1"/>
  <c r="AN20" i="5" s="1"/>
  <c r="N17" i="5"/>
  <c r="O18" i="5" s="1"/>
  <c r="O19" i="5" s="1"/>
  <c r="O20" i="5" s="1"/>
  <c r="AW17" i="5"/>
  <c r="AX18" i="5" s="1"/>
  <c r="AX19" i="5" s="1"/>
  <c r="AX20" i="5" s="1"/>
  <c r="Q17" i="5"/>
  <c r="R18" i="5" s="1"/>
  <c r="R19" i="5" s="1"/>
  <c r="R20" i="5" s="1"/>
  <c r="AG17" i="5"/>
  <c r="AH18" i="5" s="1"/>
  <c r="AH19" i="5" s="1"/>
  <c r="AH20" i="5" s="1"/>
  <c r="B2" i="4"/>
  <c r="AZ3" i="4" s="1"/>
  <c r="BA4" i="4" s="1"/>
  <c r="BA5" i="4" s="1"/>
  <c r="BA6" i="4" s="1"/>
  <c r="B16" i="5"/>
  <c r="C17" i="5" s="1"/>
  <c r="D18" i="5" s="1"/>
  <c r="D19" i="5" s="1"/>
  <c r="D20" i="5" s="1"/>
  <c r="B45" i="5"/>
  <c r="E46" i="5" s="1"/>
  <c r="F47" i="5" s="1"/>
  <c r="F48" i="5" s="1"/>
  <c r="F49" i="5" s="1"/>
  <c r="B31" i="5"/>
  <c r="D32" i="5" s="1"/>
  <c r="E33" i="5" s="1"/>
  <c r="E34" i="5" s="1"/>
  <c r="E35" i="5" s="1"/>
  <c r="B60" i="5"/>
  <c r="G61" i="5" s="1"/>
  <c r="H62" i="5" s="1"/>
  <c r="H63" i="5" s="1"/>
  <c r="H64" i="5" s="1"/>
  <c r="G5" i="15"/>
  <c r="G13" i="15"/>
  <c r="G21" i="15"/>
  <c r="G29" i="15"/>
  <c r="G37" i="15"/>
  <c r="G45" i="15"/>
  <c r="G53" i="15"/>
  <c r="G61" i="15"/>
  <c r="G6" i="15"/>
  <c r="G14" i="15"/>
  <c r="G22" i="15"/>
  <c r="G30" i="15"/>
  <c r="G38" i="15"/>
  <c r="G46" i="15"/>
  <c r="G54" i="15"/>
  <c r="G62" i="15"/>
  <c r="G7" i="15"/>
  <c r="G15" i="15"/>
  <c r="G23" i="15"/>
  <c r="G31" i="15"/>
  <c r="G39" i="15"/>
  <c r="G47" i="15"/>
  <c r="G55" i="15"/>
  <c r="G3" i="15"/>
  <c r="G8" i="15"/>
  <c r="G16" i="15"/>
  <c r="G24" i="15"/>
  <c r="G32" i="15"/>
  <c r="G40" i="15"/>
  <c r="G48" i="15"/>
  <c r="G56" i="15"/>
  <c r="G10" i="15"/>
  <c r="G18" i="15"/>
  <c r="G26" i="15"/>
  <c r="G34" i="15"/>
  <c r="G42" i="15"/>
  <c r="G50" i="15"/>
  <c r="G58" i="15"/>
  <c r="G11" i="15"/>
  <c r="G19" i="15"/>
  <c r="G27" i="15"/>
  <c r="G35" i="15"/>
  <c r="G43" i="15"/>
  <c r="G51" i="15"/>
  <c r="G59" i="15"/>
  <c r="G28" i="15"/>
  <c r="G60" i="15"/>
  <c r="G33" i="15"/>
  <c r="G4" i="15"/>
  <c r="G36" i="15"/>
  <c r="G44" i="15"/>
  <c r="G25" i="15"/>
  <c r="G9" i="15"/>
  <c r="G41" i="15"/>
  <c r="G12" i="15"/>
  <c r="G57" i="15"/>
  <c r="G17" i="15"/>
  <c r="G49" i="15"/>
  <c r="G20" i="15"/>
  <c r="G52" i="15"/>
  <c r="C6" i="23" a="1"/>
  <c r="C6" i="23" s="1"/>
  <c r="B2" i="20" s="1"/>
  <c r="J46" i="20" s="1"/>
  <c r="B2" i="5"/>
  <c r="F3" i="5" s="1"/>
  <c r="G4" i="5" s="1"/>
  <c r="F2" i="13"/>
  <c r="D2" i="13" s="1"/>
  <c r="C30" i="25"/>
  <c r="C62" i="25"/>
  <c r="C9" i="25"/>
  <c r="C17" i="25"/>
  <c r="C52" i="25"/>
  <c r="D8" i="25"/>
  <c r="D16" i="25"/>
  <c r="C39" i="25"/>
  <c r="D62" i="25"/>
  <c r="D54" i="25"/>
  <c r="D46" i="25"/>
  <c r="D38" i="25"/>
  <c r="D30" i="25"/>
  <c r="D22" i="25"/>
  <c r="C31" i="25"/>
  <c r="I3" i="25"/>
  <c r="C10" i="25"/>
  <c r="C18" i="25"/>
  <c r="C56" i="25"/>
  <c r="D9" i="25"/>
  <c r="D17" i="25"/>
  <c r="C54" i="25"/>
  <c r="D61" i="25"/>
  <c r="D53" i="25"/>
  <c r="D45" i="25"/>
  <c r="D37" i="25"/>
  <c r="D29" i="25"/>
  <c r="C28" i="25"/>
  <c r="C36" i="25"/>
  <c r="C57" i="25"/>
  <c r="C7" i="25"/>
  <c r="C15" i="25"/>
  <c r="C44" i="25"/>
  <c r="D6" i="25"/>
  <c r="C23" i="25"/>
  <c r="C55" i="25"/>
  <c r="D40" i="25"/>
  <c r="D32" i="25"/>
  <c r="C59" i="25"/>
  <c r="C22" i="25"/>
  <c r="C32" i="25"/>
  <c r="C41" i="25"/>
  <c r="C3" i="25"/>
  <c r="C11" i="25"/>
  <c r="C19" i="25"/>
  <c r="C60" i="25"/>
  <c r="D10" i="25"/>
  <c r="D18" i="25"/>
  <c r="C38" i="25"/>
  <c r="D60" i="25"/>
  <c r="D52" i="25"/>
  <c r="D44" i="25"/>
  <c r="D36" i="25"/>
  <c r="D28" i="25"/>
  <c r="C46" i="25"/>
  <c r="C24" i="25"/>
  <c r="C33" i="25"/>
  <c r="C45" i="25"/>
  <c r="C4" i="25"/>
  <c r="C12" i="25"/>
  <c r="C20" i="25"/>
  <c r="D3" i="25"/>
  <c r="D11" i="25"/>
  <c r="D19" i="25"/>
  <c r="C43" i="25"/>
  <c r="D59" i="25"/>
  <c r="D51" i="25"/>
  <c r="D43" i="25"/>
  <c r="D35" i="25"/>
  <c r="D27" i="25"/>
  <c r="C58" i="25"/>
  <c r="C26" i="25"/>
  <c r="C34" i="25"/>
  <c r="C49" i="25"/>
  <c r="C5" i="25"/>
  <c r="C13" i="25"/>
  <c r="C21" i="25"/>
  <c r="D4" i="25"/>
  <c r="D12" i="25"/>
  <c r="D20" i="25"/>
  <c r="C47" i="25"/>
  <c r="D58" i="25"/>
  <c r="D50" i="25"/>
  <c r="D42" i="25"/>
  <c r="D34" i="25"/>
  <c r="D26" i="25"/>
  <c r="D24" i="25"/>
  <c r="C27" i="25"/>
  <c r="C35" i="25"/>
  <c r="C53" i="25"/>
  <c r="C6" i="25"/>
  <c r="C14" i="25"/>
  <c r="C40" i="25"/>
  <c r="D5" i="25"/>
  <c r="D13" i="25"/>
  <c r="D21" i="25"/>
  <c r="C51" i="25"/>
  <c r="D57" i="25"/>
  <c r="D49" i="25"/>
  <c r="D41" i="25"/>
  <c r="D33" i="25"/>
  <c r="D25" i="25"/>
  <c r="D14" i="25"/>
  <c r="D56" i="25"/>
  <c r="D48" i="25"/>
  <c r="C37" i="25"/>
  <c r="C29" i="25"/>
  <c r="C42" i="25"/>
  <c r="C61" i="25"/>
  <c r="C8" i="25"/>
  <c r="C16" i="25"/>
  <c r="C48" i="25"/>
  <c r="D7" i="25"/>
  <c r="D15" i="25"/>
  <c r="C25" i="25"/>
  <c r="C50" i="25"/>
  <c r="D55" i="25"/>
  <c r="D47" i="25"/>
  <c r="D39" i="25"/>
  <c r="D31" i="25"/>
  <c r="D23" i="25"/>
  <c r="AW3" i="5"/>
  <c r="AX4" i="5" s="1"/>
  <c r="AX5" i="5" s="1"/>
  <c r="AX6" i="5" s="1"/>
  <c r="D8" i="11"/>
  <c r="E9" i="11" s="1"/>
  <c r="F9" i="11" s="1"/>
  <c r="G9" i="11" s="1"/>
  <c r="E9" i="16"/>
  <c r="F9" i="16" s="1"/>
  <c r="G9" i="16" s="1"/>
  <c r="D62" i="15"/>
  <c r="C57" i="15"/>
  <c r="D54" i="15"/>
  <c r="C49" i="15"/>
  <c r="D46" i="15"/>
  <c r="C41" i="15"/>
  <c r="D38" i="15"/>
  <c r="C33" i="15"/>
  <c r="D30" i="15"/>
  <c r="C25" i="15"/>
  <c r="D22" i="15"/>
  <c r="C17" i="15"/>
  <c r="D14" i="15"/>
  <c r="C9" i="15"/>
  <c r="D6" i="15"/>
  <c r="C52" i="15"/>
  <c r="D25" i="15"/>
  <c r="C4" i="15"/>
  <c r="C62" i="15"/>
  <c r="D59" i="15"/>
  <c r="C54" i="15"/>
  <c r="D51" i="15"/>
  <c r="C46" i="15"/>
  <c r="D43" i="15"/>
  <c r="C38" i="15"/>
  <c r="D35" i="15"/>
  <c r="C30" i="15"/>
  <c r="D27" i="15"/>
  <c r="C22" i="15"/>
  <c r="D19" i="15"/>
  <c r="C14" i="15"/>
  <c r="D11" i="15"/>
  <c r="C6" i="15"/>
  <c r="D3" i="15"/>
  <c r="D58" i="15"/>
  <c r="C29" i="15"/>
  <c r="C21" i="15"/>
  <c r="D10" i="15"/>
  <c r="C55" i="15"/>
  <c r="D28" i="15"/>
  <c r="D12" i="15"/>
  <c r="C60" i="15"/>
  <c r="D41" i="15"/>
  <c r="C12" i="15"/>
  <c r="C59" i="15"/>
  <c r="D56" i="15"/>
  <c r="C51" i="15"/>
  <c r="D48" i="15"/>
  <c r="C43" i="15"/>
  <c r="D40" i="15"/>
  <c r="C35" i="15"/>
  <c r="D32" i="15"/>
  <c r="C27" i="15"/>
  <c r="D24" i="15"/>
  <c r="C19" i="15"/>
  <c r="D16" i="15"/>
  <c r="C11" i="15"/>
  <c r="D8" i="15"/>
  <c r="C3" i="15"/>
  <c r="C37" i="15"/>
  <c r="D26" i="15"/>
  <c r="C13" i="15"/>
  <c r="C5" i="15"/>
  <c r="D52" i="15"/>
  <c r="D44" i="15"/>
  <c r="C31" i="15"/>
  <c r="C23" i="15"/>
  <c r="D57" i="15"/>
  <c r="C44" i="15"/>
  <c r="D33" i="15"/>
  <c r="D17" i="15"/>
  <c r="D9" i="15"/>
  <c r="D61" i="15"/>
  <c r="C56" i="15"/>
  <c r="D53" i="15"/>
  <c r="C48" i="15"/>
  <c r="D45" i="15"/>
  <c r="C40" i="15"/>
  <c r="D37" i="15"/>
  <c r="C32" i="15"/>
  <c r="D29" i="15"/>
  <c r="C24" i="15"/>
  <c r="D21" i="15"/>
  <c r="C16" i="15"/>
  <c r="D13" i="15"/>
  <c r="C8" i="15"/>
  <c r="D5" i="15"/>
  <c r="D42" i="15"/>
  <c r="D36" i="15"/>
  <c r="C15" i="15"/>
  <c r="D4" i="15"/>
  <c r="C20" i="15"/>
  <c r="C61" i="15"/>
  <c r="C53" i="15"/>
  <c r="D50" i="15"/>
  <c r="C45" i="15"/>
  <c r="D34" i="15"/>
  <c r="D18" i="15"/>
  <c r="C39" i="15"/>
  <c r="C7" i="15"/>
  <c r="D49" i="15"/>
  <c r="C28" i="15"/>
  <c r="C58" i="15"/>
  <c r="D55" i="15"/>
  <c r="C50" i="15"/>
  <c r="D47" i="15"/>
  <c r="C42" i="15"/>
  <c r="D39" i="15"/>
  <c r="C34" i="15"/>
  <c r="D31" i="15"/>
  <c r="C26" i="15"/>
  <c r="D23" i="15"/>
  <c r="C18" i="15"/>
  <c r="D15" i="15"/>
  <c r="C10" i="15"/>
  <c r="D7" i="15"/>
  <c r="D60" i="15"/>
  <c r="C47" i="15"/>
  <c r="D20" i="15"/>
  <c r="C36" i="15"/>
  <c r="D40" i="19"/>
  <c r="D10" i="19"/>
  <c r="D32" i="19"/>
  <c r="D7" i="19"/>
  <c r="D9" i="19"/>
  <c r="D24" i="19"/>
  <c r="D4" i="19"/>
  <c r="D16" i="19"/>
  <c r="D3" i="19"/>
  <c r="C3" i="19"/>
  <c r="D48" i="19"/>
  <c r="D5" i="19"/>
  <c r="D56" i="19"/>
  <c r="D8" i="19"/>
  <c r="D6" i="19"/>
  <c r="D43" i="19"/>
  <c r="D46" i="19"/>
  <c r="D57" i="19"/>
  <c r="D15" i="19"/>
  <c r="D26" i="19"/>
  <c r="D37" i="19"/>
  <c r="D60" i="19"/>
  <c r="D51" i="19"/>
  <c r="D54" i="19"/>
  <c r="D12" i="19"/>
  <c r="D23" i="19"/>
  <c r="D34" i="19"/>
  <c r="D45" i="19"/>
  <c r="D41" i="19"/>
  <c r="D38" i="19"/>
  <c r="D59" i="19"/>
  <c r="D62" i="19"/>
  <c r="D20" i="19"/>
  <c r="D31" i="19"/>
  <c r="D42" i="19"/>
  <c r="D53" i="19"/>
  <c r="D29" i="19"/>
  <c r="D17" i="19"/>
  <c r="D28" i="19"/>
  <c r="D39" i="19"/>
  <c r="D50" i="19"/>
  <c r="D52" i="19"/>
  <c r="D49" i="19"/>
  <c r="D11" i="19"/>
  <c r="D14" i="19"/>
  <c r="D25" i="19"/>
  <c r="D36" i="19"/>
  <c r="D47" i="19"/>
  <c r="D58" i="19"/>
  <c r="D30" i="19"/>
  <c r="D18" i="19"/>
  <c r="D19" i="19"/>
  <c r="D22" i="19"/>
  <c r="D33" i="19"/>
  <c r="D44" i="19"/>
  <c r="D55" i="19"/>
  <c r="D13" i="19"/>
  <c r="D27" i="19"/>
  <c r="D21" i="19"/>
  <c r="D35" i="19"/>
  <c r="E6" i="20"/>
  <c r="V3" i="5"/>
  <c r="W4" i="5" s="1"/>
  <c r="W5" i="5" s="1"/>
  <c r="W6" i="5" s="1"/>
  <c r="BE3" i="5"/>
  <c r="BF4" i="5" s="1"/>
  <c r="BF5" i="5" s="1"/>
  <c r="BF6" i="5" s="1"/>
  <c r="AL3" i="5"/>
  <c r="AM4" i="5" s="1"/>
  <c r="AM5" i="5" s="1"/>
  <c r="AM6" i="5" s="1"/>
  <c r="N3" i="5"/>
  <c r="O4" i="5" s="1"/>
  <c r="O5" i="5" s="1"/>
  <c r="O6" i="5" s="1"/>
  <c r="BD3" i="5"/>
  <c r="BE4" i="5" s="1"/>
  <c r="BE5" i="5" s="1"/>
  <c r="BE6" i="5" s="1"/>
  <c r="G3" i="5"/>
  <c r="H4" i="5" s="1"/>
  <c r="H5" i="5" s="1"/>
  <c r="H6" i="5" s="1"/>
  <c r="M6" i="20"/>
  <c r="U3" i="5"/>
  <c r="V4" i="5" s="1"/>
  <c r="V5" i="5" s="1"/>
  <c r="V6" i="5" s="1"/>
  <c r="D6" i="20"/>
  <c r="BC3" i="5"/>
  <c r="BD4" i="5" s="1"/>
  <c r="BD5" i="5" s="1"/>
  <c r="BD6" i="5" s="1"/>
  <c r="C6" i="20"/>
  <c r="D7" i="24"/>
  <c r="E7" i="24" s="1"/>
  <c r="F7" i="24" s="1"/>
  <c r="C7" i="24"/>
  <c r="AR3" i="5"/>
  <c r="AS4" i="5" s="1"/>
  <c r="AS5" i="5" s="1"/>
  <c r="AS6" i="5" s="1"/>
  <c r="AD3" i="5"/>
  <c r="AE4" i="5" s="1"/>
  <c r="AE5" i="5" s="1"/>
  <c r="AE6" i="5" s="1"/>
  <c r="AN3" i="5"/>
  <c r="AO4" i="5" s="1"/>
  <c r="AO5" i="5" s="1"/>
  <c r="AO6" i="5" s="1"/>
  <c r="AG3" i="5"/>
  <c r="AH4" i="5" s="1"/>
  <c r="AH5" i="5" s="1"/>
  <c r="AH6" i="5" s="1"/>
  <c r="Q3" i="5"/>
  <c r="R4" i="5" s="1"/>
  <c r="R5" i="5" s="1"/>
  <c r="R6" i="5" s="1"/>
  <c r="I3" i="5"/>
  <c r="J4" i="5" s="1"/>
  <c r="J5" i="5" s="1"/>
  <c r="J6" i="5" s="1"/>
  <c r="M3" i="5"/>
  <c r="N4" i="5" s="1"/>
  <c r="N5" i="5" s="1"/>
  <c r="N6" i="5" s="1"/>
  <c r="AH3" i="5"/>
  <c r="AI4" i="5" s="1"/>
  <c r="AI5" i="5" s="1"/>
  <c r="AI6" i="5" s="1"/>
  <c r="AY3" i="5"/>
  <c r="AZ4" i="5" s="1"/>
  <c r="AZ5" i="5" s="1"/>
  <c r="AZ6" i="5" s="1"/>
  <c r="AU3" i="5"/>
  <c r="AV4" i="5" s="1"/>
  <c r="AV5" i="5" s="1"/>
  <c r="AV6" i="5" s="1"/>
  <c r="AE3" i="5"/>
  <c r="AF4" i="5" s="1"/>
  <c r="AF5" i="5" s="1"/>
  <c r="AF6" i="5" s="1"/>
  <c r="AK3" i="5"/>
  <c r="AL4" i="5" s="1"/>
  <c r="AL5" i="5" s="1"/>
  <c r="AL6" i="5" s="1"/>
  <c r="AB3" i="5"/>
  <c r="AC4" i="5" s="1"/>
  <c r="AC5" i="5" s="1"/>
  <c r="AC6" i="5" s="1"/>
  <c r="AC3" i="5"/>
  <c r="AD4" i="5" s="1"/>
  <c r="AD5" i="5" s="1"/>
  <c r="AD6" i="5" s="1"/>
  <c r="BB3" i="5"/>
  <c r="BC4" i="5" s="1"/>
  <c r="BC5" i="5" s="1"/>
  <c r="BC6" i="5" s="1"/>
  <c r="AJ3" i="5"/>
  <c r="AK4" i="5" s="1"/>
  <c r="AK5" i="5" s="1"/>
  <c r="AK6" i="5" s="1"/>
  <c r="AX3" i="5"/>
  <c r="AY4" i="5" s="1"/>
  <c r="AY5" i="5" s="1"/>
  <c r="AY6" i="5" s="1"/>
  <c r="I6" i="20"/>
  <c r="G6" i="22"/>
  <c r="F6" i="21"/>
  <c r="F6" i="22"/>
  <c r="M6" i="21"/>
  <c r="E6" i="21"/>
  <c r="M6" i="22"/>
  <c r="E6" i="22"/>
  <c r="L6" i="21"/>
  <c r="D6" i="21"/>
  <c r="K6" i="22"/>
  <c r="C6" i="22"/>
  <c r="J6" i="21"/>
  <c r="I6" i="21"/>
  <c r="J6" i="22"/>
  <c r="H6" i="22"/>
  <c r="G6" i="21"/>
  <c r="D6" i="22"/>
  <c r="H6" i="21"/>
  <c r="K6" i="21"/>
  <c r="C6" i="21"/>
  <c r="L6" i="22"/>
  <c r="I6" i="22"/>
  <c r="AA3" i="5"/>
  <c r="AB4" i="5" s="1"/>
  <c r="AB5" i="5" s="1"/>
  <c r="AB6" i="5" s="1"/>
  <c r="K3" i="5"/>
  <c r="L4" i="5" s="1"/>
  <c r="L5" i="5" s="1"/>
  <c r="L6" i="5" s="1"/>
  <c r="Z3" i="5"/>
  <c r="AA4" i="5" s="1"/>
  <c r="AA5" i="5" s="1"/>
  <c r="AA6" i="5" s="1"/>
  <c r="AI3" i="5"/>
  <c r="AJ4" i="5" s="1"/>
  <c r="AJ5" i="5" s="1"/>
  <c r="AJ6" i="5" s="1"/>
  <c r="AM3" i="5"/>
  <c r="AN4" i="5" s="1"/>
  <c r="AN5" i="5" s="1"/>
  <c r="AN6" i="5" s="1"/>
  <c r="AZ3" i="5"/>
  <c r="BA4" i="5" s="1"/>
  <c r="BA5" i="5" s="1"/>
  <c r="BA6" i="5" s="1"/>
  <c r="S3" i="5"/>
  <c r="T4" i="5" s="1"/>
  <c r="T5" i="5" s="1"/>
  <c r="T6" i="5" s="1"/>
  <c r="K3" i="22"/>
  <c r="C3" i="22"/>
  <c r="J3" i="21"/>
  <c r="J3" i="22"/>
  <c r="I3" i="21"/>
  <c r="I3" i="22"/>
  <c r="H3" i="21"/>
  <c r="G3" i="22"/>
  <c r="F3" i="21"/>
  <c r="M3" i="21"/>
  <c r="E3" i="21"/>
  <c r="F3" i="22"/>
  <c r="L3" i="22"/>
  <c r="D3" i="22"/>
  <c r="H3" i="22"/>
  <c r="C3" i="21"/>
  <c r="E3" i="22"/>
  <c r="L3" i="21"/>
  <c r="M3" i="22"/>
  <c r="D3" i="21"/>
  <c r="K3" i="21"/>
  <c r="G3" i="21"/>
  <c r="H6" i="20"/>
  <c r="AS3" i="5"/>
  <c r="AT4" i="5" s="1"/>
  <c r="AT5" i="5" s="1"/>
  <c r="AT6" i="5" s="1"/>
  <c r="B9" i="5"/>
  <c r="G437" i="5" s="1"/>
  <c r="BI3" i="5"/>
  <c r="AT3" i="5"/>
  <c r="AU4" i="5" s="1"/>
  <c r="AU5" i="5" s="1"/>
  <c r="AU6" i="5" s="1"/>
  <c r="AV3" i="5"/>
  <c r="AW4" i="5" s="1"/>
  <c r="AW5" i="5" s="1"/>
  <c r="AW6" i="5" s="1"/>
  <c r="BF3" i="5"/>
  <c r="BG4" i="5" s="1"/>
  <c r="BG5" i="5" s="1"/>
  <c r="BG6" i="5" s="1"/>
  <c r="O3" i="5"/>
  <c r="P4" i="5" s="1"/>
  <c r="P5" i="5" s="1"/>
  <c r="P6" i="5" s="1"/>
  <c r="AP3" i="5"/>
  <c r="AQ4" i="5" s="1"/>
  <c r="AQ5" i="5" s="1"/>
  <c r="AQ6" i="5" s="1"/>
  <c r="BG3" i="5"/>
  <c r="BH4" i="5" s="1"/>
  <c r="BH5" i="5" s="1"/>
  <c r="BH6" i="5" s="1"/>
  <c r="H3" i="5"/>
  <c r="I4" i="5" s="1"/>
  <c r="I5" i="5" s="1"/>
  <c r="I6" i="5" s="1"/>
  <c r="P3" i="5"/>
  <c r="Q4" i="5" s="1"/>
  <c r="Q5" i="5" s="1"/>
  <c r="Q6" i="5" s="1"/>
  <c r="G4" i="22"/>
  <c r="F4" i="21"/>
  <c r="F4" i="22"/>
  <c r="M4" i="21"/>
  <c r="E4" i="21"/>
  <c r="M4" i="22"/>
  <c r="E4" i="22"/>
  <c r="L4" i="21"/>
  <c r="D4" i="21"/>
  <c r="K4" i="22"/>
  <c r="C4" i="22"/>
  <c r="J4" i="21"/>
  <c r="I4" i="21"/>
  <c r="J4" i="22"/>
  <c r="H4" i="22"/>
  <c r="G4" i="21"/>
  <c r="K4" i="21"/>
  <c r="H4" i="21"/>
  <c r="L4" i="22"/>
  <c r="C4" i="21"/>
  <c r="I4" i="22"/>
  <c r="D4" i="22"/>
  <c r="C10" i="23"/>
  <c r="W3" i="5"/>
  <c r="X4" i="5" s="1"/>
  <c r="X5" i="5" s="1"/>
  <c r="X6" i="5" s="1"/>
  <c r="AF3" i="5"/>
  <c r="AG4" i="5" s="1"/>
  <c r="AG5" i="5" s="1"/>
  <c r="AG6" i="5" s="1"/>
  <c r="R3" i="5"/>
  <c r="S4" i="5" s="1"/>
  <c r="S5" i="5" s="1"/>
  <c r="S6" i="5" s="1"/>
  <c r="J3" i="5"/>
  <c r="K4" i="5" s="1"/>
  <c r="K5" i="5" s="1"/>
  <c r="K6" i="5" s="1"/>
  <c r="BA3" i="5"/>
  <c r="BB4" i="5" s="1"/>
  <c r="BB5" i="5" s="1"/>
  <c r="BB6" i="5" s="1"/>
  <c r="BH3" i="5"/>
  <c r="BI4" i="5" s="1"/>
  <c r="BI5" i="5" s="1"/>
  <c r="BI6" i="5" s="1"/>
  <c r="K5" i="22"/>
  <c r="U146" i="22" s="1"/>
  <c r="C5" i="22"/>
  <c r="M146" i="22" s="1"/>
  <c r="J5" i="21"/>
  <c r="R139" i="21" s="1"/>
  <c r="J5" i="22"/>
  <c r="T146" i="22" s="1"/>
  <c r="I5" i="21"/>
  <c r="Q139" i="21" s="1"/>
  <c r="I5" i="22"/>
  <c r="S146" i="22" s="1"/>
  <c r="H5" i="21"/>
  <c r="P139" i="21" s="1"/>
  <c r="G5" i="22"/>
  <c r="Q146" i="22" s="1"/>
  <c r="F5" i="21"/>
  <c r="N139" i="21" s="1"/>
  <c r="M5" i="21"/>
  <c r="U139" i="21" s="1"/>
  <c r="E5" i="21"/>
  <c r="M139" i="21" s="1"/>
  <c r="F5" i="22"/>
  <c r="P146" i="22" s="1"/>
  <c r="L5" i="22"/>
  <c r="V146" i="22" s="1"/>
  <c r="D5" i="22"/>
  <c r="N146" i="22" s="1"/>
  <c r="K5" i="21"/>
  <c r="S139" i="21" s="1"/>
  <c r="C5" i="21"/>
  <c r="K139" i="21" s="1"/>
  <c r="D5" i="21"/>
  <c r="L139" i="21" s="1"/>
  <c r="H5" i="22"/>
  <c r="R146" i="22" s="1"/>
  <c r="M5" i="22"/>
  <c r="W146" i="22" s="1"/>
  <c r="E5" i="22"/>
  <c r="O146" i="22" s="1"/>
  <c r="L5" i="21"/>
  <c r="T139" i="21" s="1"/>
  <c r="G5" i="21"/>
  <c r="O139" i="21" s="1"/>
  <c r="L3" i="5"/>
  <c r="M4" i="5" s="1"/>
  <c r="M5" i="5" s="1"/>
  <c r="M6" i="5" s="1"/>
  <c r="T3" i="5"/>
  <c r="U4" i="5" s="1"/>
  <c r="U5" i="5" s="1"/>
  <c r="U6" i="5" s="1"/>
  <c r="X3" i="5"/>
  <c r="Y4" i="5" s="1"/>
  <c r="Y5" i="5" s="1"/>
  <c r="Y6" i="5" s="1"/>
  <c r="AQ3" i="5"/>
  <c r="AR4" i="5" s="1"/>
  <c r="AR5" i="5" s="1"/>
  <c r="AR6" i="5" s="1"/>
  <c r="Y3" i="5"/>
  <c r="Z4" i="5" s="1"/>
  <c r="Z5" i="5" s="1"/>
  <c r="Z6" i="5" s="1"/>
  <c r="AO3" i="5"/>
  <c r="AP4" i="5" s="1"/>
  <c r="AP5" i="5" s="1"/>
  <c r="AP6" i="5" s="1"/>
  <c r="F6" i="20"/>
  <c r="G6" i="20"/>
  <c r="K6" i="20"/>
  <c r="J6" i="20"/>
  <c r="C7" i="23"/>
  <c r="C3" i="20"/>
  <c r="K47" i="20" s="1"/>
  <c r="K3" i="20"/>
  <c r="S47" i="20" s="1"/>
  <c r="D3" i="20"/>
  <c r="L47" i="20" s="1"/>
  <c r="L3" i="20"/>
  <c r="T47" i="20" s="1"/>
  <c r="E3" i="20"/>
  <c r="M47" i="20" s="1"/>
  <c r="M3" i="20"/>
  <c r="U47" i="20" s="1"/>
  <c r="F3" i="20"/>
  <c r="N47" i="20" s="1"/>
  <c r="G3" i="20"/>
  <c r="O47" i="20" s="1"/>
  <c r="H3" i="20"/>
  <c r="P47" i="20" s="1"/>
  <c r="I3" i="20"/>
  <c r="Q47" i="20" s="1"/>
  <c r="J3" i="20"/>
  <c r="R47" i="20" s="1"/>
  <c r="C8" i="23"/>
  <c r="G4" i="20"/>
  <c r="H4" i="20"/>
  <c r="C4" i="20"/>
  <c r="I4" i="20"/>
  <c r="K4" i="20"/>
  <c r="J4" i="20"/>
  <c r="D4" i="20"/>
  <c r="L4" i="20"/>
  <c r="E4" i="20"/>
  <c r="M4" i="20"/>
  <c r="F4" i="20"/>
  <c r="C9" i="23"/>
  <c r="C5" i="20"/>
  <c r="K5" i="20"/>
  <c r="G5" i="20"/>
  <c r="D5" i="20"/>
  <c r="L5" i="20"/>
  <c r="E5" i="20"/>
  <c r="M5" i="20"/>
  <c r="F5" i="20"/>
  <c r="H5" i="20"/>
  <c r="I5" i="20"/>
  <c r="J5" i="20"/>
  <c r="D10" i="16"/>
  <c r="E11" i="16" s="1"/>
  <c r="F11" i="16" s="1"/>
  <c r="G11" i="16" s="1"/>
  <c r="E10" i="16"/>
  <c r="F10" i="16" s="1"/>
  <c r="G10" i="16" s="1"/>
  <c r="B216" i="5" l="1"/>
  <c r="E448" i="5" s="1"/>
  <c r="G441" i="5"/>
  <c r="D113" i="5"/>
  <c r="L113" i="5"/>
  <c r="E113" i="5"/>
  <c r="M113" i="5"/>
  <c r="F113" i="5"/>
  <c r="N113" i="5"/>
  <c r="K113" i="5"/>
  <c r="G113" i="5"/>
  <c r="C113" i="5"/>
  <c r="H113" i="5"/>
  <c r="I113" i="5"/>
  <c r="J113" i="5"/>
  <c r="G443" i="5"/>
  <c r="K144" i="5"/>
  <c r="D144" i="5"/>
  <c r="L144" i="5"/>
  <c r="E144" i="5"/>
  <c r="M144" i="5"/>
  <c r="F144" i="5"/>
  <c r="N144" i="5"/>
  <c r="J144" i="5"/>
  <c r="G144" i="5"/>
  <c r="C144" i="5"/>
  <c r="H144" i="5"/>
  <c r="I144" i="5"/>
  <c r="G440" i="5"/>
  <c r="I99" i="5"/>
  <c r="G99" i="5"/>
  <c r="J99" i="5"/>
  <c r="C99" i="5"/>
  <c r="K99" i="5"/>
  <c r="D99" i="5"/>
  <c r="L99" i="5"/>
  <c r="E99" i="5"/>
  <c r="M99" i="5"/>
  <c r="F99" i="5"/>
  <c r="N99" i="5"/>
  <c r="H99" i="5"/>
  <c r="B185" i="5"/>
  <c r="E446" i="5" s="1"/>
  <c r="B304" i="5"/>
  <c r="E454" i="5" s="1"/>
  <c r="B408" i="5"/>
  <c r="E461" i="5" s="1"/>
  <c r="G444" i="5"/>
  <c r="H159" i="5"/>
  <c r="I159" i="5"/>
  <c r="C159" i="5"/>
  <c r="J159" i="5"/>
  <c r="K159" i="5"/>
  <c r="D159" i="5"/>
  <c r="L159" i="5"/>
  <c r="E159" i="5"/>
  <c r="M159" i="5"/>
  <c r="F159" i="5"/>
  <c r="N159" i="5"/>
  <c r="G159" i="5"/>
  <c r="G445" i="5"/>
  <c r="F173" i="5"/>
  <c r="N173" i="5"/>
  <c r="M173" i="5"/>
  <c r="G173" i="5"/>
  <c r="C173" i="5"/>
  <c r="I173" i="5"/>
  <c r="L173" i="5"/>
  <c r="H173" i="5"/>
  <c r="J173" i="5"/>
  <c r="K173" i="5"/>
  <c r="D173" i="5"/>
  <c r="E173" i="5"/>
  <c r="G439" i="5"/>
  <c r="D84" i="5"/>
  <c r="L84" i="5"/>
  <c r="E84" i="5"/>
  <c r="M84" i="5"/>
  <c r="F84" i="5"/>
  <c r="N84" i="5"/>
  <c r="J84" i="5"/>
  <c r="G84" i="5"/>
  <c r="C84" i="5"/>
  <c r="H84" i="5"/>
  <c r="K84" i="5"/>
  <c r="I84" i="5"/>
  <c r="K397" i="5"/>
  <c r="D397" i="5"/>
  <c r="L397" i="5"/>
  <c r="G460" i="5"/>
  <c r="E397" i="5"/>
  <c r="M397" i="5"/>
  <c r="G397" i="5"/>
  <c r="C397" i="5"/>
  <c r="H397" i="5"/>
  <c r="J397" i="5"/>
  <c r="N397" i="5"/>
  <c r="I397" i="5"/>
  <c r="F397" i="5"/>
  <c r="G461" i="5"/>
  <c r="H411" i="5"/>
  <c r="I411" i="5"/>
  <c r="J411" i="5"/>
  <c r="D411" i="5"/>
  <c r="L411" i="5"/>
  <c r="E411" i="5"/>
  <c r="M411" i="5"/>
  <c r="N411" i="5"/>
  <c r="C411" i="5"/>
  <c r="F411" i="5"/>
  <c r="K411" i="5"/>
  <c r="G411" i="5"/>
  <c r="D426" i="5"/>
  <c r="L426" i="5"/>
  <c r="E426" i="5"/>
  <c r="M426" i="5"/>
  <c r="F426" i="5"/>
  <c r="N426" i="5"/>
  <c r="H426" i="5"/>
  <c r="I426" i="5"/>
  <c r="C426" i="5"/>
  <c r="G426" i="5"/>
  <c r="G462" i="5"/>
  <c r="J426" i="5"/>
  <c r="K426" i="5"/>
  <c r="G449" i="5"/>
  <c r="E233" i="5"/>
  <c r="M233" i="5"/>
  <c r="F233" i="5"/>
  <c r="N233" i="5"/>
  <c r="G233" i="5"/>
  <c r="C233" i="5"/>
  <c r="H233" i="5"/>
  <c r="J233" i="5"/>
  <c r="K233" i="5"/>
  <c r="D233" i="5"/>
  <c r="I233" i="5"/>
  <c r="L233" i="5"/>
  <c r="B320" i="5"/>
  <c r="E455" i="5" s="1"/>
  <c r="B81" i="5"/>
  <c r="E439" i="5" s="1"/>
  <c r="B156" i="5"/>
  <c r="E444" i="5" s="1"/>
  <c r="B96" i="5"/>
  <c r="E440" i="5" s="1"/>
  <c r="B335" i="5"/>
  <c r="E456" i="5" s="1"/>
  <c r="G446" i="5"/>
  <c r="K188" i="5"/>
  <c r="D188" i="5"/>
  <c r="L188" i="5"/>
  <c r="E188" i="5"/>
  <c r="M188" i="5"/>
  <c r="F188" i="5"/>
  <c r="N188" i="5"/>
  <c r="G188" i="5"/>
  <c r="C188" i="5"/>
  <c r="J188" i="5"/>
  <c r="H188" i="5"/>
  <c r="I188" i="5"/>
  <c r="F367" i="5"/>
  <c r="N367" i="5"/>
  <c r="G367" i="5"/>
  <c r="C367" i="5"/>
  <c r="H367" i="5"/>
  <c r="J367" i="5"/>
  <c r="K367" i="5"/>
  <c r="D367" i="5"/>
  <c r="G458" i="5"/>
  <c r="E367" i="5"/>
  <c r="I367" i="5"/>
  <c r="L367" i="5"/>
  <c r="M367" i="5"/>
  <c r="B141" i="5"/>
  <c r="E443" i="5" s="1"/>
  <c r="B201" i="5"/>
  <c r="E447" i="5" s="1"/>
  <c r="B364" i="5"/>
  <c r="E458" i="5" s="1"/>
  <c r="G455" i="5"/>
  <c r="G323" i="5"/>
  <c r="C323" i="5"/>
  <c r="H323" i="5"/>
  <c r="I323" i="5"/>
  <c r="J323" i="5"/>
  <c r="K323" i="5"/>
  <c r="D323" i="5"/>
  <c r="L323" i="5"/>
  <c r="N323" i="5"/>
  <c r="E323" i="5"/>
  <c r="M323" i="5"/>
  <c r="F323" i="5"/>
  <c r="G448" i="5"/>
  <c r="F219" i="5"/>
  <c r="N219" i="5"/>
  <c r="G219" i="5"/>
  <c r="C219" i="5"/>
  <c r="H219" i="5"/>
  <c r="I219" i="5"/>
  <c r="J219" i="5"/>
  <c r="K219" i="5"/>
  <c r="E219" i="5"/>
  <c r="M219" i="5"/>
  <c r="D219" i="5"/>
  <c r="L219" i="5"/>
  <c r="G457" i="5"/>
  <c r="F352" i="5"/>
  <c r="N352" i="5"/>
  <c r="G352" i="5"/>
  <c r="C352" i="5"/>
  <c r="H352" i="5"/>
  <c r="J352" i="5"/>
  <c r="K352" i="5"/>
  <c r="D352" i="5"/>
  <c r="E352" i="5"/>
  <c r="I352" i="5"/>
  <c r="L352" i="5"/>
  <c r="M352" i="5"/>
  <c r="G450" i="5"/>
  <c r="I248" i="5"/>
  <c r="J248" i="5"/>
  <c r="K248" i="5"/>
  <c r="D248" i="5"/>
  <c r="L248" i="5"/>
  <c r="F248" i="5"/>
  <c r="N248" i="5"/>
  <c r="G248" i="5"/>
  <c r="C248" i="5"/>
  <c r="H248" i="5"/>
  <c r="M248" i="5"/>
  <c r="E248" i="5"/>
  <c r="B125" i="5"/>
  <c r="E442" i="5" s="1"/>
  <c r="B245" i="5"/>
  <c r="E450" i="5" s="1"/>
  <c r="B349" i="5"/>
  <c r="E457" i="5" s="1"/>
  <c r="G453" i="5"/>
  <c r="I292" i="5"/>
  <c r="L292" i="5"/>
  <c r="J292" i="5"/>
  <c r="C292" i="5"/>
  <c r="K292" i="5"/>
  <c r="D292" i="5"/>
  <c r="H292" i="5"/>
  <c r="E292" i="5"/>
  <c r="M292" i="5"/>
  <c r="G292" i="5"/>
  <c r="F292" i="5"/>
  <c r="N292" i="5"/>
  <c r="B289" i="5"/>
  <c r="E453" i="5" s="1"/>
  <c r="E338" i="5"/>
  <c r="M338" i="5"/>
  <c r="F338" i="5"/>
  <c r="N338" i="5"/>
  <c r="G456" i="5"/>
  <c r="G338" i="5"/>
  <c r="C338" i="5"/>
  <c r="I338" i="5"/>
  <c r="J338" i="5"/>
  <c r="L338" i="5"/>
  <c r="D338" i="5"/>
  <c r="K338" i="5"/>
  <c r="H338" i="5"/>
  <c r="G451" i="5"/>
  <c r="D263" i="5"/>
  <c r="L263" i="5"/>
  <c r="E263" i="5"/>
  <c r="M263" i="5"/>
  <c r="F263" i="5"/>
  <c r="N263" i="5"/>
  <c r="G263" i="5"/>
  <c r="C263" i="5"/>
  <c r="H263" i="5"/>
  <c r="I263" i="5"/>
  <c r="J263" i="5"/>
  <c r="K263" i="5"/>
  <c r="B170" i="5"/>
  <c r="E445" i="5" s="1"/>
  <c r="B230" i="5"/>
  <c r="E449" i="5" s="1"/>
  <c r="B394" i="5"/>
  <c r="E460" i="5" s="1"/>
  <c r="B379" i="5"/>
  <c r="E459" i="5" s="1"/>
  <c r="I307" i="5"/>
  <c r="D307" i="5"/>
  <c r="J307" i="5"/>
  <c r="G454" i="5"/>
  <c r="L307" i="5"/>
  <c r="K307" i="5"/>
  <c r="H307" i="5"/>
  <c r="E307" i="5"/>
  <c r="M307" i="5"/>
  <c r="G307" i="5"/>
  <c r="F307" i="5"/>
  <c r="N307" i="5"/>
  <c r="C307" i="5"/>
  <c r="B275" i="5"/>
  <c r="E452" i="5" s="1"/>
  <c r="G452" i="5"/>
  <c r="H278" i="5"/>
  <c r="K278" i="5"/>
  <c r="N278" i="5"/>
  <c r="C278" i="5"/>
  <c r="I278" i="5"/>
  <c r="F278" i="5"/>
  <c r="G278" i="5"/>
  <c r="J278" i="5"/>
  <c r="D278" i="5"/>
  <c r="L278" i="5"/>
  <c r="E278" i="5"/>
  <c r="M278" i="5"/>
  <c r="B110" i="5"/>
  <c r="E441" i="5" s="1"/>
  <c r="B260" i="5"/>
  <c r="E451" i="5" s="1"/>
  <c r="B423" i="5"/>
  <c r="E462" i="5" s="1"/>
  <c r="E382" i="5"/>
  <c r="M382" i="5"/>
  <c r="F382" i="5"/>
  <c r="N382" i="5"/>
  <c r="G382" i="5"/>
  <c r="C382" i="5"/>
  <c r="G459" i="5"/>
  <c r="I382" i="5"/>
  <c r="J382" i="5"/>
  <c r="H382" i="5"/>
  <c r="K382" i="5"/>
  <c r="L382" i="5"/>
  <c r="D382" i="5"/>
  <c r="C69" i="5"/>
  <c r="D69" i="5"/>
  <c r="L69" i="5"/>
  <c r="E69" i="5"/>
  <c r="M69" i="5"/>
  <c r="F69" i="5"/>
  <c r="N69" i="5"/>
  <c r="G69" i="5"/>
  <c r="H69" i="5"/>
  <c r="K69" i="5"/>
  <c r="I69" i="5"/>
  <c r="J69" i="5"/>
  <c r="B66" i="5"/>
  <c r="E438" i="5" s="1"/>
  <c r="C54" i="5"/>
  <c r="D54" i="5"/>
  <c r="L54" i="5"/>
  <c r="E54" i="5"/>
  <c r="M54" i="5"/>
  <c r="F54" i="5"/>
  <c r="N54" i="5"/>
  <c r="G54" i="5"/>
  <c r="H54" i="5"/>
  <c r="I54" i="5"/>
  <c r="J54" i="5"/>
  <c r="K54" i="5"/>
  <c r="B51" i="5"/>
  <c r="E436" i="5" s="1"/>
  <c r="C40" i="5"/>
  <c r="D40" i="5"/>
  <c r="L40" i="5"/>
  <c r="E40" i="5"/>
  <c r="M40" i="5"/>
  <c r="F40" i="5"/>
  <c r="N40" i="5"/>
  <c r="J40" i="5"/>
  <c r="G40" i="5"/>
  <c r="H40" i="5"/>
  <c r="I40" i="5"/>
  <c r="K40" i="5"/>
  <c r="B37" i="5"/>
  <c r="E435" i="5" s="1"/>
  <c r="B22" i="5"/>
  <c r="E434" i="5" s="1"/>
  <c r="C25" i="5"/>
  <c r="D25" i="5"/>
  <c r="L25" i="5"/>
  <c r="E25" i="5"/>
  <c r="M25" i="5"/>
  <c r="F25" i="5"/>
  <c r="N25" i="5"/>
  <c r="G25" i="5"/>
  <c r="H25" i="5"/>
  <c r="I25" i="5"/>
  <c r="J25" i="5"/>
  <c r="K25" i="5"/>
  <c r="L16" i="15"/>
  <c r="K16" i="15" s="1"/>
  <c r="N16" i="15" s="1"/>
  <c r="F3" i="4"/>
  <c r="G4" i="4" s="1"/>
  <c r="G5" i="4" s="1"/>
  <c r="G6" i="4" s="1"/>
  <c r="AU3" i="4"/>
  <c r="AV4" i="4" s="1"/>
  <c r="AV5" i="4" s="1"/>
  <c r="AV6" i="4" s="1"/>
  <c r="AR3" i="4"/>
  <c r="AS4" i="4" s="1"/>
  <c r="AS5" i="4" s="1"/>
  <c r="AS6" i="4" s="1"/>
  <c r="AQ3" i="4"/>
  <c r="AR4" i="4" s="1"/>
  <c r="AR5" i="4" s="1"/>
  <c r="AR6" i="4" s="1"/>
  <c r="AX3" i="4"/>
  <c r="AY4" i="4" s="1"/>
  <c r="AY5" i="4" s="1"/>
  <c r="AY6" i="4" s="1"/>
  <c r="AG3" i="4"/>
  <c r="AH4" i="4" s="1"/>
  <c r="AH5" i="4" s="1"/>
  <c r="AH6" i="4" s="1"/>
  <c r="AE3" i="4"/>
  <c r="AF4" i="4" s="1"/>
  <c r="AF5" i="4" s="1"/>
  <c r="AF6" i="4" s="1"/>
  <c r="AV3" i="4"/>
  <c r="AW4" i="4" s="1"/>
  <c r="AW5" i="4" s="1"/>
  <c r="AW6" i="4" s="1"/>
  <c r="L28" i="15"/>
  <c r="K28" i="15" s="1"/>
  <c r="N28" i="15" s="1"/>
  <c r="L48" i="15"/>
  <c r="L58" i="15"/>
  <c r="K58" i="15" s="1"/>
  <c r="N58" i="15" s="1"/>
  <c r="L53" i="15"/>
  <c r="K53" i="15" s="1"/>
  <c r="N53" i="15" s="1"/>
  <c r="L9" i="15"/>
  <c r="K9" i="15" s="1"/>
  <c r="N9" i="15" s="1"/>
  <c r="G3" i="4"/>
  <c r="H4" i="4" s="1"/>
  <c r="H5" i="4" s="1"/>
  <c r="H6" i="4" s="1"/>
  <c r="Z3" i="4"/>
  <c r="AA4" i="4" s="1"/>
  <c r="AA5" i="4" s="1"/>
  <c r="AA6" i="4" s="1"/>
  <c r="AM3" i="4"/>
  <c r="AN4" i="4" s="1"/>
  <c r="AN5" i="4" s="1"/>
  <c r="AN6" i="4" s="1"/>
  <c r="BA3" i="4"/>
  <c r="BB4" i="4" s="1"/>
  <c r="BB5" i="4" s="1"/>
  <c r="BB6" i="4" s="1"/>
  <c r="T3" i="4"/>
  <c r="U4" i="4" s="1"/>
  <c r="U5" i="4" s="1"/>
  <c r="U6" i="4" s="1"/>
  <c r="AF3" i="4"/>
  <c r="AG4" i="4" s="1"/>
  <c r="AG5" i="4" s="1"/>
  <c r="AG6" i="4" s="1"/>
  <c r="R3" i="4"/>
  <c r="S4" i="4" s="1"/>
  <c r="S5" i="4" s="1"/>
  <c r="S6" i="4" s="1"/>
  <c r="O3" i="4"/>
  <c r="P4" i="4" s="1"/>
  <c r="P5" i="4" s="1"/>
  <c r="P6" i="4" s="1"/>
  <c r="AS3" i="4"/>
  <c r="AT4" i="4" s="1"/>
  <c r="AT5" i="4" s="1"/>
  <c r="AT6" i="4" s="1"/>
  <c r="L3" i="4"/>
  <c r="M4" i="4" s="1"/>
  <c r="M5" i="4" s="1"/>
  <c r="M6" i="4" s="1"/>
  <c r="AJ3" i="4"/>
  <c r="AK4" i="4" s="1"/>
  <c r="AK5" i="4" s="1"/>
  <c r="AK6" i="4" s="1"/>
  <c r="K3" i="4"/>
  <c r="L4" i="4" s="1"/>
  <c r="L5" i="4" s="1"/>
  <c r="L6" i="4" s="1"/>
  <c r="AL3" i="4"/>
  <c r="AM4" i="4" s="1"/>
  <c r="AM5" i="4" s="1"/>
  <c r="AM6" i="4" s="1"/>
  <c r="M3" i="4"/>
  <c r="N4" i="4" s="1"/>
  <c r="N5" i="4" s="1"/>
  <c r="N6" i="4" s="1"/>
  <c r="C3" i="4"/>
  <c r="D4" i="4" s="1"/>
  <c r="D5" i="4" s="1"/>
  <c r="D6" i="4" s="1"/>
  <c r="BE3" i="4"/>
  <c r="BF4" i="4" s="1"/>
  <c r="BF5" i="4" s="1"/>
  <c r="BF6" i="4" s="1"/>
  <c r="AD3" i="4"/>
  <c r="AE4" i="4" s="1"/>
  <c r="AE5" i="4" s="1"/>
  <c r="AE6" i="4" s="1"/>
  <c r="E3" i="4"/>
  <c r="F4" i="4" s="1"/>
  <c r="F5" i="4" s="1"/>
  <c r="F6" i="4" s="1"/>
  <c r="AP3" i="4"/>
  <c r="AQ4" i="4" s="1"/>
  <c r="AQ5" i="4" s="1"/>
  <c r="AQ6" i="4" s="1"/>
  <c r="BG3" i="4"/>
  <c r="BH4" i="4" s="1"/>
  <c r="BH5" i="4" s="1"/>
  <c r="BH6" i="4" s="1"/>
  <c r="AO3" i="4"/>
  <c r="AP4" i="4" s="1"/>
  <c r="AP5" i="4" s="1"/>
  <c r="AP6" i="4" s="1"/>
  <c r="N3" i="4"/>
  <c r="O4" i="4" s="1"/>
  <c r="O5" i="4" s="1"/>
  <c r="O6" i="4" s="1"/>
  <c r="X3" i="4"/>
  <c r="Y4" i="4" s="1"/>
  <c r="Y5" i="4" s="1"/>
  <c r="Y6" i="4" s="1"/>
  <c r="L26" i="15"/>
  <c r="K26" i="15" s="1"/>
  <c r="N26" i="15" s="1"/>
  <c r="L19" i="15"/>
  <c r="K19" i="15" s="1"/>
  <c r="N19" i="15" s="1"/>
  <c r="L55" i="15"/>
  <c r="K55" i="15" s="1"/>
  <c r="N55" i="15" s="1"/>
  <c r="L14" i="15"/>
  <c r="K14" i="15" s="1"/>
  <c r="N14" i="15" s="1"/>
  <c r="L46" i="15"/>
  <c r="K46" i="15" s="1"/>
  <c r="N46" i="15" s="1"/>
  <c r="L13" i="15"/>
  <c r="K13" i="15" s="1"/>
  <c r="N13" i="15" s="1"/>
  <c r="L41" i="15"/>
  <c r="K41" i="15" s="1"/>
  <c r="N41" i="15" s="1"/>
  <c r="H3" i="4"/>
  <c r="I4" i="4" s="1"/>
  <c r="I5" i="4" s="1"/>
  <c r="I6" i="4" s="1"/>
  <c r="AH3" i="4"/>
  <c r="AI4" i="4" s="1"/>
  <c r="AI5" i="4" s="1"/>
  <c r="AI6" i="4" s="1"/>
  <c r="AW3" i="4"/>
  <c r="AX4" i="4" s="1"/>
  <c r="AX5" i="4" s="1"/>
  <c r="AX6" i="4" s="1"/>
  <c r="B3" i="4"/>
  <c r="C4" i="4" s="1"/>
  <c r="C5" i="4" s="1"/>
  <c r="C6" i="4" s="1"/>
  <c r="V3" i="4"/>
  <c r="W4" i="4" s="1"/>
  <c r="W5" i="4" s="1"/>
  <c r="W6" i="4" s="1"/>
  <c r="BI3" i="4"/>
  <c r="BD3" i="4"/>
  <c r="BE4" i="4" s="1"/>
  <c r="BE5" i="4" s="1"/>
  <c r="BE6" i="4" s="1"/>
  <c r="AB3" i="4"/>
  <c r="AC4" i="4" s="1"/>
  <c r="AC5" i="4" s="1"/>
  <c r="AC6" i="4" s="1"/>
  <c r="L27" i="15"/>
  <c r="K27" i="15" s="1"/>
  <c r="N27" i="15" s="1"/>
  <c r="L59" i="15"/>
  <c r="K59" i="15" s="1"/>
  <c r="N59" i="15" s="1"/>
  <c r="L54" i="15"/>
  <c r="K54" i="15" s="1"/>
  <c r="N54" i="15" s="1"/>
  <c r="L42" i="15"/>
  <c r="K42" i="15" s="1"/>
  <c r="N42" i="15" s="1"/>
  <c r="AI3" i="4"/>
  <c r="AJ4" i="4" s="1"/>
  <c r="AJ5" i="4" s="1"/>
  <c r="AJ6" i="4" s="1"/>
  <c r="J3" i="4"/>
  <c r="K4" i="4" s="1"/>
  <c r="K5" i="4" s="1"/>
  <c r="K6" i="4" s="1"/>
  <c r="Y3" i="4"/>
  <c r="Z4" i="4" s="1"/>
  <c r="Z5" i="4" s="1"/>
  <c r="Z6" i="4" s="1"/>
  <c r="D3" i="4"/>
  <c r="E4" i="4" s="1"/>
  <c r="E5" i="4" s="1"/>
  <c r="E6" i="4" s="1"/>
  <c r="AN3" i="4"/>
  <c r="AO4" i="4" s="1"/>
  <c r="AO5" i="4" s="1"/>
  <c r="AO6" i="4" s="1"/>
  <c r="AK3" i="4"/>
  <c r="AL4" i="4" s="1"/>
  <c r="AL5" i="4" s="1"/>
  <c r="AL6" i="4" s="1"/>
  <c r="W3" i="4"/>
  <c r="X4" i="4" s="1"/>
  <c r="X5" i="4" s="1"/>
  <c r="X6" i="4" s="1"/>
  <c r="A11" i="4"/>
  <c r="L14" i="4" s="1"/>
  <c r="T9" i="14" s="1"/>
  <c r="L15" i="15"/>
  <c r="K15" i="15" s="1"/>
  <c r="N15" i="15" s="1"/>
  <c r="L24" i="15"/>
  <c r="K24" i="15" s="1"/>
  <c r="N24" i="15" s="1"/>
  <c r="L56" i="15"/>
  <c r="K56" i="15" s="1"/>
  <c r="N56" i="15" s="1"/>
  <c r="L31" i="15"/>
  <c r="K31" i="15" s="1"/>
  <c r="N31" i="15" s="1"/>
  <c r="L60" i="15"/>
  <c r="K60" i="15" s="1"/>
  <c r="N60" i="15" s="1"/>
  <c r="L4" i="15"/>
  <c r="L25" i="15"/>
  <c r="K25" i="15" s="1"/>
  <c r="N25" i="15" s="1"/>
  <c r="L57" i="15"/>
  <c r="K57" i="15" s="1"/>
  <c r="N57" i="15" s="1"/>
  <c r="S3" i="4"/>
  <c r="T4" i="4" s="1"/>
  <c r="T5" i="4" s="1"/>
  <c r="T6" i="4" s="1"/>
  <c r="AY3" i="4"/>
  <c r="AZ4" i="4" s="1"/>
  <c r="AZ5" i="4" s="1"/>
  <c r="AZ6" i="4" s="1"/>
  <c r="Q3" i="4"/>
  <c r="R4" i="4" s="1"/>
  <c r="R5" i="4" s="1"/>
  <c r="R6" i="4" s="1"/>
  <c r="BB3" i="4"/>
  <c r="BC4" i="4" s="1"/>
  <c r="BC5" i="4" s="1"/>
  <c r="BC6" i="4" s="1"/>
  <c r="P3" i="4"/>
  <c r="Q4" i="4" s="1"/>
  <c r="Q5" i="4" s="1"/>
  <c r="Q6" i="4" s="1"/>
  <c r="AC3" i="4"/>
  <c r="AD4" i="4" s="1"/>
  <c r="AD5" i="4" s="1"/>
  <c r="AD6" i="4" s="1"/>
  <c r="BH3" i="4"/>
  <c r="BI4" i="4" s="1"/>
  <c r="BI5" i="4" s="1"/>
  <c r="BI6" i="4" s="1"/>
  <c r="L11" i="15"/>
  <c r="K11" i="15" s="1"/>
  <c r="N11" i="15" s="1"/>
  <c r="G5" i="5"/>
  <c r="G6" i="5" s="1"/>
  <c r="B8" i="5" s="1"/>
  <c r="E437" i="5" s="1"/>
  <c r="BF3" i="4"/>
  <c r="BG4" i="4" s="1"/>
  <c r="BG5" i="4" s="1"/>
  <c r="BG6" i="4" s="1"/>
  <c r="AA3" i="4"/>
  <c r="AB4" i="4" s="1"/>
  <c r="AB5" i="4" s="1"/>
  <c r="AB6" i="4" s="1"/>
  <c r="I3" i="4"/>
  <c r="J4" i="4" s="1"/>
  <c r="J5" i="4" s="1"/>
  <c r="J6" i="4" s="1"/>
  <c r="AT3" i="4"/>
  <c r="AU4" i="4" s="1"/>
  <c r="AU5" i="4" s="1"/>
  <c r="AU6" i="4" s="1"/>
  <c r="BC3" i="4"/>
  <c r="BD4" i="4" s="1"/>
  <c r="BD5" i="4" s="1"/>
  <c r="BD6" i="4" s="1"/>
  <c r="U3" i="4"/>
  <c r="V4" i="4" s="1"/>
  <c r="V5" i="4" s="1"/>
  <c r="V6" i="4" s="1"/>
  <c r="L32" i="15"/>
  <c r="K32" i="15" s="1"/>
  <c r="N32" i="15" s="1"/>
  <c r="L51" i="15"/>
  <c r="K51" i="15" s="1"/>
  <c r="N51" i="15" s="1"/>
  <c r="L18" i="15"/>
  <c r="K18" i="15" s="1"/>
  <c r="N18" i="15" s="1"/>
  <c r="L50" i="15"/>
  <c r="K50" i="15" s="1"/>
  <c r="N50" i="15" s="1"/>
  <c r="L43" i="15"/>
  <c r="K43" i="15" s="1"/>
  <c r="N43" i="15" s="1"/>
  <c r="L6" i="15"/>
  <c r="K6" i="15" s="1"/>
  <c r="N6" i="15" s="1"/>
  <c r="L38" i="15"/>
  <c r="K38" i="15" s="1"/>
  <c r="N38" i="15" s="1"/>
  <c r="L36" i="15"/>
  <c r="K36" i="15" s="1"/>
  <c r="N36" i="15" s="1"/>
  <c r="L45" i="15"/>
  <c r="K45" i="15" s="1"/>
  <c r="N45" i="15" s="1"/>
  <c r="L52" i="15"/>
  <c r="K52" i="15" s="1"/>
  <c r="N52" i="15" s="1"/>
  <c r="L33" i="15"/>
  <c r="K33" i="15" s="1"/>
  <c r="N33" i="15" s="1"/>
  <c r="L5" i="15"/>
  <c r="K5" i="15" s="1"/>
  <c r="N5" i="15" s="1"/>
  <c r="L47" i="15"/>
  <c r="K47" i="15" s="1"/>
  <c r="N47" i="15" s="1"/>
  <c r="L8" i="15"/>
  <c r="K8" i="15" s="1"/>
  <c r="N8" i="15" s="1"/>
  <c r="L40" i="15"/>
  <c r="K40" i="15" s="1"/>
  <c r="N40" i="15" s="1"/>
  <c r="L34" i="15"/>
  <c r="K34" i="15" s="1"/>
  <c r="N34" i="15" s="1"/>
  <c r="L61" i="15"/>
  <c r="K61" i="15" s="1"/>
  <c r="N61" i="15" s="1"/>
  <c r="L44" i="15"/>
  <c r="K44" i="15" s="1"/>
  <c r="N44" i="15" s="1"/>
  <c r="L21" i="15"/>
  <c r="K21" i="15" s="1"/>
  <c r="N21" i="15" s="1"/>
  <c r="L22" i="15"/>
  <c r="K22" i="15" s="1"/>
  <c r="N22" i="15" s="1"/>
  <c r="L7" i="15"/>
  <c r="K7" i="15" s="1"/>
  <c r="N7" i="15" s="1"/>
  <c r="L20" i="15"/>
  <c r="K20" i="15" s="1"/>
  <c r="N20" i="15" s="1"/>
  <c r="L37" i="15"/>
  <c r="K37" i="15" s="1"/>
  <c r="N37" i="15" s="1"/>
  <c r="L12" i="15"/>
  <c r="K12" i="15" s="1"/>
  <c r="N12" i="15" s="1"/>
  <c r="L29" i="15"/>
  <c r="K29" i="15" s="1"/>
  <c r="N29" i="15" s="1"/>
  <c r="L17" i="15"/>
  <c r="K17" i="15" s="1"/>
  <c r="N17" i="15" s="1"/>
  <c r="L49" i="15"/>
  <c r="K49" i="15" s="1"/>
  <c r="N49" i="15" s="1"/>
  <c r="L10" i="15"/>
  <c r="K10" i="15" s="1"/>
  <c r="N10" i="15" s="1"/>
  <c r="L39" i="15"/>
  <c r="K39" i="15" s="1"/>
  <c r="N39" i="15" s="1"/>
  <c r="K4" i="15"/>
  <c r="N4" i="15" s="1"/>
  <c r="L23" i="15"/>
  <c r="K23" i="15" s="1"/>
  <c r="N23" i="15" s="1"/>
  <c r="L35" i="15"/>
  <c r="K35" i="15" s="1"/>
  <c r="N35" i="15" s="1"/>
  <c r="L30" i="15"/>
  <c r="K30" i="15" s="1"/>
  <c r="N30" i="15" s="1"/>
  <c r="L62" i="15"/>
  <c r="K62" i="15" s="1"/>
  <c r="D2" i="21"/>
  <c r="L136" i="21" s="1"/>
  <c r="M2" i="22"/>
  <c r="W143" i="22" s="1"/>
  <c r="D2" i="20"/>
  <c r="L46" i="20" s="1"/>
  <c r="G2" i="22"/>
  <c r="Q60" i="22" s="1"/>
  <c r="G2" i="21"/>
  <c r="O55" i="21" s="1"/>
  <c r="K2" i="21"/>
  <c r="S55" i="21" s="1"/>
  <c r="H2" i="20"/>
  <c r="P46" i="20" s="1"/>
  <c r="J2" i="22"/>
  <c r="T143" i="22" s="1"/>
  <c r="C2" i="21"/>
  <c r="K55" i="21" s="1"/>
  <c r="L2" i="21"/>
  <c r="T136" i="21" s="1"/>
  <c r="K2" i="20"/>
  <c r="S46" i="20" s="1"/>
  <c r="H2" i="22"/>
  <c r="R100" i="22" s="1"/>
  <c r="E2" i="22"/>
  <c r="O60" i="22" s="1"/>
  <c r="M2" i="20"/>
  <c r="U46" i="20" s="1"/>
  <c r="G2" i="20"/>
  <c r="O46" i="20" s="1"/>
  <c r="I2" i="21"/>
  <c r="Q93" i="21" s="1"/>
  <c r="L2" i="20"/>
  <c r="T46" i="20" s="1"/>
  <c r="I2" i="20"/>
  <c r="Q46" i="20" s="1"/>
  <c r="C2" i="20"/>
  <c r="K46" i="20" s="1"/>
  <c r="I2" i="22"/>
  <c r="S60" i="22" s="1"/>
  <c r="D2" i="22"/>
  <c r="N60" i="22" s="1"/>
  <c r="J2" i="21"/>
  <c r="R93" i="21" s="1"/>
  <c r="M2" i="21"/>
  <c r="U55" i="21" s="1"/>
  <c r="B2" i="22"/>
  <c r="L60" i="22" s="1"/>
  <c r="J2" i="20"/>
  <c r="R46" i="20" s="1"/>
  <c r="E2" i="20"/>
  <c r="M46" i="20" s="1"/>
  <c r="H2" i="21"/>
  <c r="P55" i="21" s="1"/>
  <c r="C2" i="22"/>
  <c r="M60" i="22" s="1"/>
  <c r="F2" i="22"/>
  <c r="P60" i="22" s="1"/>
  <c r="B2" i="21"/>
  <c r="J55" i="21" s="1"/>
  <c r="F2" i="20"/>
  <c r="N46" i="20" s="1"/>
  <c r="E2" i="21"/>
  <c r="M55" i="21" s="1"/>
  <c r="L2" i="22"/>
  <c r="V143" i="22" s="1"/>
  <c r="K2" i="22"/>
  <c r="U60" i="22" s="1"/>
  <c r="F2" i="21"/>
  <c r="N55" i="21" s="1"/>
  <c r="E2" i="13"/>
  <c r="C2" i="13" s="1"/>
  <c r="C3" i="13" s="1"/>
  <c r="C4" i="13" s="1"/>
  <c r="G55" i="25"/>
  <c r="K55" i="25" s="1"/>
  <c r="J55" i="25" s="1"/>
  <c r="M55" i="25" s="1"/>
  <c r="N55" i="25" s="1"/>
  <c r="O55" i="25" s="1"/>
  <c r="G47" i="25"/>
  <c r="K47" i="25" s="1"/>
  <c r="J47" i="25" s="1"/>
  <c r="M47" i="25" s="1"/>
  <c r="N47" i="25" s="1"/>
  <c r="O47" i="25" s="1"/>
  <c r="G39" i="25"/>
  <c r="K39" i="25" s="1"/>
  <c r="J39" i="25" s="1"/>
  <c r="M39" i="25" s="1"/>
  <c r="N39" i="25" s="1"/>
  <c r="O39" i="25" s="1"/>
  <c r="G31" i="25"/>
  <c r="K31" i="25" s="1"/>
  <c r="J31" i="25" s="1"/>
  <c r="M31" i="25" s="1"/>
  <c r="N31" i="25" s="1"/>
  <c r="O31" i="25" s="1"/>
  <c r="G13" i="25"/>
  <c r="K13" i="25" s="1"/>
  <c r="J13" i="25" s="1"/>
  <c r="M13" i="25" s="1"/>
  <c r="N13" i="25" s="1"/>
  <c r="O13" i="25" s="1"/>
  <c r="G22" i="25"/>
  <c r="K22" i="25" s="1"/>
  <c r="J22" i="25" s="1"/>
  <c r="M22" i="25" s="1"/>
  <c r="N22" i="25" s="1"/>
  <c r="O22" i="25" s="1"/>
  <c r="G21" i="25"/>
  <c r="K21" i="25" s="1"/>
  <c r="J21" i="25" s="1"/>
  <c r="M21" i="25" s="1"/>
  <c r="N21" i="25" s="1"/>
  <c r="O21" i="25" s="1"/>
  <c r="G62" i="25"/>
  <c r="K62" i="25" s="1"/>
  <c r="J62" i="25" s="1"/>
  <c r="G54" i="25"/>
  <c r="K54" i="25" s="1"/>
  <c r="J54" i="25" s="1"/>
  <c r="M54" i="25" s="1"/>
  <c r="N54" i="25" s="1"/>
  <c r="O54" i="25" s="1"/>
  <c r="G46" i="25"/>
  <c r="K46" i="25" s="1"/>
  <c r="J46" i="25" s="1"/>
  <c r="M46" i="25" s="1"/>
  <c r="N46" i="25" s="1"/>
  <c r="O46" i="25" s="1"/>
  <c r="G38" i="25"/>
  <c r="K38" i="25" s="1"/>
  <c r="J38" i="25" s="1"/>
  <c r="M38" i="25" s="1"/>
  <c r="N38" i="25" s="1"/>
  <c r="O38" i="25" s="1"/>
  <c r="G30" i="25"/>
  <c r="K30" i="25" s="1"/>
  <c r="J30" i="25" s="1"/>
  <c r="M30" i="25" s="1"/>
  <c r="N30" i="25" s="1"/>
  <c r="O30" i="25" s="1"/>
  <c r="G15" i="25"/>
  <c r="K15" i="25" s="1"/>
  <c r="J15" i="25" s="1"/>
  <c r="M15" i="25" s="1"/>
  <c r="N15" i="25" s="1"/>
  <c r="O15" i="25" s="1"/>
  <c r="G25" i="25"/>
  <c r="K25" i="25" s="1"/>
  <c r="J25" i="25" s="1"/>
  <c r="M25" i="25" s="1"/>
  <c r="N25" i="25" s="1"/>
  <c r="O25" i="25" s="1"/>
  <c r="G19" i="25"/>
  <c r="K19" i="25" s="1"/>
  <c r="J19" i="25" s="1"/>
  <c r="M19" i="25" s="1"/>
  <c r="N19" i="25" s="1"/>
  <c r="O19" i="25" s="1"/>
  <c r="G23" i="25"/>
  <c r="K23" i="25" s="1"/>
  <c r="J23" i="25" s="1"/>
  <c r="M23" i="25" s="1"/>
  <c r="N23" i="25" s="1"/>
  <c r="O23" i="25" s="1"/>
  <c r="G61" i="25"/>
  <c r="K61" i="25" s="1"/>
  <c r="J61" i="25" s="1"/>
  <c r="M61" i="25" s="1"/>
  <c r="N61" i="25" s="1"/>
  <c r="O61" i="25" s="1"/>
  <c r="G53" i="25"/>
  <c r="K53" i="25" s="1"/>
  <c r="J53" i="25" s="1"/>
  <c r="M53" i="25" s="1"/>
  <c r="N53" i="25" s="1"/>
  <c r="O53" i="25" s="1"/>
  <c r="G45" i="25"/>
  <c r="K45" i="25" s="1"/>
  <c r="J45" i="25" s="1"/>
  <c r="M45" i="25" s="1"/>
  <c r="N45" i="25" s="1"/>
  <c r="O45" i="25" s="1"/>
  <c r="G37" i="25"/>
  <c r="K37" i="25" s="1"/>
  <c r="J37" i="25" s="1"/>
  <c r="M37" i="25" s="1"/>
  <c r="N37" i="25" s="1"/>
  <c r="O37" i="25" s="1"/>
  <c r="G29" i="25"/>
  <c r="K29" i="25" s="1"/>
  <c r="J29" i="25" s="1"/>
  <c r="M29" i="25" s="1"/>
  <c r="N29" i="25" s="1"/>
  <c r="O29" i="25" s="1"/>
  <c r="G8" i="25"/>
  <c r="K8" i="25" s="1"/>
  <c r="J8" i="25" s="1"/>
  <c r="M8" i="25" s="1"/>
  <c r="N8" i="25" s="1"/>
  <c r="O8" i="25" s="1"/>
  <c r="G11" i="25"/>
  <c r="K11" i="25" s="1"/>
  <c r="J11" i="25" s="1"/>
  <c r="M11" i="25" s="1"/>
  <c r="N11" i="25" s="1"/>
  <c r="O11" i="25" s="1"/>
  <c r="G16" i="25"/>
  <c r="K16" i="25" s="1"/>
  <c r="J16" i="25" s="1"/>
  <c r="M16" i="25" s="1"/>
  <c r="N16" i="25" s="1"/>
  <c r="O16" i="25" s="1"/>
  <c r="G57" i="25"/>
  <c r="K57" i="25" s="1"/>
  <c r="J57" i="25" s="1"/>
  <c r="M57" i="25" s="1"/>
  <c r="N57" i="25" s="1"/>
  <c r="O57" i="25" s="1"/>
  <c r="G60" i="25"/>
  <c r="K60" i="25" s="1"/>
  <c r="J60" i="25" s="1"/>
  <c r="M60" i="25" s="1"/>
  <c r="N60" i="25" s="1"/>
  <c r="O60" i="25" s="1"/>
  <c r="G52" i="25"/>
  <c r="K52" i="25" s="1"/>
  <c r="J52" i="25" s="1"/>
  <c r="M52" i="25" s="1"/>
  <c r="N52" i="25" s="1"/>
  <c r="O52" i="25" s="1"/>
  <c r="G44" i="25"/>
  <c r="K44" i="25" s="1"/>
  <c r="J44" i="25" s="1"/>
  <c r="M44" i="25" s="1"/>
  <c r="N44" i="25" s="1"/>
  <c r="O44" i="25" s="1"/>
  <c r="G36" i="25"/>
  <c r="K36" i="25" s="1"/>
  <c r="J36" i="25" s="1"/>
  <c r="M36" i="25" s="1"/>
  <c r="N36" i="25" s="1"/>
  <c r="O36" i="25" s="1"/>
  <c r="G28" i="25"/>
  <c r="K28" i="25" s="1"/>
  <c r="J28" i="25" s="1"/>
  <c r="M28" i="25" s="1"/>
  <c r="N28" i="25" s="1"/>
  <c r="O28" i="25" s="1"/>
  <c r="G18" i="25"/>
  <c r="K18" i="25" s="1"/>
  <c r="J18" i="25" s="1"/>
  <c r="M18" i="25" s="1"/>
  <c r="N18" i="25" s="1"/>
  <c r="O18" i="25" s="1"/>
  <c r="G5" i="25"/>
  <c r="K5" i="25" s="1"/>
  <c r="J5" i="25" s="1"/>
  <c r="M5" i="25" s="1"/>
  <c r="N5" i="25" s="1"/>
  <c r="O5" i="25" s="1"/>
  <c r="G7" i="25"/>
  <c r="K7" i="25" s="1"/>
  <c r="J7" i="25" s="1"/>
  <c r="M7" i="25" s="1"/>
  <c r="N7" i="25" s="1"/>
  <c r="O7" i="25" s="1"/>
  <c r="G49" i="25"/>
  <c r="K49" i="25" s="1"/>
  <c r="J49" i="25" s="1"/>
  <c r="M49" i="25" s="1"/>
  <c r="N49" i="25" s="1"/>
  <c r="O49" i="25" s="1"/>
  <c r="G59" i="25"/>
  <c r="K59" i="25" s="1"/>
  <c r="J59" i="25" s="1"/>
  <c r="M59" i="25" s="1"/>
  <c r="N59" i="25" s="1"/>
  <c r="O59" i="25" s="1"/>
  <c r="G51" i="25"/>
  <c r="K51" i="25" s="1"/>
  <c r="J51" i="25" s="1"/>
  <c r="M51" i="25" s="1"/>
  <c r="N51" i="25" s="1"/>
  <c r="O51" i="25" s="1"/>
  <c r="G43" i="25"/>
  <c r="K43" i="25" s="1"/>
  <c r="J43" i="25" s="1"/>
  <c r="M43" i="25" s="1"/>
  <c r="N43" i="25" s="1"/>
  <c r="O43" i="25" s="1"/>
  <c r="G35" i="25"/>
  <c r="K35" i="25" s="1"/>
  <c r="J35" i="25" s="1"/>
  <c r="M35" i="25" s="1"/>
  <c r="N35" i="25" s="1"/>
  <c r="O35" i="25" s="1"/>
  <c r="G27" i="25"/>
  <c r="K27" i="25" s="1"/>
  <c r="J27" i="25" s="1"/>
  <c r="M27" i="25" s="1"/>
  <c r="N27" i="25" s="1"/>
  <c r="O27" i="25" s="1"/>
  <c r="G12" i="25"/>
  <c r="K12" i="25" s="1"/>
  <c r="J12" i="25" s="1"/>
  <c r="M12" i="25" s="1"/>
  <c r="N12" i="25" s="1"/>
  <c r="O12" i="25" s="1"/>
  <c r="G20" i="25"/>
  <c r="K20" i="25" s="1"/>
  <c r="J20" i="25" s="1"/>
  <c r="M20" i="25" s="1"/>
  <c r="N20" i="25" s="1"/>
  <c r="O20" i="25" s="1"/>
  <c r="G4" i="25"/>
  <c r="K4" i="25" s="1"/>
  <c r="J4" i="25" s="1"/>
  <c r="M4" i="25" s="1"/>
  <c r="N4" i="25" s="1"/>
  <c r="O4" i="25" s="1"/>
  <c r="G33" i="25"/>
  <c r="K33" i="25" s="1"/>
  <c r="J33" i="25" s="1"/>
  <c r="M33" i="25" s="1"/>
  <c r="N33" i="25" s="1"/>
  <c r="O33" i="25" s="1"/>
  <c r="G6" i="25"/>
  <c r="K6" i="25" s="1"/>
  <c r="J6" i="25" s="1"/>
  <c r="M6" i="25" s="1"/>
  <c r="N6" i="25" s="1"/>
  <c r="O6" i="25" s="1"/>
  <c r="G58" i="25"/>
  <c r="K58" i="25" s="1"/>
  <c r="J58" i="25" s="1"/>
  <c r="M58" i="25" s="1"/>
  <c r="N58" i="25" s="1"/>
  <c r="O58" i="25" s="1"/>
  <c r="G50" i="25"/>
  <c r="K50" i="25" s="1"/>
  <c r="J50" i="25" s="1"/>
  <c r="M50" i="25" s="1"/>
  <c r="N50" i="25" s="1"/>
  <c r="O50" i="25" s="1"/>
  <c r="G42" i="25"/>
  <c r="K42" i="25" s="1"/>
  <c r="J42" i="25" s="1"/>
  <c r="M42" i="25" s="1"/>
  <c r="N42" i="25" s="1"/>
  <c r="O42" i="25" s="1"/>
  <c r="G34" i="25"/>
  <c r="K34" i="25" s="1"/>
  <c r="J34" i="25" s="1"/>
  <c r="M34" i="25" s="1"/>
  <c r="N34" i="25" s="1"/>
  <c r="O34" i="25" s="1"/>
  <c r="G26" i="25"/>
  <c r="K26" i="25" s="1"/>
  <c r="J26" i="25" s="1"/>
  <c r="M26" i="25" s="1"/>
  <c r="N26" i="25" s="1"/>
  <c r="O26" i="25" s="1"/>
  <c r="G9" i="25"/>
  <c r="K9" i="25" s="1"/>
  <c r="J9" i="25" s="1"/>
  <c r="M9" i="25" s="1"/>
  <c r="N9" i="25" s="1"/>
  <c r="O9" i="25" s="1"/>
  <c r="G14" i="25"/>
  <c r="K14" i="25" s="1"/>
  <c r="J14" i="25" s="1"/>
  <c r="M14" i="25" s="1"/>
  <c r="N14" i="25" s="1"/>
  <c r="O14" i="25" s="1"/>
  <c r="G41" i="25"/>
  <c r="K41" i="25" s="1"/>
  <c r="J41" i="25" s="1"/>
  <c r="M41" i="25" s="1"/>
  <c r="N41" i="25" s="1"/>
  <c r="O41" i="25" s="1"/>
  <c r="G10" i="25"/>
  <c r="K10" i="25" s="1"/>
  <c r="J10" i="25" s="1"/>
  <c r="M10" i="25" s="1"/>
  <c r="N10" i="25" s="1"/>
  <c r="O10" i="25" s="1"/>
  <c r="G56" i="25"/>
  <c r="K56" i="25" s="1"/>
  <c r="J56" i="25" s="1"/>
  <c r="M56" i="25" s="1"/>
  <c r="N56" i="25" s="1"/>
  <c r="O56" i="25" s="1"/>
  <c r="G48" i="25"/>
  <c r="K48" i="25" s="1"/>
  <c r="J48" i="25" s="1"/>
  <c r="M48" i="25" s="1"/>
  <c r="N48" i="25" s="1"/>
  <c r="O48" i="25" s="1"/>
  <c r="G40" i="25"/>
  <c r="K40" i="25" s="1"/>
  <c r="J40" i="25" s="1"/>
  <c r="M40" i="25" s="1"/>
  <c r="N40" i="25" s="1"/>
  <c r="O40" i="25" s="1"/>
  <c r="G32" i="25"/>
  <c r="K32" i="25" s="1"/>
  <c r="J32" i="25" s="1"/>
  <c r="M32" i="25" s="1"/>
  <c r="N32" i="25" s="1"/>
  <c r="O32" i="25" s="1"/>
  <c r="G17" i="25"/>
  <c r="K17" i="25" s="1"/>
  <c r="J17" i="25" s="1"/>
  <c r="M17" i="25" s="1"/>
  <c r="N17" i="25" s="1"/>
  <c r="O17" i="25" s="1"/>
  <c r="G24" i="25"/>
  <c r="K24" i="25" s="1"/>
  <c r="J24" i="25" s="1"/>
  <c r="M24" i="25" s="1"/>
  <c r="N24" i="25" s="1"/>
  <c r="O24" i="25" s="1"/>
  <c r="G3" i="25"/>
  <c r="R61" i="22"/>
  <c r="R101" i="22"/>
  <c r="R144" i="22"/>
  <c r="R145" i="22"/>
  <c r="R102" i="22"/>
  <c r="O145" i="22"/>
  <c r="O102" i="22"/>
  <c r="O61" i="22"/>
  <c r="O101" i="22"/>
  <c r="O144" i="22"/>
  <c r="U61" i="22"/>
  <c r="U101" i="22"/>
  <c r="U144" i="22"/>
  <c r="W145" i="22"/>
  <c r="W102" i="22"/>
  <c r="N61" i="22"/>
  <c r="N144" i="22"/>
  <c r="N101" i="22"/>
  <c r="S61" i="22"/>
  <c r="S144" i="22"/>
  <c r="S101" i="22"/>
  <c r="T102" i="22"/>
  <c r="T145" i="22"/>
  <c r="S145" i="22"/>
  <c r="S102" i="22"/>
  <c r="V102" i="22"/>
  <c r="V145" i="22"/>
  <c r="M102" i="22"/>
  <c r="M145" i="22"/>
  <c r="P145" i="22"/>
  <c r="P102" i="22"/>
  <c r="V61" i="22"/>
  <c r="V101" i="22"/>
  <c r="V144" i="22"/>
  <c r="Q61" i="22"/>
  <c r="Q101" i="22"/>
  <c r="Q144" i="22"/>
  <c r="U102" i="22"/>
  <c r="U145" i="22"/>
  <c r="P61" i="22"/>
  <c r="P144" i="22"/>
  <c r="P101" i="22"/>
  <c r="T61" i="22"/>
  <c r="T101" i="22"/>
  <c r="T144" i="22"/>
  <c r="N102" i="22"/>
  <c r="N145" i="22"/>
  <c r="Q102" i="22"/>
  <c r="Q145" i="22"/>
  <c r="W61" i="22"/>
  <c r="W144" i="22"/>
  <c r="W101" i="22"/>
  <c r="W60" i="22"/>
  <c r="M61" i="22"/>
  <c r="M101" i="22"/>
  <c r="M144" i="22"/>
  <c r="T95" i="21"/>
  <c r="T138" i="21"/>
  <c r="T56" i="21"/>
  <c r="T94" i="21"/>
  <c r="T137" i="21"/>
  <c r="M95" i="21"/>
  <c r="M138" i="21"/>
  <c r="O56" i="21"/>
  <c r="O94" i="21"/>
  <c r="O137" i="21"/>
  <c r="S56" i="21"/>
  <c r="S137" i="21"/>
  <c r="S94" i="21"/>
  <c r="Q56" i="21"/>
  <c r="Q137" i="21"/>
  <c r="Q94" i="21"/>
  <c r="O138" i="21"/>
  <c r="O95" i="21"/>
  <c r="N56" i="21"/>
  <c r="N94" i="21"/>
  <c r="N137" i="21"/>
  <c r="K56" i="21"/>
  <c r="K137" i="21"/>
  <c r="K94" i="21"/>
  <c r="P56" i="21"/>
  <c r="P94" i="21"/>
  <c r="P137" i="21"/>
  <c r="R138" i="21"/>
  <c r="R95" i="21"/>
  <c r="P138" i="21"/>
  <c r="P95" i="21"/>
  <c r="N138" i="21"/>
  <c r="N95" i="21"/>
  <c r="L56" i="21"/>
  <c r="L137" i="21"/>
  <c r="L94" i="21"/>
  <c r="U56" i="21"/>
  <c r="U94" i="21"/>
  <c r="U137" i="21"/>
  <c r="Q95" i="21"/>
  <c r="Q138" i="21"/>
  <c r="K95" i="21"/>
  <c r="K138" i="21"/>
  <c r="U95" i="21"/>
  <c r="U138" i="21"/>
  <c r="S95" i="21"/>
  <c r="S138" i="21"/>
  <c r="L95" i="21"/>
  <c r="L138" i="21"/>
  <c r="M56" i="21"/>
  <c r="M94" i="21"/>
  <c r="M137" i="21"/>
  <c r="R56" i="21"/>
  <c r="R137" i="21"/>
  <c r="R94" i="21"/>
  <c r="K48" i="15"/>
  <c r="N48" i="15" s="1"/>
  <c r="E62" i="19"/>
  <c r="E22" i="19"/>
  <c r="E29" i="19"/>
  <c r="E10" i="19"/>
  <c r="E5" i="19"/>
  <c r="E47" i="19"/>
  <c r="E8" i="19"/>
  <c r="E3" i="19"/>
  <c r="E28" i="19"/>
  <c r="E9" i="19"/>
  <c r="E7" i="19"/>
  <c r="E4" i="19"/>
  <c r="E6" i="19"/>
  <c r="E51" i="19"/>
  <c r="J3" i="19"/>
  <c r="E15" i="19"/>
  <c r="E14" i="19"/>
  <c r="E31" i="19"/>
  <c r="E61" i="19"/>
  <c r="E57" i="19"/>
  <c r="E58" i="19"/>
  <c r="E59" i="19"/>
  <c r="E44" i="19"/>
  <c r="E52" i="19"/>
  <c r="E40" i="19"/>
  <c r="E50" i="19"/>
  <c r="E43" i="19"/>
  <c r="E41" i="19"/>
  <c r="E36" i="19"/>
  <c r="E45" i="19"/>
  <c r="E53" i="19"/>
  <c r="E49" i="19"/>
  <c r="E35" i="19"/>
  <c r="E20" i="19"/>
  <c r="E23" i="19"/>
  <c r="E24" i="19"/>
  <c r="E27" i="19"/>
  <c r="E13" i="19"/>
  <c r="E37" i="19"/>
  <c r="E55" i="19"/>
  <c r="E32" i="19"/>
  <c r="E42" i="19"/>
  <c r="E12" i="19"/>
  <c r="E21" i="19"/>
  <c r="E54" i="19"/>
  <c r="E16" i="19"/>
  <c r="E33" i="19"/>
  <c r="E34" i="19"/>
  <c r="E38" i="19"/>
  <c r="E46" i="19"/>
  <c r="E25" i="19"/>
  <c r="E26" i="19"/>
  <c r="E19" i="19"/>
  <c r="E39" i="19"/>
  <c r="E56" i="19"/>
  <c r="E17" i="19"/>
  <c r="E18" i="19"/>
  <c r="E11" i="19"/>
  <c r="E60" i="19"/>
  <c r="E48" i="19"/>
  <c r="E30" i="19"/>
  <c r="C9" i="11"/>
  <c r="B4" i="20"/>
  <c r="B4" i="21"/>
  <c r="B4" i="22"/>
  <c r="B6" i="20"/>
  <c r="N6" i="20" s="1"/>
  <c r="B6" i="21"/>
  <c r="B6" i="22"/>
  <c r="M11" i="5"/>
  <c r="K11" i="5"/>
  <c r="F11" i="5"/>
  <c r="N11" i="5"/>
  <c r="C11" i="5"/>
  <c r="E11" i="5"/>
  <c r="G11" i="5"/>
  <c r="D11" i="5"/>
  <c r="H11" i="5"/>
  <c r="J11" i="5"/>
  <c r="L11" i="5"/>
  <c r="I11" i="5"/>
  <c r="D8" i="24"/>
  <c r="E8" i="24" s="1"/>
  <c r="F8" i="24" s="1"/>
  <c r="C8" i="24"/>
  <c r="B5" i="20"/>
  <c r="N5" i="20" s="1"/>
  <c r="B5" i="21"/>
  <c r="J139" i="21" s="1"/>
  <c r="B5" i="22"/>
  <c r="L146" i="22" s="1"/>
  <c r="B3" i="20"/>
  <c r="B3" i="21"/>
  <c r="B3" i="22"/>
  <c r="C11" i="16"/>
  <c r="D11" i="16" s="1"/>
  <c r="A8" i="4" l="1"/>
  <c r="J10" i="14"/>
  <c r="K93" i="21"/>
  <c r="K136" i="21"/>
  <c r="U93" i="21"/>
  <c r="W100" i="22"/>
  <c r="U136" i="21"/>
  <c r="Q136" i="21"/>
  <c r="E14" i="4"/>
  <c r="M9" i="14" s="1"/>
  <c r="C14" i="4"/>
  <c r="K9" i="14" s="1"/>
  <c r="M14" i="4"/>
  <c r="U9" i="14" s="1"/>
  <c r="N14" i="4"/>
  <c r="V9" i="14" s="1"/>
  <c r="G14" i="4"/>
  <c r="O9" i="14" s="1"/>
  <c r="I14" i="4"/>
  <c r="Q9" i="14" s="1"/>
  <c r="P93" i="21"/>
  <c r="S143" i="22"/>
  <c r="H14" i="4"/>
  <c r="P9" i="14" s="1"/>
  <c r="J14" i="4"/>
  <c r="R9" i="14" s="1"/>
  <c r="V100" i="22"/>
  <c r="F14" i="4"/>
  <c r="N9" i="14" s="1"/>
  <c r="D14" i="4"/>
  <c r="L9" i="14" s="1"/>
  <c r="L55" i="21"/>
  <c r="V60" i="22"/>
  <c r="K14" i="4"/>
  <c r="S9" i="14" s="1"/>
  <c r="J9" i="14"/>
  <c r="P143" i="22"/>
  <c r="P100" i="22"/>
  <c r="T60" i="22"/>
  <c r="T93" i="21"/>
  <c r="T55" i="21"/>
  <c r="Q55" i="21"/>
  <c r="F67" i="15"/>
  <c r="O16" i="14" s="1"/>
  <c r="G67" i="15"/>
  <c r="P16" i="14" s="1"/>
  <c r="N62" i="15"/>
  <c r="O62" i="15" s="1"/>
  <c r="P62" i="15" s="1"/>
  <c r="H67" i="15"/>
  <c r="Q16" i="14" s="1"/>
  <c r="I67" i="15"/>
  <c r="R16" i="14" s="1"/>
  <c r="C67" i="15"/>
  <c r="L16" i="14" s="1"/>
  <c r="K67" i="15"/>
  <c r="T16" i="14" s="1"/>
  <c r="D67" i="15"/>
  <c r="M16" i="14" s="1"/>
  <c r="L67" i="15"/>
  <c r="U16" i="14" s="1"/>
  <c r="E67" i="15"/>
  <c r="N16" i="14" s="1"/>
  <c r="J67" i="15"/>
  <c r="S16" i="14" s="1"/>
  <c r="M67" i="15"/>
  <c r="V16" i="14" s="1"/>
  <c r="O29" i="15"/>
  <c r="P29" i="15" s="1"/>
  <c r="O55" i="15"/>
  <c r="P55" i="15" s="1"/>
  <c r="O7" i="15"/>
  <c r="P7" i="15" s="1"/>
  <c r="B67" i="15"/>
  <c r="K16" i="14" s="1"/>
  <c r="O61" i="15"/>
  <c r="P61" i="15" s="1"/>
  <c r="O46" i="15"/>
  <c r="P46" i="15" s="1"/>
  <c r="O60" i="15"/>
  <c r="P60" i="15" s="1"/>
  <c r="O43" i="15"/>
  <c r="P43" i="15" s="1"/>
  <c r="O16" i="15"/>
  <c r="P16" i="15" s="1"/>
  <c r="O51" i="15"/>
  <c r="P51" i="15" s="1"/>
  <c r="O17" i="15"/>
  <c r="P17" i="15" s="1"/>
  <c r="O25" i="15"/>
  <c r="P25" i="15" s="1"/>
  <c r="O21" i="15"/>
  <c r="P21" i="15" s="1"/>
  <c r="O48" i="15"/>
  <c r="P48" i="15" s="1"/>
  <c r="O30" i="15"/>
  <c r="P30" i="15" s="1"/>
  <c r="O20" i="15"/>
  <c r="P20" i="15" s="1"/>
  <c r="O38" i="15"/>
  <c r="P38" i="15" s="1"/>
  <c r="O26" i="15"/>
  <c r="P26" i="15" s="1"/>
  <c r="O56" i="15"/>
  <c r="P56" i="15" s="1"/>
  <c r="O36" i="15"/>
  <c r="P36" i="15" s="1"/>
  <c r="O33" i="15"/>
  <c r="P33" i="15" s="1"/>
  <c r="O27" i="15"/>
  <c r="P27" i="15" s="1"/>
  <c r="O44" i="15"/>
  <c r="P44" i="15" s="1"/>
  <c r="O41" i="15"/>
  <c r="P41" i="15" s="1"/>
  <c r="O22" i="15"/>
  <c r="P22" i="15" s="1"/>
  <c r="O11" i="15"/>
  <c r="P11" i="15" s="1"/>
  <c r="O8" i="15"/>
  <c r="P8" i="15" s="1"/>
  <c r="O28" i="15"/>
  <c r="P28" i="15" s="1"/>
  <c r="O53" i="15"/>
  <c r="P53" i="15" s="1"/>
  <c r="O5" i="15"/>
  <c r="P5" i="15" s="1"/>
  <c r="O34" i="15"/>
  <c r="P34" i="15" s="1"/>
  <c r="O24" i="15"/>
  <c r="P24" i="15" s="1"/>
  <c r="O14" i="15"/>
  <c r="P14" i="15" s="1"/>
  <c r="O49" i="15"/>
  <c r="P49" i="15" s="1"/>
  <c r="O12" i="15"/>
  <c r="P12" i="15" s="1"/>
  <c r="O23" i="15"/>
  <c r="P23" i="15" s="1"/>
  <c r="O52" i="15"/>
  <c r="P52" i="15" s="1"/>
  <c r="O6" i="15"/>
  <c r="P6" i="15" s="1"/>
  <c r="O19" i="15"/>
  <c r="P19" i="15" s="1"/>
  <c r="O18" i="15"/>
  <c r="P18" i="15" s="1"/>
  <c r="O35" i="15"/>
  <c r="P35" i="15" s="1"/>
  <c r="O39" i="15"/>
  <c r="P39" i="15" s="1"/>
  <c r="O50" i="15"/>
  <c r="P50" i="15" s="1"/>
  <c r="O47" i="15"/>
  <c r="P47" i="15" s="1"/>
  <c r="O42" i="15"/>
  <c r="P42" i="15" s="1"/>
  <c r="O45" i="15"/>
  <c r="P45" i="15" s="1"/>
  <c r="O54" i="15"/>
  <c r="P54" i="15" s="1"/>
  <c r="O37" i="15"/>
  <c r="P37" i="15" s="1"/>
  <c r="O40" i="15"/>
  <c r="P40" i="15" s="1"/>
  <c r="O31" i="15"/>
  <c r="P31" i="15" s="1"/>
  <c r="O58" i="15"/>
  <c r="P58" i="15" s="1"/>
  <c r="O15" i="15"/>
  <c r="P15" i="15" s="1"/>
  <c r="O59" i="15"/>
  <c r="P59" i="15" s="1"/>
  <c r="O57" i="15"/>
  <c r="P57" i="15" s="1"/>
  <c r="O10" i="15"/>
  <c r="P10" i="15" s="1"/>
  <c r="O13" i="15"/>
  <c r="P13" i="15" s="1"/>
  <c r="O9" i="15"/>
  <c r="P9" i="15" s="1"/>
  <c r="O32" i="15"/>
  <c r="P32" i="15" s="1"/>
  <c r="Q100" i="22"/>
  <c r="J136" i="21"/>
  <c r="Q143" i="22"/>
  <c r="J93" i="21"/>
  <c r="L100" i="22"/>
  <c r="L93" i="21"/>
  <c r="L143" i="22"/>
  <c r="V46" i="20"/>
  <c r="L51" i="20" s="1"/>
  <c r="O93" i="21"/>
  <c r="O136" i="21"/>
  <c r="S93" i="21"/>
  <c r="S136" i="21"/>
  <c r="T100" i="22"/>
  <c r="R143" i="22"/>
  <c r="U100" i="22"/>
  <c r="R60" i="22"/>
  <c r="N2" i="22"/>
  <c r="M11" i="22" s="1"/>
  <c r="P136" i="21"/>
  <c r="U143" i="22"/>
  <c r="S100" i="22"/>
  <c r="M100" i="22"/>
  <c r="R136" i="21"/>
  <c r="M143" i="22"/>
  <c r="N136" i="21"/>
  <c r="N93" i="21"/>
  <c r="R55" i="21"/>
  <c r="N100" i="22"/>
  <c r="O143" i="22"/>
  <c r="M136" i="21"/>
  <c r="N143" i="22"/>
  <c r="O100" i="22"/>
  <c r="N2" i="20"/>
  <c r="L11" i="20" s="1"/>
  <c r="D3" i="13"/>
  <c r="D4" i="13" s="1"/>
  <c r="M93" i="21"/>
  <c r="N2" i="21"/>
  <c r="I11" i="21" s="1"/>
  <c r="O4" i="15"/>
  <c r="P4" i="15" s="1"/>
  <c r="M62" i="25"/>
  <c r="N62" i="25" s="1"/>
  <c r="O62" i="25" s="1"/>
  <c r="B64" i="25" s="1"/>
  <c r="J12" i="14" s="1"/>
  <c r="B67" i="25"/>
  <c r="K12" i="14" s="1"/>
  <c r="K67" i="25"/>
  <c r="T12" i="14" s="1"/>
  <c r="L67" i="25"/>
  <c r="U12" i="14" s="1"/>
  <c r="M67" i="25"/>
  <c r="V12" i="14" s="1"/>
  <c r="J67" i="25"/>
  <c r="S12" i="14" s="1"/>
  <c r="G67" i="25"/>
  <c r="P12" i="14" s="1"/>
  <c r="E67" i="25"/>
  <c r="N12" i="14" s="1"/>
  <c r="D67" i="25"/>
  <c r="M12" i="14" s="1"/>
  <c r="C67" i="25"/>
  <c r="L12" i="14" s="1"/>
  <c r="I67" i="25"/>
  <c r="R12" i="14" s="1"/>
  <c r="H67" i="25"/>
  <c r="Q12" i="14" s="1"/>
  <c r="F67" i="25"/>
  <c r="O12" i="14" s="1"/>
  <c r="V139" i="21"/>
  <c r="J146" i="21" s="1"/>
  <c r="L61" i="22"/>
  <c r="X61" i="22" s="1"/>
  <c r="L66" i="22" s="1"/>
  <c r="L144" i="22"/>
  <c r="L101" i="22"/>
  <c r="X146" i="22"/>
  <c r="O153" i="22" s="1"/>
  <c r="L102" i="22"/>
  <c r="L145" i="22"/>
  <c r="J56" i="21"/>
  <c r="V56" i="21" s="1"/>
  <c r="J61" i="21" s="1"/>
  <c r="J137" i="21"/>
  <c r="J94" i="21"/>
  <c r="J138" i="21"/>
  <c r="J95" i="21"/>
  <c r="D9" i="11"/>
  <c r="E10" i="11" s="1"/>
  <c r="F10" i="11" s="1"/>
  <c r="G10" i="11" s="1"/>
  <c r="C5" i="13"/>
  <c r="H11" i="19"/>
  <c r="O11" i="19" s="1"/>
  <c r="P11" i="19" s="1"/>
  <c r="H32" i="19"/>
  <c r="O32" i="19" s="1"/>
  <c r="P32" i="19" s="1"/>
  <c r="H33" i="19"/>
  <c r="O33" i="19" s="1"/>
  <c r="H18" i="19"/>
  <c r="O18" i="19" s="1"/>
  <c r="P18" i="19" s="1"/>
  <c r="H19" i="19"/>
  <c r="O19" i="19" s="1"/>
  <c r="P19" i="19" s="1"/>
  <c r="H12" i="19"/>
  <c r="O12" i="19" s="1"/>
  <c r="P12" i="19" s="1"/>
  <c r="H13" i="19"/>
  <c r="O13" i="19" s="1"/>
  <c r="P13" i="19" s="1"/>
  <c r="H14" i="19"/>
  <c r="O14" i="19" s="1"/>
  <c r="P14" i="19" s="1"/>
  <c r="H55" i="19"/>
  <c r="O55" i="19" s="1"/>
  <c r="P55" i="19" s="1"/>
  <c r="H47" i="19"/>
  <c r="O47" i="19" s="1"/>
  <c r="P47" i="19" s="1"/>
  <c r="H51" i="19"/>
  <c r="O51" i="19" s="1"/>
  <c r="P51" i="19" s="1"/>
  <c r="H45" i="19"/>
  <c r="O45" i="19" s="1"/>
  <c r="P45" i="19" s="1"/>
  <c r="H31" i="19"/>
  <c r="O31" i="19" s="1"/>
  <c r="P31" i="19" s="1"/>
  <c r="H25" i="19"/>
  <c r="O25" i="19" s="1"/>
  <c r="P25" i="19" s="1"/>
  <c r="H5" i="19"/>
  <c r="O5" i="19" s="1"/>
  <c r="P5" i="19" s="1"/>
  <c r="H40" i="19"/>
  <c r="O40" i="19" s="1"/>
  <c r="P40" i="19" s="1"/>
  <c r="H41" i="19"/>
  <c r="O41" i="19" s="1"/>
  <c r="P41" i="19" s="1"/>
  <c r="H26" i="19"/>
  <c r="O26" i="19" s="1"/>
  <c r="P26" i="19" s="1"/>
  <c r="H27" i="19"/>
  <c r="O27" i="19" s="1"/>
  <c r="P27" i="19" s="1"/>
  <c r="H20" i="19"/>
  <c r="O20" i="19" s="1"/>
  <c r="P20" i="19" s="1"/>
  <c r="H21" i="19"/>
  <c r="O21" i="19" s="1"/>
  <c r="P21" i="19" s="1"/>
  <c r="H22" i="19"/>
  <c r="O22" i="19" s="1"/>
  <c r="P22" i="19" s="1"/>
  <c r="H43" i="19"/>
  <c r="O43" i="19" s="1"/>
  <c r="P43" i="19" s="1"/>
  <c r="H62" i="19"/>
  <c r="O62" i="19" s="1"/>
  <c r="P62" i="19" s="1"/>
  <c r="H48" i="19"/>
  <c r="O48" i="19" s="1"/>
  <c r="P48" i="19" s="1"/>
  <c r="H49" i="19"/>
  <c r="O49" i="19" s="1"/>
  <c r="P49" i="19" s="1"/>
  <c r="H34" i="19"/>
  <c r="O34" i="19" s="1"/>
  <c r="H35" i="19"/>
  <c r="O35" i="19" s="1"/>
  <c r="P35" i="19" s="1"/>
  <c r="H28" i="19"/>
  <c r="O28" i="19" s="1"/>
  <c r="P28" i="19" s="1"/>
  <c r="H29" i="19"/>
  <c r="O29" i="19" s="1"/>
  <c r="P29" i="19" s="1"/>
  <c r="H30" i="19"/>
  <c r="O30" i="19" s="1"/>
  <c r="P30" i="19" s="1"/>
  <c r="H56" i="19"/>
  <c r="O56" i="19" s="1"/>
  <c r="H57" i="19"/>
  <c r="O57" i="19" s="1"/>
  <c r="P57" i="19" s="1"/>
  <c r="H42" i="19"/>
  <c r="O42" i="19" s="1"/>
  <c r="P42" i="19" s="1"/>
  <c r="H36" i="19"/>
  <c r="O36" i="19" s="1"/>
  <c r="P36" i="19" s="1"/>
  <c r="H37" i="19"/>
  <c r="O37" i="19" s="1"/>
  <c r="P37" i="19" s="1"/>
  <c r="H38" i="19"/>
  <c r="O38" i="19" s="1"/>
  <c r="P38" i="19" s="1"/>
  <c r="H7" i="19"/>
  <c r="O7" i="19" s="1"/>
  <c r="P7" i="19" s="1"/>
  <c r="H50" i="19"/>
  <c r="O50" i="19" s="1"/>
  <c r="P50" i="19" s="1"/>
  <c r="H44" i="19"/>
  <c r="O44" i="19" s="1"/>
  <c r="P44" i="19" s="1"/>
  <c r="H46" i="19"/>
  <c r="O46" i="19" s="1"/>
  <c r="P46" i="19" s="1"/>
  <c r="H61" i="19"/>
  <c r="O61" i="19" s="1"/>
  <c r="P61" i="19" s="1"/>
  <c r="H6" i="19"/>
  <c r="O6" i="19" s="1"/>
  <c r="P6" i="19" s="1"/>
  <c r="H15" i="19"/>
  <c r="O15" i="19" s="1"/>
  <c r="P15" i="19" s="1"/>
  <c r="H8" i="19"/>
  <c r="O8" i="19" s="1"/>
  <c r="P8" i="19" s="1"/>
  <c r="H9" i="19"/>
  <c r="O9" i="19" s="1"/>
  <c r="P9" i="19" s="1"/>
  <c r="H39" i="19"/>
  <c r="O39" i="19" s="1"/>
  <c r="P39" i="19" s="1"/>
  <c r="H58" i="19"/>
  <c r="O58" i="19" s="1"/>
  <c r="P58" i="19" s="1"/>
  <c r="H59" i="19"/>
  <c r="O59" i="19" s="1"/>
  <c r="P59" i="19" s="1"/>
  <c r="H52" i="19"/>
  <c r="O52" i="19" s="1"/>
  <c r="P52" i="19" s="1"/>
  <c r="H53" i="19"/>
  <c r="O53" i="19" s="1"/>
  <c r="P53" i="19" s="1"/>
  <c r="H54" i="19"/>
  <c r="O54" i="19" s="1"/>
  <c r="P54" i="19" s="1"/>
  <c r="H16" i="19"/>
  <c r="O16" i="19" s="1"/>
  <c r="P16" i="19" s="1"/>
  <c r="H17" i="19"/>
  <c r="O17" i="19" s="1"/>
  <c r="P17" i="19" s="1"/>
  <c r="H3" i="19"/>
  <c r="H23" i="19"/>
  <c r="O23" i="19" s="1"/>
  <c r="P23" i="19" s="1"/>
  <c r="H60" i="19"/>
  <c r="O60" i="19" s="1"/>
  <c r="P60" i="19" s="1"/>
  <c r="H24" i="19"/>
  <c r="O24" i="19" s="1"/>
  <c r="P24" i="19" s="1"/>
  <c r="H10" i="19"/>
  <c r="O10" i="19" s="1"/>
  <c r="P10" i="19" s="1"/>
  <c r="H4" i="19"/>
  <c r="O4" i="19" s="1"/>
  <c r="P4" i="19" s="1"/>
  <c r="N3" i="20"/>
  <c r="F12" i="20" s="1"/>
  <c r="J47" i="20"/>
  <c r="E15" i="20"/>
  <c r="L15" i="20"/>
  <c r="K15" i="20"/>
  <c r="H15" i="20"/>
  <c r="I15" i="20"/>
  <c r="M15" i="20"/>
  <c r="J15" i="20"/>
  <c r="D15" i="20"/>
  <c r="F15" i="20"/>
  <c r="C15" i="20"/>
  <c r="G15" i="20"/>
  <c r="B15" i="20"/>
  <c r="L14" i="20"/>
  <c r="G14" i="20"/>
  <c r="H14" i="20"/>
  <c r="M14" i="20"/>
  <c r="B14" i="20"/>
  <c r="N3" i="22"/>
  <c r="N3" i="21"/>
  <c r="B12" i="21" s="1"/>
  <c r="N4" i="21"/>
  <c r="B13" i="21" s="1"/>
  <c r="N4" i="20"/>
  <c r="B13" i="20" s="1"/>
  <c r="C9" i="24"/>
  <c r="D9" i="24"/>
  <c r="E9" i="24" s="1"/>
  <c r="F9" i="24" s="1"/>
  <c r="N6" i="22"/>
  <c r="B15" i="22" s="1"/>
  <c r="N5" i="22"/>
  <c r="N6" i="21"/>
  <c r="B15" i="21" s="1"/>
  <c r="N5" i="21"/>
  <c r="B14" i="21" s="1"/>
  <c r="N4" i="22"/>
  <c r="D14" i="20"/>
  <c r="F14" i="20"/>
  <c r="J14" i="20"/>
  <c r="K14" i="20"/>
  <c r="I14" i="20"/>
  <c r="E14" i="20"/>
  <c r="C14" i="20"/>
  <c r="E12" i="16"/>
  <c r="F12" i="16" s="1"/>
  <c r="G12" i="16" s="1"/>
  <c r="C12" i="16"/>
  <c r="D12" i="16" s="1"/>
  <c r="C13" i="16" s="1"/>
  <c r="D13" i="16" s="1"/>
  <c r="C14" i="16" s="1"/>
  <c r="K10" i="14" l="1"/>
  <c r="F10" i="14"/>
  <c r="V55" i="21"/>
  <c r="K60" i="21" s="1"/>
  <c r="H11" i="21"/>
  <c r="F11" i="21"/>
  <c r="E11" i="21"/>
  <c r="M51" i="20"/>
  <c r="F11" i="22"/>
  <c r="X60" i="22"/>
  <c r="T65" i="22" s="1"/>
  <c r="B11" i="22"/>
  <c r="B64" i="15"/>
  <c r="J16" i="14" s="1"/>
  <c r="T51" i="20"/>
  <c r="Q51" i="20"/>
  <c r="S51" i="20"/>
  <c r="K51" i="20"/>
  <c r="N51" i="20"/>
  <c r="J51" i="20"/>
  <c r="R51" i="20"/>
  <c r="P51" i="20"/>
  <c r="U51" i="20"/>
  <c r="O51" i="20"/>
  <c r="M11" i="21"/>
  <c r="D11" i="21"/>
  <c r="C11" i="21"/>
  <c r="G11" i="21"/>
  <c r="L11" i="21"/>
  <c r="K11" i="21"/>
  <c r="J11" i="21"/>
  <c r="B11" i="21"/>
  <c r="B16" i="21" s="1"/>
  <c r="B22" i="21" s="1"/>
  <c r="I11" i="22"/>
  <c r="H11" i="20"/>
  <c r="C11" i="22"/>
  <c r="H11" i="22"/>
  <c r="V136" i="21"/>
  <c r="L143" i="21" s="1"/>
  <c r="X100" i="22"/>
  <c r="P106" i="22" s="1"/>
  <c r="V93" i="21"/>
  <c r="P99" i="21" s="1"/>
  <c r="K11" i="22"/>
  <c r="G11" i="22"/>
  <c r="E11" i="22"/>
  <c r="X143" i="22"/>
  <c r="Q150" i="22" s="1"/>
  <c r="L11" i="22"/>
  <c r="D11" i="22"/>
  <c r="J11" i="22"/>
  <c r="B11" i="20"/>
  <c r="F11" i="20"/>
  <c r="D11" i="20"/>
  <c r="I11" i="20"/>
  <c r="C11" i="20"/>
  <c r="J11" i="20"/>
  <c r="M11" i="20"/>
  <c r="G11" i="20"/>
  <c r="K11" i="20"/>
  <c r="E11" i="20"/>
  <c r="N5" i="19"/>
  <c r="Q5" i="19" s="1"/>
  <c r="R5" i="19" s="1"/>
  <c r="S5" i="19" s="1"/>
  <c r="R146" i="21"/>
  <c r="S146" i="21"/>
  <c r="T146" i="21"/>
  <c r="U146" i="21"/>
  <c r="N146" i="21"/>
  <c r="O146" i="21"/>
  <c r="P146" i="21"/>
  <c r="Q146" i="21"/>
  <c r="K146" i="21"/>
  <c r="L146" i="21"/>
  <c r="M146" i="21"/>
  <c r="X102" i="22"/>
  <c r="L108" i="22" s="1"/>
  <c r="X101" i="22"/>
  <c r="X145" i="22"/>
  <c r="L152" i="22" s="1"/>
  <c r="U153" i="22"/>
  <c r="Q153" i="22"/>
  <c r="P153" i="22"/>
  <c r="V153" i="22"/>
  <c r="N153" i="22"/>
  <c r="M153" i="22"/>
  <c r="W153" i="22"/>
  <c r="T153" i="22"/>
  <c r="R153" i="22"/>
  <c r="S153" i="22"/>
  <c r="X144" i="22"/>
  <c r="L153" i="22"/>
  <c r="V138" i="21"/>
  <c r="V137" i="21"/>
  <c r="V94" i="21"/>
  <c r="J100" i="21" s="1"/>
  <c r="V95" i="21"/>
  <c r="J101" i="21" s="1"/>
  <c r="N39" i="19"/>
  <c r="M39" i="19" s="1"/>
  <c r="E12" i="20"/>
  <c r="N54" i="19"/>
  <c r="Q54" i="19" s="1"/>
  <c r="R54" i="19" s="1"/>
  <c r="S54" i="19" s="1"/>
  <c r="N6" i="19"/>
  <c r="Q6" i="19" s="1"/>
  <c r="R6" i="19" s="1"/>
  <c r="S6" i="19" s="1"/>
  <c r="N41" i="19"/>
  <c r="M41" i="19" s="1"/>
  <c r="N59" i="19"/>
  <c r="Q59" i="19" s="1"/>
  <c r="R59" i="19" s="1"/>
  <c r="S59" i="19" s="1"/>
  <c r="N8" i="19"/>
  <c r="Q8" i="19" s="1"/>
  <c r="R8" i="19" s="1"/>
  <c r="S8" i="19" s="1"/>
  <c r="N55" i="19"/>
  <c r="M55" i="19" s="1"/>
  <c r="N57" i="19"/>
  <c r="M57" i="19" s="1"/>
  <c r="N24" i="19"/>
  <c r="Q24" i="19" s="1"/>
  <c r="R24" i="19" s="1"/>
  <c r="S24" i="19" s="1"/>
  <c r="N51" i="19"/>
  <c r="M51" i="19" s="1"/>
  <c r="C10" i="11"/>
  <c r="D10" i="11" s="1"/>
  <c r="C11" i="11" s="1"/>
  <c r="N49" i="19"/>
  <c r="Q49" i="19" s="1"/>
  <c r="R49" i="19" s="1"/>
  <c r="S49" i="19" s="1"/>
  <c r="N60" i="19"/>
  <c r="Q60" i="19" s="1"/>
  <c r="R60" i="19" s="1"/>
  <c r="S60" i="19" s="1"/>
  <c r="N27" i="19"/>
  <c r="M27" i="19" s="1"/>
  <c r="N53" i="19"/>
  <c r="M53" i="19" s="1"/>
  <c r="N7" i="19"/>
  <c r="M7" i="19" s="1"/>
  <c r="N22" i="19"/>
  <c r="M22" i="19" s="1"/>
  <c r="N36" i="19"/>
  <c r="Q36" i="19" s="1"/>
  <c r="R36" i="19" s="1"/>
  <c r="S36" i="19" s="1"/>
  <c r="N42" i="19"/>
  <c r="Q42" i="19" s="1"/>
  <c r="R42" i="19" s="1"/>
  <c r="S42" i="19" s="1"/>
  <c r="N10" i="19"/>
  <c r="M10" i="19" s="1"/>
  <c r="N47" i="19"/>
  <c r="M47" i="19" s="1"/>
  <c r="N46" i="19"/>
  <c r="M46" i="19" s="1"/>
  <c r="N29" i="19"/>
  <c r="Q29" i="19" s="1"/>
  <c r="R29" i="19" s="1"/>
  <c r="S29" i="19" s="1"/>
  <c r="C6" i="13"/>
  <c r="C7" i="13" s="1"/>
  <c r="D5" i="13"/>
  <c r="N23" i="19"/>
  <c r="N4" i="19"/>
  <c r="N35" i="19"/>
  <c r="C12" i="20"/>
  <c r="N58" i="19"/>
  <c r="P34" i="19"/>
  <c r="N34" i="19"/>
  <c r="P33" i="19"/>
  <c r="N33" i="19"/>
  <c r="N25" i="19"/>
  <c r="N17" i="19"/>
  <c r="N48" i="19"/>
  <c r="N32" i="19"/>
  <c r="N11" i="19"/>
  <c r="L12" i="20"/>
  <c r="E13" i="20"/>
  <c r="N38" i="19"/>
  <c r="H12" i="20"/>
  <c r="N21" i="19"/>
  <c r="N18" i="19"/>
  <c r="K61" i="21"/>
  <c r="N61" i="21"/>
  <c r="O61" i="21"/>
  <c r="P61" i="21"/>
  <c r="Q61" i="21"/>
  <c r="M61" i="21"/>
  <c r="L61" i="21"/>
  <c r="T61" i="21"/>
  <c r="U61" i="21"/>
  <c r="S61" i="21"/>
  <c r="R61" i="21"/>
  <c r="N9" i="19"/>
  <c r="N12" i="19"/>
  <c r="I12" i="20"/>
  <c r="P56" i="19"/>
  <c r="N56" i="19"/>
  <c r="N44" i="19"/>
  <c r="N62" i="19"/>
  <c r="N31" i="19"/>
  <c r="J12" i="20"/>
  <c r="K12" i="20"/>
  <c r="M12" i="20"/>
  <c r="F13" i="20"/>
  <c r="B12" i="20"/>
  <c r="D12" i="20"/>
  <c r="G12" i="20"/>
  <c r="N19" i="19"/>
  <c r="N45" i="19"/>
  <c r="N15" i="19"/>
  <c r="N28" i="19"/>
  <c r="N50" i="19"/>
  <c r="V47" i="20"/>
  <c r="N30" i="19"/>
  <c r="N13" i="19"/>
  <c r="N37" i="19"/>
  <c r="N52" i="19"/>
  <c r="N61" i="19"/>
  <c r="N14" i="19"/>
  <c r="N43" i="19"/>
  <c r="N20" i="19"/>
  <c r="W66" i="22"/>
  <c r="M66" i="22"/>
  <c r="R66" i="22"/>
  <c r="Q66" i="22"/>
  <c r="N66" i="22"/>
  <c r="T66" i="22"/>
  <c r="O66" i="22"/>
  <c r="P66" i="22"/>
  <c r="S66" i="22"/>
  <c r="U66" i="22"/>
  <c r="V66" i="22"/>
  <c r="N26" i="19"/>
  <c r="N16" i="19"/>
  <c r="N40" i="19"/>
  <c r="I13" i="20"/>
  <c r="G13" i="20"/>
  <c r="J13" i="20"/>
  <c r="H13" i="20"/>
  <c r="K13" i="20"/>
  <c r="M13" i="20"/>
  <c r="C13" i="20"/>
  <c r="L13" i="20"/>
  <c r="D13" i="20"/>
  <c r="D14" i="22"/>
  <c r="I14" i="22"/>
  <c r="K14" i="22"/>
  <c r="M14" i="22"/>
  <c r="H14" i="22"/>
  <c r="F14" i="22"/>
  <c r="L14" i="22"/>
  <c r="C14" i="22"/>
  <c r="J14" i="22"/>
  <c r="E14" i="22"/>
  <c r="G14" i="22"/>
  <c r="B14" i="22"/>
  <c r="C13" i="21"/>
  <c r="G13" i="21"/>
  <c r="L13" i="21"/>
  <c r="F13" i="21"/>
  <c r="J13" i="21"/>
  <c r="I13" i="21"/>
  <c r="M13" i="21"/>
  <c r="H13" i="21"/>
  <c r="K13" i="21"/>
  <c r="D13" i="21"/>
  <c r="E13" i="21"/>
  <c r="C13" i="22"/>
  <c r="K13" i="22"/>
  <c r="G13" i="22"/>
  <c r="L13" i="22"/>
  <c r="M13" i="22"/>
  <c r="F13" i="22"/>
  <c r="H13" i="22"/>
  <c r="E13" i="22"/>
  <c r="D13" i="22"/>
  <c r="I13" i="22"/>
  <c r="J13" i="22"/>
  <c r="B12" i="22"/>
  <c r="M12" i="22"/>
  <c r="G12" i="22"/>
  <c r="L12" i="22"/>
  <c r="F12" i="22"/>
  <c r="J12" i="22"/>
  <c r="D12" i="22"/>
  <c r="H12" i="22"/>
  <c r="I12" i="22"/>
  <c r="E12" i="22"/>
  <c r="C12" i="22"/>
  <c r="K12" i="22"/>
  <c r="I15" i="21"/>
  <c r="D15" i="21"/>
  <c r="H15" i="21"/>
  <c r="G15" i="21"/>
  <c r="M15" i="21"/>
  <c r="K15" i="21"/>
  <c r="L15" i="21"/>
  <c r="C15" i="21"/>
  <c r="F15" i="21"/>
  <c r="E15" i="21"/>
  <c r="J15" i="21"/>
  <c r="D10" i="24"/>
  <c r="E10" i="24" s="1"/>
  <c r="F10" i="24" s="1"/>
  <c r="C10" i="24"/>
  <c r="C14" i="21"/>
  <c r="K14" i="21"/>
  <c r="G14" i="21"/>
  <c r="H14" i="21"/>
  <c r="L14" i="21"/>
  <c r="E14" i="21"/>
  <c r="M14" i="21"/>
  <c r="J14" i="21"/>
  <c r="D14" i="21"/>
  <c r="I14" i="21"/>
  <c r="F14" i="21"/>
  <c r="B13" i="22"/>
  <c r="J15" i="22"/>
  <c r="D15" i="22"/>
  <c r="E15" i="22"/>
  <c r="G15" i="22"/>
  <c r="M15" i="22"/>
  <c r="H15" i="22"/>
  <c r="L15" i="22"/>
  <c r="K15" i="22"/>
  <c r="C15" i="22"/>
  <c r="I15" i="22"/>
  <c r="F15" i="22"/>
  <c r="F12" i="21"/>
  <c r="K12" i="21"/>
  <c r="G12" i="21"/>
  <c r="E12" i="21"/>
  <c r="I12" i="21"/>
  <c r="J12" i="21"/>
  <c r="C12" i="21"/>
  <c r="H12" i="21"/>
  <c r="L12" i="21"/>
  <c r="D12" i="21"/>
  <c r="M12" i="21"/>
  <c r="E13" i="16"/>
  <c r="F13" i="16" s="1"/>
  <c r="G13" i="16" s="1"/>
  <c r="E14" i="16"/>
  <c r="F14" i="16" s="1"/>
  <c r="G14" i="16" s="1"/>
  <c r="D14" i="16"/>
  <c r="C15" i="16" s="1"/>
  <c r="N10" i="14" l="1"/>
  <c r="V10" i="14"/>
  <c r="O10" i="14"/>
  <c r="L10" i="14"/>
  <c r="P10" i="14"/>
  <c r="R10" i="14"/>
  <c r="S10" i="14"/>
  <c r="M10" i="14"/>
  <c r="Q10" i="14"/>
  <c r="T10" i="14"/>
  <c r="U10" i="14"/>
  <c r="P60" i="21"/>
  <c r="O60" i="21"/>
  <c r="O62" i="21" s="1"/>
  <c r="O67" i="21" s="1"/>
  <c r="N60" i="21"/>
  <c r="L60" i="21"/>
  <c r="L62" i="21" s="1"/>
  <c r="Q76" i="21" s="1"/>
  <c r="Q60" i="21"/>
  <c r="Q62" i="21" s="1"/>
  <c r="Q81" i="21" s="1"/>
  <c r="Q99" i="21"/>
  <c r="R60" i="21"/>
  <c r="R62" i="21" s="1"/>
  <c r="Q82" i="21" s="1"/>
  <c r="U60" i="21"/>
  <c r="U62" i="21" s="1"/>
  <c r="Q85" i="21" s="1"/>
  <c r="K62" i="21"/>
  <c r="Q75" i="21" s="1"/>
  <c r="T60" i="21"/>
  <c r="T62" i="21" s="1"/>
  <c r="Q84" i="21" s="1"/>
  <c r="J60" i="21"/>
  <c r="J62" i="21" s="1"/>
  <c r="Q74" i="21" s="1"/>
  <c r="B16" i="20"/>
  <c r="B22" i="20" s="1"/>
  <c r="S60" i="21"/>
  <c r="S62" i="21" s="1"/>
  <c r="Q83" i="21" s="1"/>
  <c r="M60" i="21"/>
  <c r="M62" i="21" s="1"/>
  <c r="Q77" i="21" s="1"/>
  <c r="S99" i="21"/>
  <c r="N150" i="22"/>
  <c r="L65" i="22"/>
  <c r="L67" i="22" s="1"/>
  <c r="R83" i="22" s="1"/>
  <c r="F16" i="20"/>
  <c r="F23" i="20" s="1"/>
  <c r="O106" i="22"/>
  <c r="M99" i="21"/>
  <c r="Q65" i="22"/>
  <c r="Q67" i="22" s="1"/>
  <c r="O65" i="22"/>
  <c r="O67" i="22" s="1"/>
  <c r="R65" i="22"/>
  <c r="R67" i="22" s="1"/>
  <c r="V65" i="22"/>
  <c r="V67" i="22" s="1"/>
  <c r="R93" i="22" s="1"/>
  <c r="T67" i="22"/>
  <c r="T71" i="22" s="1"/>
  <c r="P65" i="22"/>
  <c r="P67" i="22" s="1"/>
  <c r="R87" i="22" s="1"/>
  <c r="S65" i="22"/>
  <c r="S67" i="22" s="1"/>
  <c r="S71" i="22" s="1"/>
  <c r="N65" i="22"/>
  <c r="N67" i="22" s="1"/>
  <c r="R85" i="22" s="1"/>
  <c r="W65" i="22"/>
  <c r="W67" i="22" s="1"/>
  <c r="W71" i="22" s="1"/>
  <c r="M65" i="22"/>
  <c r="M67" i="22" s="1"/>
  <c r="R84" i="22" s="1"/>
  <c r="U65" i="22"/>
  <c r="U67" i="22" s="1"/>
  <c r="U71" i="22" s="1"/>
  <c r="Q143" i="21"/>
  <c r="U150" i="22"/>
  <c r="U143" i="21"/>
  <c r="P150" i="22"/>
  <c r="L150" i="22"/>
  <c r="S150" i="22"/>
  <c r="Q57" i="19"/>
  <c r="R57" i="19" s="1"/>
  <c r="S57" i="19" s="1"/>
  <c r="T150" i="22"/>
  <c r="S106" i="22"/>
  <c r="P62" i="21"/>
  <c r="P66" i="21" s="1"/>
  <c r="R106" i="22"/>
  <c r="R143" i="21"/>
  <c r="N143" i="21"/>
  <c r="J143" i="21"/>
  <c r="K143" i="21"/>
  <c r="P143" i="21"/>
  <c r="O99" i="21"/>
  <c r="L106" i="22"/>
  <c r="Q106" i="22"/>
  <c r="N99" i="21"/>
  <c r="M42" i="19"/>
  <c r="L99" i="21"/>
  <c r="V150" i="22"/>
  <c r="U106" i="22"/>
  <c r="M106" i="22"/>
  <c r="K99" i="21"/>
  <c r="T99" i="21"/>
  <c r="T106" i="22"/>
  <c r="N106" i="22"/>
  <c r="W106" i="22"/>
  <c r="R99" i="21"/>
  <c r="R150" i="22"/>
  <c r="M150" i="22"/>
  <c r="V106" i="22"/>
  <c r="M143" i="21"/>
  <c r="O143" i="21"/>
  <c r="T143" i="21"/>
  <c r="J99" i="21"/>
  <c r="J102" i="21" s="1"/>
  <c r="J108" i="21" s="1"/>
  <c r="U99" i="21"/>
  <c r="S143" i="21"/>
  <c r="W150" i="22"/>
  <c r="O150" i="22"/>
  <c r="M54" i="19"/>
  <c r="N62" i="21"/>
  <c r="Q78" i="21" s="1"/>
  <c r="M6" i="19"/>
  <c r="E16" i="20"/>
  <c r="E25" i="20" s="1"/>
  <c r="Q39" i="19"/>
  <c r="R39" i="19" s="1"/>
  <c r="S39" i="19" s="1"/>
  <c r="G16" i="20"/>
  <c r="G22" i="20" s="1"/>
  <c r="M5" i="19"/>
  <c r="M144" i="21"/>
  <c r="U144" i="21"/>
  <c r="S144" i="21"/>
  <c r="P144" i="21"/>
  <c r="O144" i="21"/>
  <c r="T144" i="21"/>
  <c r="R144" i="21"/>
  <c r="K144" i="21"/>
  <c r="L144" i="21"/>
  <c r="N144" i="21"/>
  <c r="Q144" i="21"/>
  <c r="L145" i="21"/>
  <c r="P145" i="21"/>
  <c r="S145" i="21"/>
  <c r="U145" i="21"/>
  <c r="R145" i="21"/>
  <c r="T145" i="21"/>
  <c r="O145" i="21"/>
  <c r="M145" i="21"/>
  <c r="Q145" i="21"/>
  <c r="N145" i="21"/>
  <c r="K145" i="21"/>
  <c r="Q22" i="19"/>
  <c r="R22" i="19" s="1"/>
  <c r="S22" i="19" s="1"/>
  <c r="J144" i="21"/>
  <c r="J145" i="21"/>
  <c r="T107" i="22"/>
  <c r="V107" i="22"/>
  <c r="N107" i="22"/>
  <c r="M107" i="22"/>
  <c r="P107" i="22"/>
  <c r="U107" i="22"/>
  <c r="Q107" i="22"/>
  <c r="R107" i="22"/>
  <c r="S107" i="22"/>
  <c r="O107" i="22"/>
  <c r="W107" i="22"/>
  <c r="N151" i="22"/>
  <c r="Q151" i="22"/>
  <c r="O151" i="22"/>
  <c r="P151" i="22"/>
  <c r="V151" i="22"/>
  <c r="R151" i="22"/>
  <c r="U151" i="22"/>
  <c r="W151" i="22"/>
  <c r="S151" i="22"/>
  <c r="M151" i="22"/>
  <c r="T151" i="22"/>
  <c r="L107" i="22"/>
  <c r="N152" i="22"/>
  <c r="M152" i="22"/>
  <c r="U152" i="22"/>
  <c r="P152" i="22"/>
  <c r="Q152" i="22"/>
  <c r="V152" i="22"/>
  <c r="S152" i="22"/>
  <c r="O152" i="22"/>
  <c r="W152" i="22"/>
  <c r="R152" i="22"/>
  <c r="T152" i="22"/>
  <c r="L151" i="22"/>
  <c r="U108" i="22"/>
  <c r="R108" i="22"/>
  <c r="T108" i="22"/>
  <c r="P108" i="22"/>
  <c r="W108" i="22"/>
  <c r="M108" i="22"/>
  <c r="N108" i="22"/>
  <c r="O108" i="22"/>
  <c r="S108" i="22"/>
  <c r="Q108" i="22"/>
  <c r="V108" i="22"/>
  <c r="N100" i="21"/>
  <c r="U100" i="21"/>
  <c r="Q100" i="21"/>
  <c r="R100" i="21"/>
  <c r="S100" i="21"/>
  <c r="O100" i="21"/>
  <c r="L100" i="21"/>
  <c r="M100" i="21"/>
  <c r="K100" i="21"/>
  <c r="P100" i="21"/>
  <c r="T100" i="21"/>
  <c r="P101" i="21"/>
  <c r="O101" i="21"/>
  <c r="K101" i="21"/>
  <c r="U101" i="21"/>
  <c r="L101" i="21"/>
  <c r="T101" i="21"/>
  <c r="M101" i="21"/>
  <c r="R101" i="21"/>
  <c r="N101" i="21"/>
  <c r="S101" i="21"/>
  <c r="Q101" i="21"/>
  <c r="Q41" i="19"/>
  <c r="R41" i="19" s="1"/>
  <c r="S41" i="19" s="1"/>
  <c r="M60" i="19"/>
  <c r="M29" i="19"/>
  <c r="K16" i="20"/>
  <c r="K25" i="20" s="1"/>
  <c r="Q47" i="19"/>
  <c r="R47" i="19" s="1"/>
  <c r="S47" i="19" s="1"/>
  <c r="Q55" i="19"/>
  <c r="R55" i="19" s="1"/>
  <c r="S55" i="19" s="1"/>
  <c r="Q27" i="19"/>
  <c r="R27" i="19" s="1"/>
  <c r="S27" i="19" s="1"/>
  <c r="Q53" i="19"/>
  <c r="R53" i="19" s="1"/>
  <c r="S53" i="19" s="1"/>
  <c r="M24" i="19"/>
  <c r="M36" i="19"/>
  <c r="H16" i="20"/>
  <c r="H21" i="20" s="1"/>
  <c r="M49" i="19"/>
  <c r="M59" i="19"/>
  <c r="Q10" i="19"/>
  <c r="R10" i="19" s="1"/>
  <c r="S10" i="19" s="1"/>
  <c r="L16" i="20"/>
  <c r="L21" i="20" s="1"/>
  <c r="M8" i="19"/>
  <c r="Q51" i="19"/>
  <c r="R51" i="19" s="1"/>
  <c r="S51" i="19" s="1"/>
  <c r="B21" i="21"/>
  <c r="C16" i="20"/>
  <c r="C23" i="20" s="1"/>
  <c r="D6" i="13"/>
  <c r="D7" i="13" s="1"/>
  <c r="E11" i="11"/>
  <c r="F11" i="11" s="1"/>
  <c r="G11" i="11" s="1"/>
  <c r="Q46" i="19"/>
  <c r="R46" i="19" s="1"/>
  <c r="S46" i="19" s="1"/>
  <c r="Q7" i="19"/>
  <c r="R7" i="19" s="1"/>
  <c r="S7" i="19" s="1"/>
  <c r="D16" i="20"/>
  <c r="D21" i="20" s="1"/>
  <c r="F16" i="21"/>
  <c r="F23" i="21" s="1"/>
  <c r="I16" i="20"/>
  <c r="I25" i="20" s="1"/>
  <c r="M16" i="20"/>
  <c r="M21" i="20" s="1"/>
  <c r="M34" i="19"/>
  <c r="Q34" i="19"/>
  <c r="R34" i="19" s="1"/>
  <c r="S34" i="19" s="1"/>
  <c r="L16" i="21"/>
  <c r="L22" i="21" s="1"/>
  <c r="M18" i="19"/>
  <c r="Q18" i="19"/>
  <c r="R18" i="19" s="1"/>
  <c r="S18" i="19" s="1"/>
  <c r="Q48" i="19"/>
  <c r="R48" i="19" s="1"/>
  <c r="S48" i="19" s="1"/>
  <c r="M48" i="19"/>
  <c r="D16" i="22"/>
  <c r="D24" i="22" s="1"/>
  <c r="Q37" i="19"/>
  <c r="R37" i="19" s="1"/>
  <c r="S37" i="19" s="1"/>
  <c r="M37" i="19"/>
  <c r="M17" i="19"/>
  <c r="Q17" i="19"/>
  <c r="R17" i="19" s="1"/>
  <c r="S17" i="19" s="1"/>
  <c r="C8" i="13"/>
  <c r="Q52" i="20"/>
  <c r="Q53" i="20" s="1"/>
  <c r="S52" i="20"/>
  <c r="S53" i="20" s="1"/>
  <c r="N52" i="20"/>
  <c r="N53" i="20" s="1"/>
  <c r="M52" i="20"/>
  <c r="M53" i="20" s="1"/>
  <c r="K52" i="20"/>
  <c r="K53" i="20" s="1"/>
  <c r="U52" i="20"/>
  <c r="U53" i="20" s="1"/>
  <c r="L52" i="20"/>
  <c r="L53" i="20" s="1"/>
  <c r="P52" i="20"/>
  <c r="P53" i="20" s="1"/>
  <c r="R52" i="20"/>
  <c r="R53" i="20" s="1"/>
  <c r="O52" i="20"/>
  <c r="O53" i="20" s="1"/>
  <c r="T52" i="20"/>
  <c r="T53" i="20" s="1"/>
  <c r="M20" i="19"/>
  <c r="Q20" i="19"/>
  <c r="R20" i="19" s="1"/>
  <c r="S20" i="19" s="1"/>
  <c r="M13" i="19"/>
  <c r="Q13" i="19"/>
  <c r="R13" i="19" s="1"/>
  <c r="S13" i="19" s="1"/>
  <c r="M50" i="19"/>
  <c r="Q50" i="19"/>
  <c r="R50" i="19" s="1"/>
  <c r="S50" i="19" s="1"/>
  <c r="M31" i="19"/>
  <c r="Q31" i="19"/>
  <c r="R31" i="19" s="1"/>
  <c r="S31" i="19" s="1"/>
  <c r="Q25" i="19"/>
  <c r="R25" i="19" s="1"/>
  <c r="S25" i="19" s="1"/>
  <c r="M25" i="19"/>
  <c r="M35" i="19"/>
  <c r="Q35" i="19"/>
  <c r="R35" i="19" s="1"/>
  <c r="S35" i="19" s="1"/>
  <c r="B24" i="21"/>
  <c r="M43" i="19"/>
  <c r="Q43" i="19"/>
  <c r="R43" i="19" s="1"/>
  <c r="S43" i="19" s="1"/>
  <c r="M30" i="19"/>
  <c r="Q30" i="19"/>
  <c r="R30" i="19" s="1"/>
  <c r="S30" i="19" s="1"/>
  <c r="M45" i="19"/>
  <c r="Q45" i="19"/>
  <c r="R45" i="19" s="1"/>
  <c r="S45" i="19" s="1"/>
  <c r="M62" i="19"/>
  <c r="Q62" i="19"/>
  <c r="R62" i="19" s="1"/>
  <c r="S62" i="19" s="1"/>
  <c r="M12" i="19"/>
  <c r="Q12" i="19"/>
  <c r="R12" i="19" s="1"/>
  <c r="S12" i="19" s="1"/>
  <c r="M21" i="19"/>
  <c r="Q21" i="19"/>
  <c r="R21" i="19" s="1"/>
  <c r="S21" i="19" s="1"/>
  <c r="D11" i="11"/>
  <c r="C12" i="11" s="1"/>
  <c r="E16" i="21"/>
  <c r="E23" i="21" s="1"/>
  <c r="B23" i="21"/>
  <c r="M40" i="19"/>
  <c r="Q40" i="19"/>
  <c r="R40" i="19" s="1"/>
  <c r="S40" i="19" s="1"/>
  <c r="M28" i="19"/>
  <c r="Q28" i="19"/>
  <c r="R28" i="19" s="1"/>
  <c r="S28" i="19" s="1"/>
  <c r="M19" i="19"/>
  <c r="Q19" i="19"/>
  <c r="R19" i="19" s="1"/>
  <c r="S19" i="19" s="1"/>
  <c r="M9" i="19"/>
  <c r="Q9" i="19"/>
  <c r="R9" i="19" s="1"/>
  <c r="S9" i="19" s="1"/>
  <c r="M33" i="19"/>
  <c r="Q33" i="19"/>
  <c r="R33" i="19" s="1"/>
  <c r="S33" i="19" s="1"/>
  <c r="M58" i="19"/>
  <c r="Q58" i="19"/>
  <c r="R58" i="19" s="1"/>
  <c r="S58" i="19" s="1"/>
  <c r="Q4" i="19"/>
  <c r="R4" i="19" s="1"/>
  <c r="S4" i="19" s="1"/>
  <c r="M4" i="19"/>
  <c r="B25" i="21"/>
  <c r="J16" i="20"/>
  <c r="M16" i="19"/>
  <c r="Q16" i="19"/>
  <c r="R16" i="19" s="1"/>
  <c r="S16" i="19" s="1"/>
  <c r="M14" i="19"/>
  <c r="Q14" i="19"/>
  <c r="R14" i="19" s="1"/>
  <c r="S14" i="19" s="1"/>
  <c r="J52" i="20"/>
  <c r="J53" i="20" s="1"/>
  <c r="M44" i="19"/>
  <c r="Q44" i="19"/>
  <c r="R44" i="19" s="1"/>
  <c r="S44" i="19" s="1"/>
  <c r="Q11" i="19"/>
  <c r="R11" i="19" s="1"/>
  <c r="S11" i="19" s="1"/>
  <c r="M11" i="19"/>
  <c r="M26" i="19"/>
  <c r="Q26" i="19"/>
  <c r="R26" i="19" s="1"/>
  <c r="S26" i="19" s="1"/>
  <c r="M56" i="19"/>
  <c r="Q56" i="19"/>
  <c r="R56" i="19" s="1"/>
  <c r="S56" i="19" s="1"/>
  <c r="M61" i="19"/>
  <c r="Q61" i="19"/>
  <c r="R61" i="19" s="1"/>
  <c r="S61" i="19" s="1"/>
  <c r="M15" i="19"/>
  <c r="Q15" i="19"/>
  <c r="R15" i="19" s="1"/>
  <c r="S15" i="19" s="1"/>
  <c r="M38" i="19"/>
  <c r="Q38" i="19"/>
  <c r="R38" i="19" s="1"/>
  <c r="S38" i="19" s="1"/>
  <c r="M52" i="19"/>
  <c r="Q52" i="19"/>
  <c r="R52" i="19" s="1"/>
  <c r="S52" i="19" s="1"/>
  <c r="M32" i="19"/>
  <c r="Q32" i="19"/>
  <c r="R32" i="19" s="1"/>
  <c r="S32" i="19" s="1"/>
  <c r="M23" i="19"/>
  <c r="Q23" i="19"/>
  <c r="R23" i="19" s="1"/>
  <c r="S23" i="19" s="1"/>
  <c r="C16" i="21"/>
  <c r="C25" i="21" s="1"/>
  <c r="J16" i="21"/>
  <c r="J25" i="21" s="1"/>
  <c r="B16" i="22"/>
  <c r="B22" i="22" s="1"/>
  <c r="F16" i="22"/>
  <c r="F23" i="22" s="1"/>
  <c r="M16" i="21"/>
  <c r="M24" i="21" s="1"/>
  <c r="G16" i="21"/>
  <c r="G22" i="21" s="1"/>
  <c r="K16" i="22"/>
  <c r="K25" i="22" s="1"/>
  <c r="D16" i="21"/>
  <c r="D25" i="21" s="1"/>
  <c r="K16" i="21"/>
  <c r="K21" i="21" s="1"/>
  <c r="J16" i="22"/>
  <c r="H16" i="21"/>
  <c r="L16" i="22"/>
  <c r="C16" i="22"/>
  <c r="G16" i="22"/>
  <c r="C11" i="24"/>
  <c r="D11" i="24"/>
  <c r="E11" i="24" s="1"/>
  <c r="F11" i="24" s="1"/>
  <c r="M16" i="22"/>
  <c r="E16" i="22"/>
  <c r="I16" i="21"/>
  <c r="I16" i="22"/>
  <c r="H16" i="22"/>
  <c r="E15" i="16"/>
  <c r="F15" i="16" s="1"/>
  <c r="G15" i="16" s="1"/>
  <c r="D15" i="16"/>
  <c r="C16" i="16" s="1"/>
  <c r="B21" i="20" l="1"/>
  <c r="Q80" i="21"/>
  <c r="B23" i="20"/>
  <c r="B25" i="20"/>
  <c r="B24" i="20"/>
  <c r="L71" i="22"/>
  <c r="R91" i="22"/>
  <c r="L72" i="22"/>
  <c r="K67" i="21"/>
  <c r="F22" i="20"/>
  <c r="K66" i="21"/>
  <c r="F21" i="20"/>
  <c r="F24" i="20"/>
  <c r="F25" i="20"/>
  <c r="J66" i="21"/>
  <c r="J67" i="21"/>
  <c r="I22" i="20"/>
  <c r="Q72" i="22"/>
  <c r="R88" i="22"/>
  <c r="L154" i="22"/>
  <c r="S168" i="22" s="1"/>
  <c r="U67" i="21"/>
  <c r="R71" i="22"/>
  <c r="R72" i="22"/>
  <c r="R89" i="22"/>
  <c r="S72" i="22"/>
  <c r="R90" i="22"/>
  <c r="V71" i="22"/>
  <c r="V72" i="22"/>
  <c r="W72" i="22"/>
  <c r="R94" i="22"/>
  <c r="T72" i="22"/>
  <c r="R86" i="22"/>
  <c r="O72" i="22"/>
  <c r="O71" i="22"/>
  <c r="R92" i="22"/>
  <c r="L109" i="22"/>
  <c r="L113" i="22" s="1"/>
  <c r="P67" i="21"/>
  <c r="Q71" i="22"/>
  <c r="I23" i="20"/>
  <c r="U72" i="22"/>
  <c r="U66" i="21"/>
  <c r="N66" i="21"/>
  <c r="N67" i="21"/>
  <c r="M71" i="22"/>
  <c r="M72" i="22"/>
  <c r="N72" i="22"/>
  <c r="K22" i="20"/>
  <c r="P71" i="22"/>
  <c r="N71" i="22"/>
  <c r="T67" i="21"/>
  <c r="P72" i="22"/>
  <c r="T66" i="21"/>
  <c r="G24" i="20"/>
  <c r="S66" i="21"/>
  <c r="S67" i="21"/>
  <c r="Q79" i="21"/>
  <c r="R67" i="21"/>
  <c r="O66" i="21"/>
  <c r="R66" i="21"/>
  <c r="M67" i="21"/>
  <c r="N102" i="21"/>
  <c r="Q120" i="21" s="1"/>
  <c r="J147" i="21"/>
  <c r="J151" i="21" s="1"/>
  <c r="C24" i="20"/>
  <c r="U147" i="21"/>
  <c r="U154" i="21" s="1"/>
  <c r="E24" i="20"/>
  <c r="M22" i="20"/>
  <c r="E22" i="20"/>
  <c r="C25" i="20"/>
  <c r="I24" i="20"/>
  <c r="C22" i="20"/>
  <c r="M25" i="20"/>
  <c r="E23" i="20"/>
  <c r="E21" i="20"/>
  <c r="H22" i="20"/>
  <c r="H25" i="20"/>
  <c r="P102" i="21"/>
  <c r="Q122" i="21" s="1"/>
  <c r="M147" i="21"/>
  <c r="Q164" i="21" s="1"/>
  <c r="G21" i="20"/>
  <c r="G25" i="20"/>
  <c r="G23" i="20"/>
  <c r="S147" i="21"/>
  <c r="S153" i="21" s="1"/>
  <c r="P147" i="21"/>
  <c r="P154" i="21" s="1"/>
  <c r="O147" i="21"/>
  <c r="O151" i="21" s="1"/>
  <c r="K23" i="20"/>
  <c r="K24" i="20"/>
  <c r="L66" i="21"/>
  <c r="Q147" i="21"/>
  <c r="Q151" i="21" s="1"/>
  <c r="L67" i="21"/>
  <c r="I21" i="20"/>
  <c r="J107" i="21"/>
  <c r="K21" i="20"/>
  <c r="Q109" i="22"/>
  <c r="Q115" i="22" s="1"/>
  <c r="K147" i="21"/>
  <c r="K153" i="21" s="1"/>
  <c r="M66" i="21"/>
  <c r="O109" i="22"/>
  <c r="S126" i="22" s="1"/>
  <c r="R147" i="21"/>
  <c r="R151" i="21" s="1"/>
  <c r="F24" i="22"/>
  <c r="T147" i="21"/>
  <c r="Q171" i="21" s="1"/>
  <c r="J106" i="21"/>
  <c r="Q116" i="21"/>
  <c r="Q67" i="21"/>
  <c r="Q66" i="21"/>
  <c r="N147" i="21"/>
  <c r="T154" i="22"/>
  <c r="S176" i="22" s="1"/>
  <c r="O154" i="22"/>
  <c r="O160" i="22" s="1"/>
  <c r="L147" i="21"/>
  <c r="V154" i="22"/>
  <c r="V159" i="22" s="1"/>
  <c r="P154" i="22"/>
  <c r="S172" i="22" s="1"/>
  <c r="U109" i="22"/>
  <c r="U113" i="22" s="1"/>
  <c r="M154" i="22"/>
  <c r="M158" i="22" s="1"/>
  <c r="U154" i="22"/>
  <c r="U158" i="22" s="1"/>
  <c r="F22" i="22"/>
  <c r="R154" i="22"/>
  <c r="S174" i="22" s="1"/>
  <c r="Q154" i="22"/>
  <c r="P109" i="22"/>
  <c r="S154" i="22"/>
  <c r="N154" i="22"/>
  <c r="S170" i="22" s="1"/>
  <c r="M109" i="22"/>
  <c r="W154" i="22"/>
  <c r="W109" i="22"/>
  <c r="N109" i="22"/>
  <c r="V109" i="22"/>
  <c r="D21" i="22"/>
  <c r="L161" i="22"/>
  <c r="S109" i="22"/>
  <c r="T109" i="22"/>
  <c r="R109" i="22"/>
  <c r="U102" i="21"/>
  <c r="U107" i="21" s="1"/>
  <c r="L25" i="21"/>
  <c r="M102" i="21"/>
  <c r="M106" i="21" s="1"/>
  <c r="K102" i="21"/>
  <c r="Q117" i="21" s="1"/>
  <c r="L102" i="21"/>
  <c r="L106" i="21" s="1"/>
  <c r="S102" i="21"/>
  <c r="O102" i="21"/>
  <c r="R102" i="21"/>
  <c r="T102" i="21"/>
  <c r="Q102" i="21"/>
  <c r="L25" i="20"/>
  <c r="D22" i="20"/>
  <c r="D25" i="20"/>
  <c r="L23" i="20"/>
  <c r="D24" i="20"/>
  <c r="D23" i="20"/>
  <c r="G24" i="21"/>
  <c r="E21" i="21"/>
  <c r="L22" i="20"/>
  <c r="F21" i="21"/>
  <c r="L24" i="20"/>
  <c r="F25" i="21"/>
  <c r="E24" i="21"/>
  <c r="K24" i="22"/>
  <c r="E25" i="21"/>
  <c r="C21" i="20"/>
  <c r="G21" i="21"/>
  <c r="F24" i="21"/>
  <c r="H24" i="20"/>
  <c r="D21" i="21"/>
  <c r="E22" i="21"/>
  <c r="G23" i="21"/>
  <c r="F22" i="21"/>
  <c r="H23" i="20"/>
  <c r="M23" i="20"/>
  <c r="M24" i="20"/>
  <c r="K23" i="21"/>
  <c r="L24" i="21"/>
  <c r="D25" i="22"/>
  <c r="L21" i="21"/>
  <c r="K22" i="22"/>
  <c r="D24" i="21"/>
  <c r="M22" i="21"/>
  <c r="D23" i="21"/>
  <c r="B23" i="22"/>
  <c r="K57" i="20"/>
  <c r="K58" i="20"/>
  <c r="B25" i="22"/>
  <c r="J24" i="21"/>
  <c r="D22" i="21"/>
  <c r="J21" i="20"/>
  <c r="J24" i="20"/>
  <c r="J23" i="20"/>
  <c r="J25" i="20"/>
  <c r="J22" i="20"/>
  <c r="C24" i="21"/>
  <c r="D22" i="22"/>
  <c r="C22" i="21"/>
  <c r="L23" i="21"/>
  <c r="D23" i="22"/>
  <c r="C23" i="21"/>
  <c r="G25" i="21"/>
  <c r="K21" i="22"/>
  <c r="J57" i="20"/>
  <c r="J58" i="20"/>
  <c r="B64" i="19"/>
  <c r="J18" i="14" s="1"/>
  <c r="E12" i="11"/>
  <c r="F12" i="11" s="1"/>
  <c r="G12" i="11" s="1"/>
  <c r="O57" i="20"/>
  <c r="O58" i="20"/>
  <c r="S57" i="20"/>
  <c r="S58" i="20"/>
  <c r="U58" i="20"/>
  <c r="U57" i="20"/>
  <c r="M57" i="20"/>
  <c r="M58" i="20"/>
  <c r="K23" i="22"/>
  <c r="T57" i="20"/>
  <c r="T58" i="20"/>
  <c r="N57" i="20"/>
  <c r="N58" i="20"/>
  <c r="B24" i="22"/>
  <c r="K24" i="21"/>
  <c r="C21" i="21"/>
  <c r="D12" i="11"/>
  <c r="E13" i="11" s="1"/>
  <c r="F13" i="11" s="1"/>
  <c r="G13" i="11" s="1"/>
  <c r="R57" i="20"/>
  <c r="R58" i="20"/>
  <c r="Q57" i="20"/>
  <c r="Q58" i="20"/>
  <c r="G68" i="19"/>
  <c r="P18" i="14" s="1"/>
  <c r="E68" i="19"/>
  <c r="N18" i="14" s="1"/>
  <c r="H68" i="19"/>
  <c r="Q18" i="14" s="1"/>
  <c r="M68" i="19"/>
  <c r="V18" i="14" s="1"/>
  <c r="I68" i="19"/>
  <c r="R18" i="14" s="1"/>
  <c r="F68" i="19"/>
  <c r="O18" i="14" s="1"/>
  <c r="J68" i="19"/>
  <c r="S18" i="14" s="1"/>
  <c r="B68" i="19"/>
  <c r="K18" i="14" s="1"/>
  <c r="C68" i="19"/>
  <c r="L18" i="14" s="1"/>
  <c r="D68" i="19"/>
  <c r="M18" i="14" s="1"/>
  <c r="K68" i="19"/>
  <c r="T18" i="14" s="1"/>
  <c r="L68" i="19"/>
  <c r="U18" i="14" s="1"/>
  <c r="P58" i="20"/>
  <c r="P57" i="20"/>
  <c r="L58" i="20"/>
  <c r="L57" i="20"/>
  <c r="C9" i="13"/>
  <c r="D8" i="13"/>
  <c r="K25" i="21"/>
  <c r="K22" i="21"/>
  <c r="J21" i="21"/>
  <c r="M23" i="21"/>
  <c r="M25" i="21"/>
  <c r="B21" i="22"/>
  <c r="F21" i="22"/>
  <c r="J23" i="21"/>
  <c r="J22" i="21"/>
  <c r="M21" i="21"/>
  <c r="F25" i="22"/>
  <c r="H25" i="22"/>
  <c r="H23" i="22"/>
  <c r="H24" i="22"/>
  <c r="H21" i="22"/>
  <c r="H22" i="22"/>
  <c r="M22" i="22"/>
  <c r="M23" i="22"/>
  <c r="M25" i="22"/>
  <c r="M21" i="22"/>
  <c r="M24" i="22"/>
  <c r="I21" i="21"/>
  <c r="I23" i="21"/>
  <c r="I22" i="21"/>
  <c r="I24" i="21"/>
  <c r="I25" i="21"/>
  <c r="G23" i="22"/>
  <c r="G25" i="22"/>
  <c r="G21" i="22"/>
  <c r="G22" i="22"/>
  <c r="G24" i="22"/>
  <c r="L22" i="22"/>
  <c r="L21" i="22"/>
  <c r="L25" i="22"/>
  <c r="L24" i="22"/>
  <c r="L23" i="22"/>
  <c r="E21" i="22"/>
  <c r="E22" i="22"/>
  <c r="E25" i="22"/>
  <c r="E23" i="22"/>
  <c r="E24" i="22"/>
  <c r="C12" i="24"/>
  <c r="D12" i="24"/>
  <c r="E12" i="24" s="1"/>
  <c r="F12" i="24" s="1"/>
  <c r="C21" i="22"/>
  <c r="C25" i="22"/>
  <c r="C24" i="22"/>
  <c r="C22" i="22"/>
  <c r="C23" i="22"/>
  <c r="J24" i="22"/>
  <c r="J25" i="22"/>
  <c r="J21" i="22"/>
  <c r="J22" i="22"/>
  <c r="J23" i="22"/>
  <c r="H24" i="21"/>
  <c r="H21" i="21"/>
  <c r="H22" i="21"/>
  <c r="H25" i="21"/>
  <c r="H23" i="21"/>
  <c r="I24" i="22"/>
  <c r="I23" i="22"/>
  <c r="I25" i="22"/>
  <c r="I22" i="22"/>
  <c r="I21" i="22"/>
  <c r="E16" i="16"/>
  <c r="F16" i="16" s="1"/>
  <c r="G16" i="16" s="1"/>
  <c r="D16" i="16"/>
  <c r="C17" i="16" s="1"/>
  <c r="L160" i="22" l="1"/>
  <c r="Q166" i="21"/>
  <c r="L159" i="22"/>
  <c r="Q167" i="21"/>
  <c r="L158" i="22"/>
  <c r="O154" i="21"/>
  <c r="Q170" i="21"/>
  <c r="S123" i="22"/>
  <c r="Q172" i="21"/>
  <c r="L115" i="22"/>
  <c r="U152" i="21"/>
  <c r="S154" i="21"/>
  <c r="X72" i="22"/>
  <c r="M76" i="22" s="1"/>
  <c r="M86" i="22" s="1"/>
  <c r="O161" i="22"/>
  <c r="U153" i="21"/>
  <c r="S152" i="21"/>
  <c r="L114" i="22"/>
  <c r="X71" i="22"/>
  <c r="L76" i="22" s="1"/>
  <c r="L89" i="22" s="1"/>
  <c r="Q169" i="21"/>
  <c r="S178" i="22"/>
  <c r="R153" i="21"/>
  <c r="N108" i="21"/>
  <c r="N107" i="21"/>
  <c r="N106" i="21"/>
  <c r="J153" i="21"/>
  <c r="O158" i="22"/>
  <c r="S151" i="21"/>
  <c r="J154" i="21"/>
  <c r="O159" i="22"/>
  <c r="O153" i="21"/>
  <c r="U115" i="22"/>
  <c r="U114" i="22"/>
  <c r="S171" i="22"/>
  <c r="Q161" i="21"/>
  <c r="Q152" i="21"/>
  <c r="P107" i="21"/>
  <c r="Q127" i="21"/>
  <c r="Q168" i="21"/>
  <c r="K107" i="21"/>
  <c r="V66" i="21"/>
  <c r="J71" i="21" s="1"/>
  <c r="J82" i="21" s="1"/>
  <c r="Q153" i="21"/>
  <c r="V67" i="21"/>
  <c r="K71" i="21" s="1"/>
  <c r="K82" i="21" s="1"/>
  <c r="Q154" i="21"/>
  <c r="R160" i="22"/>
  <c r="J152" i="21"/>
  <c r="K108" i="21"/>
  <c r="R158" i="22"/>
  <c r="M153" i="21"/>
  <c r="P106" i="21"/>
  <c r="M151" i="21"/>
  <c r="P108" i="21"/>
  <c r="M152" i="21"/>
  <c r="M154" i="21"/>
  <c r="P151" i="21"/>
  <c r="U151" i="21"/>
  <c r="Q113" i="22"/>
  <c r="O152" i="21"/>
  <c r="Q114" i="22"/>
  <c r="P158" i="22"/>
  <c r="S128" i="22"/>
  <c r="P152" i="21"/>
  <c r="T154" i="21"/>
  <c r="K151" i="21"/>
  <c r="S132" i="22"/>
  <c r="K152" i="21"/>
  <c r="P159" i="22"/>
  <c r="P153" i="21"/>
  <c r="K154" i="21"/>
  <c r="K106" i="21"/>
  <c r="P161" i="22"/>
  <c r="V158" i="22"/>
  <c r="Q162" i="21"/>
  <c r="P160" i="22"/>
  <c r="V161" i="22"/>
  <c r="R152" i="21"/>
  <c r="V160" i="22"/>
  <c r="T153" i="21"/>
  <c r="R154" i="21"/>
  <c r="T151" i="21"/>
  <c r="M107" i="21"/>
  <c r="T160" i="22"/>
  <c r="O115" i="22"/>
  <c r="T159" i="22"/>
  <c r="O114" i="22"/>
  <c r="T158" i="22"/>
  <c r="O113" i="22"/>
  <c r="T161" i="22"/>
  <c r="Q118" i="21"/>
  <c r="N25" i="20"/>
  <c r="F30" i="20" s="1"/>
  <c r="L107" i="21"/>
  <c r="T152" i="21"/>
  <c r="N154" i="21"/>
  <c r="N153" i="21"/>
  <c r="N152" i="21"/>
  <c r="N151" i="21"/>
  <c r="Q165" i="21"/>
  <c r="U108" i="21"/>
  <c r="U160" i="22"/>
  <c r="L154" i="21"/>
  <c r="L153" i="21"/>
  <c r="L152" i="21"/>
  <c r="L151" i="21"/>
  <c r="Q163" i="21"/>
  <c r="U106" i="21"/>
  <c r="U161" i="22"/>
  <c r="M159" i="22"/>
  <c r="M161" i="22"/>
  <c r="S177" i="22"/>
  <c r="R159" i="22"/>
  <c r="S169" i="22"/>
  <c r="R161" i="22"/>
  <c r="U159" i="22"/>
  <c r="M160" i="22"/>
  <c r="S179" i="22"/>
  <c r="W161" i="22"/>
  <c r="W160" i="22"/>
  <c r="W159" i="22"/>
  <c r="W158" i="22"/>
  <c r="S124" i="22"/>
  <c r="M113" i="22"/>
  <c r="M115" i="22"/>
  <c r="M114" i="22"/>
  <c r="S127" i="22"/>
  <c r="P114" i="22"/>
  <c r="P115" i="22"/>
  <c r="P113" i="22"/>
  <c r="N161" i="22"/>
  <c r="N158" i="22"/>
  <c r="N159" i="22"/>
  <c r="N160" i="22"/>
  <c r="S173" i="22"/>
  <c r="Q161" i="22"/>
  <c r="Q159" i="22"/>
  <c r="Q160" i="22"/>
  <c r="Q158" i="22"/>
  <c r="S131" i="22"/>
  <c r="T114" i="22"/>
  <c r="T115" i="22"/>
  <c r="T113" i="22"/>
  <c r="S133" i="22"/>
  <c r="V114" i="22"/>
  <c r="V115" i="22"/>
  <c r="V113" i="22"/>
  <c r="S175" i="22"/>
  <c r="S161" i="22"/>
  <c r="S158" i="22"/>
  <c r="S160" i="22"/>
  <c r="S159" i="22"/>
  <c r="S130" i="22"/>
  <c r="S113" i="22"/>
  <c r="S115" i="22"/>
  <c r="S114" i="22"/>
  <c r="S125" i="22"/>
  <c r="N114" i="22"/>
  <c r="N113" i="22"/>
  <c r="N115" i="22"/>
  <c r="S129" i="22"/>
  <c r="R114" i="22"/>
  <c r="R115" i="22"/>
  <c r="R113" i="22"/>
  <c r="S134" i="22"/>
  <c r="W114" i="22"/>
  <c r="W113" i="22"/>
  <c r="W115" i="22"/>
  <c r="L108" i="21"/>
  <c r="M108" i="21"/>
  <c r="Q119" i="21"/>
  <c r="Q125" i="21"/>
  <c r="S107" i="21"/>
  <c r="S108" i="21"/>
  <c r="S106" i="21"/>
  <c r="Q123" i="21"/>
  <c r="Q108" i="21"/>
  <c r="Q107" i="21"/>
  <c r="Q106" i="21"/>
  <c r="Q126" i="21"/>
  <c r="T106" i="21"/>
  <c r="T108" i="21"/>
  <c r="T107" i="21"/>
  <c r="Q124" i="21"/>
  <c r="R107" i="21"/>
  <c r="R106" i="21"/>
  <c r="R108" i="21"/>
  <c r="Q121" i="21"/>
  <c r="O108" i="21"/>
  <c r="O107" i="21"/>
  <c r="O106" i="21"/>
  <c r="N21" i="20"/>
  <c r="B30" i="20" s="1"/>
  <c r="N22" i="20"/>
  <c r="C30" i="20" s="1"/>
  <c r="N23" i="20"/>
  <c r="D30" i="20" s="1"/>
  <c r="N22" i="21"/>
  <c r="C29" i="21" s="1"/>
  <c r="C31" i="21" s="1"/>
  <c r="N24" i="20"/>
  <c r="E30" i="20" s="1"/>
  <c r="N23" i="22"/>
  <c r="D29" i="22" s="1"/>
  <c r="D31" i="22" s="1"/>
  <c r="V58" i="20"/>
  <c r="K62" i="20" s="1"/>
  <c r="V57" i="20"/>
  <c r="J62" i="20" s="1"/>
  <c r="C13" i="11"/>
  <c r="C10" i="13"/>
  <c r="D9" i="13"/>
  <c r="N25" i="21"/>
  <c r="F29" i="21" s="1"/>
  <c r="F31" i="21" s="1"/>
  <c r="N23" i="21"/>
  <c r="D29" i="21" s="1"/>
  <c r="D31" i="21" s="1"/>
  <c r="N21" i="21"/>
  <c r="B29" i="21" s="1"/>
  <c r="B31" i="21" s="1"/>
  <c r="N25" i="22"/>
  <c r="F29" i="22" s="1"/>
  <c r="D13" i="24"/>
  <c r="E13" i="24" s="1"/>
  <c r="F13" i="24" s="1"/>
  <c r="C13" i="24"/>
  <c r="N22" i="22"/>
  <c r="C29" i="22" s="1"/>
  <c r="N24" i="22"/>
  <c r="E29" i="22" s="1"/>
  <c r="N21" i="22"/>
  <c r="B29" i="22" s="1"/>
  <c r="N24" i="21"/>
  <c r="E29" i="21" s="1"/>
  <c r="E31" i="21" s="1"/>
  <c r="E17" i="16"/>
  <c r="F17" i="16" s="1"/>
  <c r="G17" i="16" s="1"/>
  <c r="D17" i="16"/>
  <c r="C18" i="16" s="1"/>
  <c r="L86" i="22" l="1"/>
  <c r="M89" i="22"/>
  <c r="M82" i="22" s="1"/>
  <c r="M78" i="22"/>
  <c r="M79" i="22"/>
  <c r="K77" i="21"/>
  <c r="K73" i="21"/>
  <c r="K74" i="21"/>
  <c r="V153" i="21"/>
  <c r="L158" i="21" s="1"/>
  <c r="L169" i="21" s="1"/>
  <c r="V154" i="21"/>
  <c r="M158" i="21" s="1"/>
  <c r="M169" i="21" s="1"/>
  <c r="V152" i="21"/>
  <c r="K158" i="21" s="1"/>
  <c r="K169" i="21" s="1"/>
  <c r="V151" i="21"/>
  <c r="J158" i="21" s="1"/>
  <c r="V107" i="21"/>
  <c r="K113" i="21" s="1"/>
  <c r="K124" i="21" s="1"/>
  <c r="X114" i="22"/>
  <c r="M120" i="22" s="1"/>
  <c r="V108" i="21"/>
  <c r="L113" i="21" s="1"/>
  <c r="L124" i="21" s="1"/>
  <c r="B32" i="20"/>
  <c r="X159" i="22"/>
  <c r="M165" i="22" s="1"/>
  <c r="X161" i="22"/>
  <c r="O165" i="22" s="1"/>
  <c r="B33" i="20"/>
  <c r="X115" i="22"/>
  <c r="N120" i="22" s="1"/>
  <c r="X113" i="22"/>
  <c r="L120" i="22" s="1"/>
  <c r="L130" i="22" s="1"/>
  <c r="X160" i="22"/>
  <c r="N165" i="22" s="1"/>
  <c r="X158" i="22"/>
  <c r="L165" i="22" s="1"/>
  <c r="V106" i="21"/>
  <c r="J113" i="21" s="1"/>
  <c r="J124" i="21" s="1"/>
  <c r="D34" i="22"/>
  <c r="D10" i="13"/>
  <c r="C11" i="13"/>
  <c r="D13" i="11"/>
  <c r="C14" i="11" s="1"/>
  <c r="K64" i="20"/>
  <c r="K65" i="20"/>
  <c r="E31" i="22"/>
  <c r="E34" i="22"/>
  <c r="B34" i="21"/>
  <c r="F31" i="22"/>
  <c r="F34" i="22"/>
  <c r="C31" i="22"/>
  <c r="C34" i="22"/>
  <c r="C14" i="24"/>
  <c r="D14" i="24"/>
  <c r="E14" i="24" s="1"/>
  <c r="F14" i="24" s="1"/>
  <c r="B38" i="21"/>
  <c r="B36" i="22"/>
  <c r="B34" i="22"/>
  <c r="B37" i="22"/>
  <c r="B31" i="22"/>
  <c r="B35" i="21"/>
  <c r="E18" i="16"/>
  <c r="F18" i="16" s="1"/>
  <c r="G18" i="16" s="1"/>
  <c r="D18" i="16"/>
  <c r="C19" i="16" s="1"/>
  <c r="J86" i="21" l="1"/>
  <c r="J87" i="21" s="1"/>
  <c r="C89" i="21" s="1"/>
  <c r="D89" i="21" s="1"/>
  <c r="E89" i="21" s="1"/>
  <c r="L93" i="22"/>
  <c r="L94" i="22" s="1"/>
  <c r="C92" i="22" s="1"/>
  <c r="D92" i="22" s="1"/>
  <c r="E92" i="22" s="1"/>
  <c r="K119" i="21"/>
  <c r="B35" i="20"/>
  <c r="B38" i="20" s="1"/>
  <c r="K19" i="14" s="1"/>
  <c r="O175" i="22"/>
  <c r="O178" i="22"/>
  <c r="M178" i="22"/>
  <c r="M175" i="22"/>
  <c r="L178" i="22"/>
  <c r="M167" i="22"/>
  <c r="M168" i="22"/>
  <c r="L175" i="22"/>
  <c r="K160" i="21"/>
  <c r="K161" i="21"/>
  <c r="N175" i="22"/>
  <c r="N178" i="22"/>
  <c r="M122" i="22"/>
  <c r="L133" i="22"/>
  <c r="M123" i="22"/>
  <c r="M130" i="22"/>
  <c r="M133" i="22"/>
  <c r="N133" i="22"/>
  <c r="N130" i="22"/>
  <c r="J169" i="21"/>
  <c r="K164" i="21" s="1"/>
  <c r="K116" i="21"/>
  <c r="K115" i="21"/>
  <c r="J67" i="20"/>
  <c r="C73" i="20" s="1"/>
  <c r="B41" i="21"/>
  <c r="B42" i="21" s="1"/>
  <c r="E14" i="11"/>
  <c r="F14" i="11" s="1"/>
  <c r="G14" i="11" s="1"/>
  <c r="D14" i="11"/>
  <c r="C15" i="11" s="1"/>
  <c r="C12" i="13"/>
  <c r="D11" i="13"/>
  <c r="B40" i="22"/>
  <c r="B43" i="22" s="1"/>
  <c r="B44" i="22" s="1"/>
  <c r="C15" i="24"/>
  <c r="D15" i="24"/>
  <c r="E15" i="24" s="1"/>
  <c r="F15" i="24" s="1"/>
  <c r="E19" i="16"/>
  <c r="F19" i="16" s="1"/>
  <c r="G19" i="16" s="1"/>
  <c r="D19" i="16"/>
  <c r="C20" i="16" s="1"/>
  <c r="C86" i="21" l="1"/>
  <c r="D86" i="21" s="1"/>
  <c r="E86" i="21" s="1"/>
  <c r="C78" i="21"/>
  <c r="D78" i="21" s="1"/>
  <c r="E78" i="21" s="1"/>
  <c r="C83" i="21"/>
  <c r="D83" i="21" s="1"/>
  <c r="E83" i="21" s="1"/>
  <c r="C80" i="21"/>
  <c r="D80" i="21" s="1"/>
  <c r="E80" i="21" s="1"/>
  <c r="C82" i="21"/>
  <c r="D82" i="21" s="1"/>
  <c r="E82" i="21" s="1"/>
  <c r="C88" i="21"/>
  <c r="D88" i="21" s="1"/>
  <c r="E88" i="21" s="1"/>
  <c r="C84" i="21"/>
  <c r="D84" i="21" s="1"/>
  <c r="E84" i="21" s="1"/>
  <c r="C87" i="21"/>
  <c r="D87" i="21" s="1"/>
  <c r="E87" i="21" s="1"/>
  <c r="C79" i="21"/>
  <c r="D79" i="21" s="1"/>
  <c r="E79" i="21" s="1"/>
  <c r="C81" i="21"/>
  <c r="D81" i="21" s="1"/>
  <c r="E81" i="21" s="1"/>
  <c r="C85" i="21"/>
  <c r="D85" i="21" s="1"/>
  <c r="E85" i="21" s="1"/>
  <c r="C82" i="22"/>
  <c r="D82" i="22" s="1"/>
  <c r="E82" i="22" s="1"/>
  <c r="C91" i="22"/>
  <c r="D91" i="22" s="1"/>
  <c r="E91" i="22" s="1"/>
  <c r="C88" i="22"/>
  <c r="D88" i="22" s="1"/>
  <c r="E88" i="22" s="1"/>
  <c r="C87" i="22"/>
  <c r="D87" i="22" s="1"/>
  <c r="E87" i="22" s="1"/>
  <c r="C86" i="22"/>
  <c r="D86" i="22" s="1"/>
  <c r="E86" i="22" s="1"/>
  <c r="C83" i="22"/>
  <c r="D83" i="22" s="1"/>
  <c r="E83" i="22" s="1"/>
  <c r="C89" i="22"/>
  <c r="D89" i="22" s="1"/>
  <c r="E89" i="22" s="1"/>
  <c r="C84" i="22"/>
  <c r="D84" i="22" s="1"/>
  <c r="E84" i="22" s="1"/>
  <c r="C93" i="22"/>
  <c r="D93" i="22" s="1"/>
  <c r="E93" i="22" s="1"/>
  <c r="C85" i="22"/>
  <c r="D85" i="22" s="1"/>
  <c r="E85" i="22" s="1"/>
  <c r="C90" i="22"/>
  <c r="D90" i="22" s="1"/>
  <c r="E90" i="22" s="1"/>
  <c r="I38" i="20"/>
  <c r="R19" i="14" s="1"/>
  <c r="H38" i="20"/>
  <c r="Q19" i="14" s="1"/>
  <c r="C38" i="20"/>
  <c r="L19" i="14" s="1"/>
  <c r="K38" i="20"/>
  <c r="T19" i="14" s="1"/>
  <c r="L38" i="20"/>
  <c r="U19" i="14" s="1"/>
  <c r="D38" i="20"/>
  <c r="M19" i="14" s="1"/>
  <c r="G38" i="20"/>
  <c r="P19" i="14" s="1"/>
  <c r="F38" i="20"/>
  <c r="O19" i="14" s="1"/>
  <c r="M38" i="20"/>
  <c r="V19" i="14" s="1"/>
  <c r="E38" i="20"/>
  <c r="N19" i="14" s="1"/>
  <c r="J38" i="20"/>
  <c r="S19" i="14" s="1"/>
  <c r="C69" i="20"/>
  <c r="C81" i="20" s="1"/>
  <c r="C77" i="20"/>
  <c r="D77" i="20" s="1"/>
  <c r="E77" i="20" s="1"/>
  <c r="J128" i="21"/>
  <c r="J129" i="21" s="1"/>
  <c r="C92" i="21" s="1"/>
  <c r="D92" i="21" s="1"/>
  <c r="E92" i="21" s="1"/>
  <c r="C70" i="20"/>
  <c r="D70" i="20" s="1"/>
  <c r="E70" i="20" s="1"/>
  <c r="C74" i="20"/>
  <c r="D74" i="20" s="1"/>
  <c r="E74" i="20" s="1"/>
  <c r="M126" i="22"/>
  <c r="L137" i="22" s="1"/>
  <c r="L138" i="22" s="1"/>
  <c r="M171" i="22"/>
  <c r="L182" i="22" s="1"/>
  <c r="L183" i="22" s="1"/>
  <c r="J173" i="21"/>
  <c r="J174" i="21" s="1"/>
  <c r="C71" i="20"/>
  <c r="C83" i="20" s="1"/>
  <c r="C78" i="20"/>
  <c r="D78" i="20" s="1"/>
  <c r="E78" i="20" s="1"/>
  <c r="C72" i="20"/>
  <c r="D72" i="20" s="1"/>
  <c r="E72" i="20" s="1"/>
  <c r="C80" i="20"/>
  <c r="C92" i="20" s="1"/>
  <c r="C76" i="20"/>
  <c r="D76" i="20" s="1"/>
  <c r="E76" i="20" s="1"/>
  <c r="C79" i="20"/>
  <c r="C91" i="20" s="1"/>
  <c r="C75" i="20"/>
  <c r="C87" i="20" s="1"/>
  <c r="C85" i="20"/>
  <c r="D73" i="20"/>
  <c r="E73" i="20" s="1"/>
  <c r="D12" i="13"/>
  <c r="C13" i="13"/>
  <c r="E15" i="11"/>
  <c r="F15" i="11" s="1"/>
  <c r="G15" i="11" s="1"/>
  <c r="D15" i="11"/>
  <c r="C16" i="11" s="1"/>
  <c r="J48" i="22"/>
  <c r="S21" i="14" s="1"/>
  <c r="C48" i="22"/>
  <c r="L21" i="14" s="1"/>
  <c r="K48" i="22"/>
  <c r="T21" i="14" s="1"/>
  <c r="D48" i="22"/>
  <c r="M21" i="14" s="1"/>
  <c r="L48" i="22"/>
  <c r="U21" i="14" s="1"/>
  <c r="F48" i="22"/>
  <c r="O21" i="14" s="1"/>
  <c r="B48" i="22"/>
  <c r="K21" i="14" s="1"/>
  <c r="G48" i="22"/>
  <c r="P21" i="14" s="1"/>
  <c r="I48" i="22"/>
  <c r="R21" i="14" s="1"/>
  <c r="E48" i="22"/>
  <c r="N21" i="14" s="1"/>
  <c r="H48" i="22"/>
  <c r="Q21" i="14" s="1"/>
  <c r="M48" i="22"/>
  <c r="V21" i="14" s="1"/>
  <c r="E46" i="21"/>
  <c r="N20" i="14" s="1"/>
  <c r="M46" i="21"/>
  <c r="V20" i="14" s="1"/>
  <c r="F46" i="21"/>
  <c r="O20" i="14" s="1"/>
  <c r="B46" i="21"/>
  <c r="K20" i="14" s="1"/>
  <c r="G46" i="21"/>
  <c r="P20" i="14" s="1"/>
  <c r="I46" i="21"/>
  <c r="R20" i="14" s="1"/>
  <c r="J46" i="21"/>
  <c r="S20" i="14" s="1"/>
  <c r="D46" i="21"/>
  <c r="M20" i="14" s="1"/>
  <c r="L46" i="21"/>
  <c r="U20" i="14" s="1"/>
  <c r="C46" i="21"/>
  <c r="L20" i="14" s="1"/>
  <c r="H46" i="21"/>
  <c r="Q20" i="14" s="1"/>
  <c r="K46" i="21"/>
  <c r="T20" i="14" s="1"/>
  <c r="D16" i="24"/>
  <c r="E16" i="24" s="1"/>
  <c r="F16" i="24" s="1"/>
  <c r="C16" i="24"/>
  <c r="E20" i="16"/>
  <c r="F20" i="16" s="1"/>
  <c r="G20" i="16" s="1"/>
  <c r="D20" i="16"/>
  <c r="C21" i="16" s="1"/>
  <c r="D69" i="20" l="1"/>
  <c r="E69" i="20" s="1"/>
  <c r="C90" i="20"/>
  <c r="D90" i="20" s="1"/>
  <c r="E90" i="20" s="1"/>
  <c r="C89" i="20"/>
  <c r="C101" i="20" s="1"/>
  <c r="D101" i="20" s="1"/>
  <c r="E101" i="20" s="1"/>
  <c r="C95" i="21"/>
  <c r="D95" i="21" s="1"/>
  <c r="E95" i="21" s="1"/>
  <c r="C93" i="21"/>
  <c r="D93" i="21" s="1"/>
  <c r="E93" i="21" s="1"/>
  <c r="C91" i="21"/>
  <c r="D91" i="21" s="1"/>
  <c r="E91" i="21" s="1"/>
  <c r="C98" i="21"/>
  <c r="D98" i="21" s="1"/>
  <c r="E98" i="21" s="1"/>
  <c r="C100" i="21"/>
  <c r="D100" i="21" s="1"/>
  <c r="E100" i="21" s="1"/>
  <c r="C97" i="21"/>
  <c r="D97" i="21" s="1"/>
  <c r="E97" i="21" s="1"/>
  <c r="C90" i="21"/>
  <c r="D90" i="21" s="1"/>
  <c r="E90" i="21" s="1"/>
  <c r="C101" i="21"/>
  <c r="D101" i="21" s="1"/>
  <c r="E101" i="21" s="1"/>
  <c r="C96" i="21"/>
  <c r="D96" i="21" s="1"/>
  <c r="E96" i="21" s="1"/>
  <c r="C94" i="21"/>
  <c r="D94" i="21" s="1"/>
  <c r="E94" i="21" s="1"/>
  <c r="C99" i="21"/>
  <c r="D99" i="21" s="1"/>
  <c r="E99" i="21" s="1"/>
  <c r="C82" i="20"/>
  <c r="C94" i="20" s="1"/>
  <c r="D94" i="20" s="1"/>
  <c r="E94" i="20" s="1"/>
  <c r="D80" i="20"/>
  <c r="E80" i="20" s="1"/>
  <c r="C86" i="20"/>
  <c r="D86" i="20" s="1"/>
  <c r="E86" i="20" s="1"/>
  <c r="C88" i="20"/>
  <c r="C100" i="20" s="1"/>
  <c r="D100" i="20" s="1"/>
  <c r="E100" i="20" s="1"/>
  <c r="C84" i="20"/>
  <c r="D84" i="20" s="1"/>
  <c r="E84" i="20" s="1"/>
  <c r="D71" i="20"/>
  <c r="E71" i="20" s="1"/>
  <c r="C111" i="22"/>
  <c r="D111" i="22" s="1"/>
  <c r="E111" i="22" s="1"/>
  <c r="C112" i="22"/>
  <c r="D112" i="22" s="1"/>
  <c r="E112" i="22" s="1"/>
  <c r="C117" i="22"/>
  <c r="D117" i="22" s="1"/>
  <c r="E117" i="22" s="1"/>
  <c r="C107" i="22"/>
  <c r="D107" i="22" s="1"/>
  <c r="E107" i="22" s="1"/>
  <c r="C113" i="22"/>
  <c r="D113" i="22" s="1"/>
  <c r="E113" i="22" s="1"/>
  <c r="C108" i="22"/>
  <c r="D108" i="22" s="1"/>
  <c r="E108" i="22" s="1"/>
  <c r="C106" i="22"/>
  <c r="D106" i="22" s="1"/>
  <c r="E106" i="22" s="1"/>
  <c r="C114" i="22"/>
  <c r="D114" i="22" s="1"/>
  <c r="E114" i="22" s="1"/>
  <c r="C109" i="22"/>
  <c r="D109" i="22" s="1"/>
  <c r="E109" i="22" s="1"/>
  <c r="C110" i="22"/>
  <c r="D110" i="22" s="1"/>
  <c r="E110" i="22" s="1"/>
  <c r="C116" i="22"/>
  <c r="D116" i="22" s="1"/>
  <c r="E116" i="22" s="1"/>
  <c r="C115" i="22"/>
  <c r="D115" i="22" s="1"/>
  <c r="E115" i="22" s="1"/>
  <c r="D79" i="20"/>
  <c r="E79" i="20" s="1"/>
  <c r="C107" i="21"/>
  <c r="D107" i="21" s="1"/>
  <c r="E107" i="21" s="1"/>
  <c r="C111" i="21"/>
  <c r="D111" i="21" s="1"/>
  <c r="E111" i="21" s="1"/>
  <c r="C108" i="21"/>
  <c r="D108" i="21" s="1"/>
  <c r="E108" i="21" s="1"/>
  <c r="C112" i="21"/>
  <c r="D112" i="21" s="1"/>
  <c r="E112" i="21" s="1"/>
  <c r="C104" i="21"/>
  <c r="D104" i="21" s="1"/>
  <c r="E104" i="21" s="1"/>
  <c r="C103" i="21"/>
  <c r="D103" i="21" s="1"/>
  <c r="E103" i="21" s="1"/>
  <c r="C109" i="21"/>
  <c r="D109" i="21" s="1"/>
  <c r="E109" i="21" s="1"/>
  <c r="C113" i="21"/>
  <c r="D113" i="21" s="1"/>
  <c r="E113" i="21" s="1"/>
  <c r="C105" i="21"/>
  <c r="D105" i="21" s="1"/>
  <c r="E105" i="21" s="1"/>
  <c r="C110" i="21"/>
  <c r="D110" i="21" s="1"/>
  <c r="E110" i="21" s="1"/>
  <c r="C102" i="21"/>
  <c r="D102" i="21" s="1"/>
  <c r="E102" i="21" s="1"/>
  <c r="C106" i="21"/>
  <c r="D106" i="21" s="1"/>
  <c r="E106" i="21" s="1"/>
  <c r="C99" i="22"/>
  <c r="D99" i="22" s="1"/>
  <c r="E99" i="22" s="1"/>
  <c r="C105" i="22"/>
  <c r="D105" i="22" s="1"/>
  <c r="E105" i="22" s="1"/>
  <c r="C94" i="22"/>
  <c r="D94" i="22" s="1"/>
  <c r="E94" i="22" s="1"/>
  <c r="C101" i="22"/>
  <c r="D101" i="22" s="1"/>
  <c r="E101" i="22" s="1"/>
  <c r="C96" i="22"/>
  <c r="D96" i="22" s="1"/>
  <c r="E96" i="22" s="1"/>
  <c r="C95" i="22"/>
  <c r="D95" i="22" s="1"/>
  <c r="E95" i="22" s="1"/>
  <c r="C102" i="22"/>
  <c r="D102" i="22" s="1"/>
  <c r="E102" i="22" s="1"/>
  <c r="C98" i="22"/>
  <c r="D98" i="22" s="1"/>
  <c r="E98" i="22" s="1"/>
  <c r="C104" i="22"/>
  <c r="D104" i="22" s="1"/>
  <c r="E104" i="22" s="1"/>
  <c r="C100" i="22"/>
  <c r="D100" i="22" s="1"/>
  <c r="E100" i="22" s="1"/>
  <c r="C97" i="22"/>
  <c r="D97" i="22" s="1"/>
  <c r="E97" i="22" s="1"/>
  <c r="C103" i="22"/>
  <c r="D103" i="22" s="1"/>
  <c r="E103" i="22" s="1"/>
  <c r="D75" i="20"/>
  <c r="E75" i="20" s="1"/>
  <c r="E16" i="11"/>
  <c r="F16" i="11" s="1"/>
  <c r="G16" i="11" s="1"/>
  <c r="D16" i="11"/>
  <c r="C17" i="11" s="1"/>
  <c r="D85" i="20"/>
  <c r="E85" i="20" s="1"/>
  <c r="C97" i="20"/>
  <c r="D97" i="20" s="1"/>
  <c r="E97" i="20" s="1"/>
  <c r="D92" i="20"/>
  <c r="E92" i="20" s="1"/>
  <c r="C104" i="20"/>
  <c r="D104" i="20" s="1"/>
  <c r="E104" i="20" s="1"/>
  <c r="D91" i="20"/>
  <c r="E91" i="20" s="1"/>
  <c r="C103" i="20"/>
  <c r="D103" i="20" s="1"/>
  <c r="E103" i="20" s="1"/>
  <c r="C95" i="20"/>
  <c r="D95" i="20" s="1"/>
  <c r="E95" i="20" s="1"/>
  <c r="D83" i="20"/>
  <c r="E83" i="20" s="1"/>
  <c r="C93" i="20"/>
  <c r="D93" i="20" s="1"/>
  <c r="E93" i="20" s="1"/>
  <c r="D81" i="20"/>
  <c r="E81" i="20" s="1"/>
  <c r="D89" i="20"/>
  <c r="E89" i="20" s="1"/>
  <c r="D13" i="13"/>
  <c r="C14" i="13"/>
  <c r="C99" i="20"/>
  <c r="D99" i="20" s="1"/>
  <c r="E99" i="20" s="1"/>
  <c r="D87" i="20"/>
  <c r="E87" i="20" s="1"/>
  <c r="C17" i="24"/>
  <c r="D17" i="24"/>
  <c r="E17" i="24" s="1"/>
  <c r="F17" i="24" s="1"/>
  <c r="E21" i="16"/>
  <c r="F21" i="16" s="1"/>
  <c r="G21" i="16" s="1"/>
  <c r="D21" i="16"/>
  <c r="C22" i="16" s="1"/>
  <c r="C102" i="20" l="1"/>
  <c r="D102" i="20" s="1"/>
  <c r="E102" i="20" s="1"/>
  <c r="C98" i="20"/>
  <c r="D98" i="20" s="1"/>
  <c r="E98" i="20" s="1"/>
  <c r="D82" i="20"/>
  <c r="E82" i="20" s="1"/>
  <c r="D88" i="20"/>
  <c r="E88" i="20" s="1"/>
  <c r="C96" i="20"/>
  <c r="D96" i="20" s="1"/>
  <c r="E96" i="20" s="1"/>
  <c r="F54" i="21"/>
  <c r="J20" i="14" s="1"/>
  <c r="F58" i="22"/>
  <c r="J21" i="14" s="1"/>
  <c r="C15" i="13"/>
  <c r="D14" i="13"/>
  <c r="E17" i="11"/>
  <c r="F17" i="11" s="1"/>
  <c r="G17" i="11" s="1"/>
  <c r="D17" i="11"/>
  <c r="C18" i="11" s="1"/>
  <c r="C18" i="24"/>
  <c r="D18" i="24"/>
  <c r="E18" i="24" s="1"/>
  <c r="F18" i="24" s="1"/>
  <c r="E22" i="16"/>
  <c r="F22" i="16" s="1"/>
  <c r="G22" i="16" s="1"/>
  <c r="D22" i="16"/>
  <c r="C23" i="16" s="1"/>
  <c r="F45" i="20" l="1"/>
  <c r="J19" i="14" s="1"/>
  <c r="E18" i="11"/>
  <c r="F18" i="11" s="1"/>
  <c r="G18" i="11" s="1"/>
  <c r="D18" i="11"/>
  <c r="C19" i="11" s="1"/>
  <c r="C16" i="13"/>
  <c r="D15" i="13"/>
  <c r="C19" i="24"/>
  <c r="D19" i="24"/>
  <c r="E19" i="24" s="1"/>
  <c r="F19" i="24" s="1"/>
  <c r="E23" i="16"/>
  <c r="F23" i="16" s="1"/>
  <c r="G23" i="16" s="1"/>
  <c r="D23" i="16"/>
  <c r="C24" i="16" s="1"/>
  <c r="D19" i="11" l="1"/>
  <c r="C20" i="11" s="1"/>
  <c r="E19" i="11"/>
  <c r="F19" i="11" s="1"/>
  <c r="G19" i="11" s="1"/>
  <c r="C17" i="13"/>
  <c r="D16" i="13"/>
  <c r="D20" i="24"/>
  <c r="E20" i="24" s="1"/>
  <c r="F20" i="24" s="1"/>
  <c r="C20" i="24"/>
  <c r="E24" i="16"/>
  <c r="F24" i="16" s="1"/>
  <c r="G24" i="16" s="1"/>
  <c r="D24" i="16"/>
  <c r="E25" i="16" s="1"/>
  <c r="F25" i="16" s="1"/>
  <c r="G25" i="16" s="1"/>
  <c r="E20" i="11" l="1"/>
  <c r="F20" i="11" s="1"/>
  <c r="G20" i="11" s="1"/>
  <c r="D17" i="13"/>
  <c r="C18" i="13"/>
  <c r="D20" i="11"/>
  <c r="C21" i="11" s="1"/>
  <c r="D21" i="24"/>
  <c r="E21" i="24" s="1"/>
  <c r="F21" i="24" s="1"/>
  <c r="C21" i="24"/>
  <c r="C25" i="16"/>
  <c r="D25" i="16" s="1"/>
  <c r="C26" i="16" s="1"/>
  <c r="E21" i="11" l="1"/>
  <c r="F21" i="11" s="1"/>
  <c r="G21" i="11" s="1"/>
  <c r="D21" i="11"/>
  <c r="C22" i="11" s="1"/>
  <c r="D18" i="13"/>
  <c r="C19" i="13"/>
  <c r="C22" i="24"/>
  <c r="D22" i="24"/>
  <c r="E22" i="24" s="1"/>
  <c r="F22" i="24" s="1"/>
  <c r="E26" i="16"/>
  <c r="F26" i="16" s="1"/>
  <c r="G26" i="16" s="1"/>
  <c r="D26" i="16"/>
  <c r="C27" i="16" s="1"/>
  <c r="C20" i="13" l="1"/>
  <c r="D19" i="13"/>
  <c r="E22" i="11"/>
  <c r="F22" i="11" s="1"/>
  <c r="G22" i="11" s="1"/>
  <c r="D22" i="11"/>
  <c r="C23" i="11" s="1"/>
  <c r="D23" i="24"/>
  <c r="E23" i="24" s="1"/>
  <c r="F23" i="24" s="1"/>
  <c r="C23" i="24"/>
  <c r="E27" i="16"/>
  <c r="F27" i="16" s="1"/>
  <c r="G27" i="16" s="1"/>
  <c r="D27" i="16"/>
  <c r="C28" i="16" s="1"/>
  <c r="E23" i="11" l="1"/>
  <c r="F23" i="11" s="1"/>
  <c r="G23" i="11" s="1"/>
  <c r="D23" i="11"/>
  <c r="C24" i="11" s="1"/>
  <c r="D20" i="13"/>
  <c r="C21" i="13"/>
  <c r="D24" i="24"/>
  <c r="E24" i="24" s="1"/>
  <c r="F24" i="24" s="1"/>
  <c r="C24" i="24"/>
  <c r="E28" i="16"/>
  <c r="F28" i="16" s="1"/>
  <c r="G28" i="16" s="1"/>
  <c r="D28" i="16"/>
  <c r="C29" i="16" s="1"/>
  <c r="C22" i="13" l="1"/>
  <c r="D21" i="13"/>
  <c r="E24" i="11"/>
  <c r="F24" i="11" s="1"/>
  <c r="G24" i="11" s="1"/>
  <c r="D24" i="11"/>
  <c r="C25" i="11" s="1"/>
  <c r="C25" i="24"/>
  <c r="D25" i="24"/>
  <c r="E25" i="24" s="1"/>
  <c r="F25" i="24" s="1"/>
  <c r="E29" i="16"/>
  <c r="F29" i="16" s="1"/>
  <c r="G29" i="16" s="1"/>
  <c r="D29" i="16"/>
  <c r="C30" i="16" s="1"/>
  <c r="E25" i="11" l="1"/>
  <c r="F25" i="11" s="1"/>
  <c r="G25" i="11" s="1"/>
  <c r="D25" i="11"/>
  <c r="C26" i="11" s="1"/>
  <c r="D22" i="13"/>
  <c r="C23" i="13"/>
  <c r="D26" i="24"/>
  <c r="E26" i="24" s="1"/>
  <c r="F26" i="24" s="1"/>
  <c r="C26" i="24"/>
  <c r="E30" i="16"/>
  <c r="F30" i="16" s="1"/>
  <c r="G30" i="16" s="1"/>
  <c r="D30" i="16"/>
  <c r="C31" i="16" s="1"/>
  <c r="D23" i="13" l="1"/>
  <c r="C24" i="13"/>
  <c r="E26" i="11"/>
  <c r="F26" i="11" s="1"/>
  <c r="G26" i="11" s="1"/>
  <c r="D26" i="11"/>
  <c r="C27" i="11" s="1"/>
  <c r="C27" i="24"/>
  <c r="D27" i="24"/>
  <c r="E27" i="24" s="1"/>
  <c r="F27" i="24" s="1"/>
  <c r="E31" i="16"/>
  <c r="F31" i="16" s="1"/>
  <c r="G31" i="16" s="1"/>
  <c r="D31" i="16"/>
  <c r="C32" i="16" s="1"/>
  <c r="E27" i="11" l="1"/>
  <c r="F27" i="11" s="1"/>
  <c r="G27" i="11" s="1"/>
  <c r="D27" i="11"/>
  <c r="C28" i="11" s="1"/>
  <c r="D24" i="13"/>
  <c r="C25" i="13"/>
  <c r="C28" i="24"/>
  <c r="D28" i="24"/>
  <c r="E28" i="24" s="1"/>
  <c r="F28" i="24" s="1"/>
  <c r="E32" i="16"/>
  <c r="F32" i="16" s="1"/>
  <c r="G32" i="16" s="1"/>
  <c r="D32" i="16"/>
  <c r="C33" i="16" s="1"/>
  <c r="D25" i="13" l="1"/>
  <c r="C26" i="13"/>
  <c r="E28" i="11"/>
  <c r="F28" i="11" s="1"/>
  <c r="G28" i="11" s="1"/>
  <c r="D28" i="11"/>
  <c r="E29" i="11" s="1"/>
  <c r="F29" i="11" s="1"/>
  <c r="G29" i="11" s="1"/>
  <c r="D29" i="24"/>
  <c r="E29" i="24" s="1"/>
  <c r="F29" i="24" s="1"/>
  <c r="C29" i="24"/>
  <c r="E33" i="16"/>
  <c r="F33" i="16" s="1"/>
  <c r="G33" i="16" s="1"/>
  <c r="D33" i="16"/>
  <c r="C34" i="16" s="1"/>
  <c r="C29" i="11" l="1"/>
  <c r="D29" i="11" s="1"/>
  <c r="C30" i="11" s="1"/>
  <c r="D26" i="13"/>
  <c r="C27" i="13"/>
  <c r="D30" i="24"/>
  <c r="E30" i="24" s="1"/>
  <c r="F30" i="24" s="1"/>
  <c r="C30" i="24"/>
  <c r="E34" i="16"/>
  <c r="F34" i="16" s="1"/>
  <c r="G34" i="16" s="1"/>
  <c r="D34" i="16"/>
  <c r="C35" i="16" s="1"/>
  <c r="E30" i="11" l="1"/>
  <c r="F30" i="11" s="1"/>
  <c r="G30" i="11" s="1"/>
  <c r="D27" i="13"/>
  <c r="C28" i="13"/>
  <c r="I22" i="13"/>
  <c r="I23" i="13"/>
  <c r="D30" i="11"/>
  <c r="C31" i="11" s="1"/>
  <c r="C31" i="24"/>
  <c r="D31" i="24"/>
  <c r="E31" i="24" s="1"/>
  <c r="F31" i="24" s="1"/>
  <c r="E35" i="16"/>
  <c r="F35" i="16" s="1"/>
  <c r="G35" i="16" s="1"/>
  <c r="D35" i="16"/>
  <c r="E36" i="16" s="1"/>
  <c r="F36" i="16" s="1"/>
  <c r="G36" i="16" s="1"/>
  <c r="F33" i="13" l="1"/>
  <c r="H33" i="13" s="1"/>
  <c r="I33" i="13" s="1"/>
  <c r="E31" i="11"/>
  <c r="F31" i="11" s="1"/>
  <c r="G31" i="11" s="1"/>
  <c r="F46" i="13"/>
  <c r="H46" i="13" s="1"/>
  <c r="I46" i="13" s="1"/>
  <c r="F35" i="13"/>
  <c r="H35" i="13" s="1"/>
  <c r="I35" i="13" s="1"/>
  <c r="F28" i="13"/>
  <c r="H28" i="13" s="1"/>
  <c r="I28" i="13" s="1"/>
  <c r="F47" i="13"/>
  <c r="H47" i="13" s="1"/>
  <c r="I47" i="13" s="1"/>
  <c r="F62" i="13"/>
  <c r="H62" i="13" s="1"/>
  <c r="I62" i="13" s="1"/>
  <c r="F44" i="13"/>
  <c r="H44" i="13" s="1"/>
  <c r="I44" i="13" s="1"/>
  <c r="F31" i="13"/>
  <c r="H31" i="13" s="1"/>
  <c r="I31" i="13" s="1"/>
  <c r="F55" i="13"/>
  <c r="H55" i="13" s="1"/>
  <c r="I55" i="13" s="1"/>
  <c r="F32" i="13"/>
  <c r="H32" i="13" s="1"/>
  <c r="I32" i="13" s="1"/>
  <c r="F59" i="13"/>
  <c r="H59" i="13" s="1"/>
  <c r="I59" i="13" s="1"/>
  <c r="F37" i="13"/>
  <c r="H37" i="13" s="1"/>
  <c r="I37" i="13" s="1"/>
  <c r="F41" i="13"/>
  <c r="H41" i="13" s="1"/>
  <c r="I41" i="13" s="1"/>
  <c r="F29" i="13"/>
  <c r="H29" i="13" s="1"/>
  <c r="I29" i="13" s="1"/>
  <c r="F54" i="13"/>
  <c r="H54" i="13" s="1"/>
  <c r="I54" i="13" s="1"/>
  <c r="F56" i="13"/>
  <c r="H56" i="13" s="1"/>
  <c r="I56" i="13" s="1"/>
  <c r="F40" i="13"/>
  <c r="H40" i="13" s="1"/>
  <c r="I40" i="13" s="1"/>
  <c r="F38" i="13"/>
  <c r="H38" i="13" s="1"/>
  <c r="I38" i="13" s="1"/>
  <c r="F61" i="13"/>
  <c r="H61" i="13" s="1"/>
  <c r="I61" i="13" s="1"/>
  <c r="F51" i="13"/>
  <c r="H51" i="13" s="1"/>
  <c r="I51" i="13" s="1"/>
  <c r="F58" i="13"/>
  <c r="H58" i="13" s="1"/>
  <c r="I58" i="13" s="1"/>
  <c r="F36" i="13"/>
  <c r="H36" i="13" s="1"/>
  <c r="I36" i="13" s="1"/>
  <c r="F34" i="13"/>
  <c r="H34" i="13" s="1"/>
  <c r="I34" i="13" s="1"/>
  <c r="F48" i="13"/>
  <c r="H48" i="13" s="1"/>
  <c r="I48" i="13" s="1"/>
  <c r="F30" i="13"/>
  <c r="H30" i="13" s="1"/>
  <c r="I30" i="13" s="1"/>
  <c r="F53" i="13"/>
  <c r="H53" i="13" s="1"/>
  <c r="I53" i="13" s="1"/>
  <c r="F50" i="13"/>
  <c r="H50" i="13" s="1"/>
  <c r="I50" i="13" s="1"/>
  <c r="F39" i="13"/>
  <c r="H39" i="13" s="1"/>
  <c r="I39" i="13" s="1"/>
  <c r="F52" i="13"/>
  <c r="H52" i="13" s="1"/>
  <c r="I52" i="13" s="1"/>
  <c r="F42" i="13"/>
  <c r="H42" i="13" s="1"/>
  <c r="I42" i="13" s="1"/>
  <c r="F27" i="13"/>
  <c r="H27" i="13" s="1"/>
  <c r="I27" i="13" s="1"/>
  <c r="F43" i="13"/>
  <c r="H43" i="13" s="1"/>
  <c r="I43" i="13" s="1"/>
  <c r="F57" i="13"/>
  <c r="H57" i="13" s="1"/>
  <c r="I57" i="13" s="1"/>
  <c r="F49" i="13"/>
  <c r="H49" i="13" s="1"/>
  <c r="I49" i="13" s="1"/>
  <c r="F60" i="13"/>
  <c r="H60" i="13" s="1"/>
  <c r="I60" i="13" s="1"/>
  <c r="F45" i="13"/>
  <c r="H45" i="13" s="1"/>
  <c r="I45" i="13" s="1"/>
  <c r="D31" i="11"/>
  <c r="E32" i="11" s="1"/>
  <c r="F32" i="11" s="1"/>
  <c r="G32" i="11" s="1"/>
  <c r="D28" i="13"/>
  <c r="C29" i="13"/>
  <c r="C32" i="24"/>
  <c r="D32" i="24"/>
  <c r="E32" i="24" s="1"/>
  <c r="F32" i="24" s="1"/>
  <c r="C36" i="16"/>
  <c r="D36" i="16" s="1"/>
  <c r="C37" i="16" s="1"/>
  <c r="C32" i="11" l="1"/>
  <c r="D32" i="11" s="1"/>
  <c r="C33" i="11" s="1"/>
  <c r="J27" i="13"/>
  <c r="J15" i="14" s="1"/>
  <c r="D29" i="13"/>
  <c r="C30" i="13"/>
  <c r="C33" i="24"/>
  <c r="D33" i="24"/>
  <c r="E33" i="24" s="1"/>
  <c r="F33" i="24" s="1"/>
  <c r="E37" i="16"/>
  <c r="F37" i="16" s="1"/>
  <c r="G37" i="16" s="1"/>
  <c r="D37" i="16"/>
  <c r="C38" i="16" s="1"/>
  <c r="E33" i="11" l="1"/>
  <c r="F33" i="11" s="1"/>
  <c r="G33" i="11" s="1"/>
  <c r="D33" i="11"/>
  <c r="C34" i="11" s="1"/>
  <c r="D30" i="13"/>
  <c r="C31" i="13"/>
  <c r="D34" i="24"/>
  <c r="E34" i="24" s="1"/>
  <c r="F34" i="24" s="1"/>
  <c r="C34" i="24"/>
  <c r="E38" i="16"/>
  <c r="F38" i="16" s="1"/>
  <c r="G38" i="16" s="1"/>
  <c r="D38" i="16"/>
  <c r="C39" i="16" s="1"/>
  <c r="C32" i="13" l="1"/>
  <c r="D31" i="13"/>
  <c r="E34" i="11"/>
  <c r="F34" i="11" s="1"/>
  <c r="G34" i="11" s="1"/>
  <c r="D34" i="11"/>
  <c r="C35" i="11" s="1"/>
  <c r="D35" i="24"/>
  <c r="E35" i="24" s="1"/>
  <c r="F35" i="24" s="1"/>
  <c r="C35" i="24"/>
  <c r="E39" i="16"/>
  <c r="F39" i="16" s="1"/>
  <c r="G39" i="16" s="1"/>
  <c r="D39" i="16"/>
  <c r="E40" i="16" s="1"/>
  <c r="F40" i="16" s="1"/>
  <c r="G40" i="16" s="1"/>
  <c r="E35" i="11" l="1"/>
  <c r="F35" i="11" s="1"/>
  <c r="G35" i="11" s="1"/>
  <c r="D35" i="11"/>
  <c r="C36" i="11" s="1"/>
  <c r="C33" i="13"/>
  <c r="D32" i="13"/>
  <c r="C36" i="24"/>
  <c r="D36" i="24"/>
  <c r="E36" i="24" s="1"/>
  <c r="F36" i="24" s="1"/>
  <c r="C40" i="16"/>
  <c r="D40" i="16" s="1"/>
  <c r="C41" i="16" s="1"/>
  <c r="D33" i="13" l="1"/>
  <c r="C34" i="13"/>
  <c r="E36" i="11"/>
  <c r="F36" i="11" s="1"/>
  <c r="G36" i="11" s="1"/>
  <c r="D36" i="11"/>
  <c r="E37" i="11" s="1"/>
  <c r="F37" i="11" s="1"/>
  <c r="G37" i="11" s="1"/>
  <c r="D37" i="24"/>
  <c r="E37" i="24" s="1"/>
  <c r="F37" i="24" s="1"/>
  <c r="C37" i="24"/>
  <c r="E41" i="16"/>
  <c r="F41" i="16" s="1"/>
  <c r="G41" i="16" s="1"/>
  <c r="D41" i="16"/>
  <c r="C42" i="16" s="1"/>
  <c r="C37" i="11" l="1"/>
  <c r="D37" i="11" s="1"/>
  <c r="E38" i="11" s="1"/>
  <c r="F38" i="11" s="1"/>
  <c r="G38" i="11" s="1"/>
  <c r="C35" i="13"/>
  <c r="D34" i="13"/>
  <c r="D38" i="24"/>
  <c r="E38" i="24" s="1"/>
  <c r="F38" i="24" s="1"/>
  <c r="C38" i="24"/>
  <c r="E42" i="16"/>
  <c r="F42" i="16" s="1"/>
  <c r="G42" i="16" s="1"/>
  <c r="D42" i="16"/>
  <c r="E43" i="16" s="1"/>
  <c r="F43" i="16" s="1"/>
  <c r="G43" i="16" s="1"/>
  <c r="C38" i="11" l="1"/>
  <c r="D38" i="11" s="1"/>
  <c r="C39" i="11" s="1"/>
  <c r="D39" i="11" s="1"/>
  <c r="C40" i="11" s="1"/>
  <c r="D40" i="11" s="1"/>
  <c r="E41" i="11" s="1"/>
  <c r="F41" i="11" s="1"/>
  <c r="G41" i="11" s="1"/>
  <c r="D35" i="13"/>
  <c r="C36" i="13"/>
  <c r="C39" i="24"/>
  <c r="D39" i="24"/>
  <c r="E39" i="24" s="1"/>
  <c r="F39" i="24" s="1"/>
  <c r="C43" i="16"/>
  <c r="D43" i="16" s="1"/>
  <c r="C44" i="16" s="1"/>
  <c r="E40" i="11" l="1"/>
  <c r="F40" i="11" s="1"/>
  <c r="G40" i="11" s="1"/>
  <c r="E39" i="11"/>
  <c r="F39" i="11" s="1"/>
  <c r="G39" i="11" s="1"/>
  <c r="D36" i="13"/>
  <c r="C37" i="13"/>
  <c r="C40" i="24"/>
  <c r="D40" i="24"/>
  <c r="E40" i="24" s="1"/>
  <c r="F40" i="24" s="1"/>
  <c r="C41" i="11"/>
  <c r="D41" i="11" s="1"/>
  <c r="E42" i="11" s="1"/>
  <c r="F42" i="11" s="1"/>
  <c r="G42" i="11" s="1"/>
  <c r="E44" i="16"/>
  <c r="F44" i="16" s="1"/>
  <c r="G44" i="16" s="1"/>
  <c r="D44" i="16"/>
  <c r="C45" i="16" s="1"/>
  <c r="C38" i="13" l="1"/>
  <c r="D37" i="13"/>
  <c r="C41" i="24"/>
  <c r="D41" i="24"/>
  <c r="E41" i="24" s="1"/>
  <c r="F41" i="24" s="1"/>
  <c r="C42" i="11"/>
  <c r="D42" i="11" s="1"/>
  <c r="C43" i="11" s="1"/>
  <c r="E45" i="16"/>
  <c r="F45" i="16" s="1"/>
  <c r="G45" i="16" s="1"/>
  <c r="D45" i="16"/>
  <c r="C46" i="16" s="1"/>
  <c r="D38" i="13" l="1"/>
  <c r="C39" i="13"/>
  <c r="C42" i="24"/>
  <c r="D42" i="24"/>
  <c r="E42" i="24" s="1"/>
  <c r="F42" i="24" s="1"/>
  <c r="D43" i="11"/>
  <c r="C44" i="11" s="1"/>
  <c r="E43" i="11"/>
  <c r="F43" i="11" s="1"/>
  <c r="G43" i="11" s="1"/>
  <c r="E46" i="16"/>
  <c r="F46" i="16" s="1"/>
  <c r="G46" i="16" s="1"/>
  <c r="D46" i="16"/>
  <c r="E47" i="16" s="1"/>
  <c r="F47" i="16" s="1"/>
  <c r="G47" i="16" s="1"/>
  <c r="D39" i="13" l="1"/>
  <c r="C40" i="13"/>
  <c r="C43" i="24"/>
  <c r="D43" i="24"/>
  <c r="E43" i="24" s="1"/>
  <c r="F43" i="24" s="1"/>
  <c r="D44" i="11"/>
  <c r="C45" i="11" s="1"/>
  <c r="E44" i="11"/>
  <c r="F44" i="11" s="1"/>
  <c r="G44" i="11" s="1"/>
  <c r="C47" i="16"/>
  <c r="D47" i="16" s="1"/>
  <c r="C48" i="16" s="1"/>
  <c r="D40" i="13" l="1"/>
  <c r="C41" i="13"/>
  <c r="D44" i="24"/>
  <c r="E44" i="24" s="1"/>
  <c r="F44" i="24" s="1"/>
  <c r="C44" i="24"/>
  <c r="D45" i="11"/>
  <c r="C46" i="11" s="1"/>
  <c r="E45" i="11"/>
  <c r="F45" i="11" s="1"/>
  <c r="G45" i="11" s="1"/>
  <c r="E48" i="16"/>
  <c r="F48" i="16" s="1"/>
  <c r="G48" i="16" s="1"/>
  <c r="D48" i="16"/>
  <c r="C49" i="16" s="1"/>
  <c r="C42" i="13" l="1"/>
  <c r="D41" i="13"/>
  <c r="C45" i="24"/>
  <c r="D45" i="24"/>
  <c r="E45" i="24" s="1"/>
  <c r="F45" i="24" s="1"/>
  <c r="D46" i="11"/>
  <c r="C47" i="11" s="1"/>
  <c r="E46" i="11"/>
  <c r="F46" i="11" s="1"/>
  <c r="G46" i="11" s="1"/>
  <c r="E49" i="16"/>
  <c r="F49" i="16" s="1"/>
  <c r="G49" i="16" s="1"/>
  <c r="D49" i="16"/>
  <c r="C50" i="16" s="1"/>
  <c r="D42" i="13" l="1"/>
  <c r="C43" i="13"/>
  <c r="C46" i="24"/>
  <c r="D46" i="24"/>
  <c r="E46" i="24" s="1"/>
  <c r="F46" i="24" s="1"/>
  <c r="D47" i="11"/>
  <c r="C48" i="11" s="1"/>
  <c r="E47" i="11"/>
  <c r="F47" i="11" s="1"/>
  <c r="G47" i="11" s="1"/>
  <c r="E50" i="16"/>
  <c r="F50" i="16" s="1"/>
  <c r="G50" i="16" s="1"/>
  <c r="D50" i="16"/>
  <c r="E51" i="16" s="1"/>
  <c r="F51" i="16" s="1"/>
  <c r="G51" i="16" s="1"/>
  <c r="C44" i="13" l="1"/>
  <c r="D43" i="13"/>
  <c r="C47" i="24"/>
  <c r="D47" i="24"/>
  <c r="E47" i="24" s="1"/>
  <c r="F47" i="24" s="1"/>
  <c r="D48" i="11"/>
  <c r="C49" i="11" s="1"/>
  <c r="E48" i="11"/>
  <c r="F48" i="11" s="1"/>
  <c r="G48" i="11" s="1"/>
  <c r="C51" i="16"/>
  <c r="D51" i="16" s="1"/>
  <c r="C52" i="16" s="1"/>
  <c r="D44" i="13" l="1"/>
  <c r="C45" i="13"/>
  <c r="C48" i="24"/>
  <c r="D48" i="24"/>
  <c r="E48" i="24" s="1"/>
  <c r="F48" i="24" s="1"/>
  <c r="D49" i="11"/>
  <c r="C50" i="11" s="1"/>
  <c r="E49" i="11"/>
  <c r="F49" i="11" s="1"/>
  <c r="G49" i="11" s="1"/>
  <c r="E52" i="16"/>
  <c r="F52" i="16" s="1"/>
  <c r="G52" i="16" s="1"/>
  <c r="D52" i="16"/>
  <c r="C53" i="16" s="1"/>
  <c r="C46" i="13" l="1"/>
  <c r="D45" i="13"/>
  <c r="C49" i="24"/>
  <c r="D49" i="24"/>
  <c r="E49" i="24" s="1"/>
  <c r="F49" i="24" s="1"/>
  <c r="D50" i="11"/>
  <c r="E51" i="11" s="1"/>
  <c r="F51" i="11" s="1"/>
  <c r="G51" i="11" s="1"/>
  <c r="E50" i="11"/>
  <c r="F50" i="11" s="1"/>
  <c r="G50" i="11" s="1"/>
  <c r="E53" i="16"/>
  <c r="F53" i="16" s="1"/>
  <c r="G53" i="16" s="1"/>
  <c r="D53" i="16"/>
  <c r="C54" i="16" s="1"/>
  <c r="D46" i="13" l="1"/>
  <c r="C47" i="13"/>
  <c r="D50" i="24"/>
  <c r="E50" i="24" s="1"/>
  <c r="F50" i="24" s="1"/>
  <c r="C50" i="24"/>
  <c r="C51" i="11"/>
  <c r="D51" i="11" s="1"/>
  <c r="C52" i="11" s="1"/>
  <c r="E54" i="16"/>
  <c r="F54" i="16" s="1"/>
  <c r="G54" i="16" s="1"/>
  <c r="D54" i="16"/>
  <c r="C55" i="16" s="1"/>
  <c r="C48" i="13" l="1"/>
  <c r="D47" i="13"/>
  <c r="D51" i="24"/>
  <c r="E51" i="24" s="1"/>
  <c r="F51" i="24" s="1"/>
  <c r="C51" i="24"/>
  <c r="D52" i="11"/>
  <c r="C53" i="11" s="1"/>
  <c r="E52" i="11"/>
  <c r="F52" i="11" s="1"/>
  <c r="G52" i="11" s="1"/>
  <c r="E55" i="16"/>
  <c r="F55" i="16" s="1"/>
  <c r="G55" i="16" s="1"/>
  <c r="D55" i="16"/>
  <c r="C56" i="16" s="1"/>
  <c r="C49" i="13" l="1"/>
  <c r="D48" i="13"/>
  <c r="C52" i="24"/>
  <c r="D52" i="24"/>
  <c r="E52" i="24" s="1"/>
  <c r="F52" i="24" s="1"/>
  <c r="D53" i="11"/>
  <c r="C54" i="11" s="1"/>
  <c r="E53" i="11"/>
  <c r="F53" i="11" s="1"/>
  <c r="G53" i="11" s="1"/>
  <c r="E56" i="16"/>
  <c r="F56" i="16" s="1"/>
  <c r="G56" i="16" s="1"/>
  <c r="D56" i="16"/>
  <c r="C57" i="16" s="1"/>
  <c r="D49" i="13" l="1"/>
  <c r="C50" i="13"/>
  <c r="C53" i="24"/>
  <c r="D53" i="24"/>
  <c r="E53" i="24" s="1"/>
  <c r="F53" i="24" s="1"/>
  <c r="D54" i="11"/>
  <c r="E55" i="11" s="1"/>
  <c r="F55" i="11" s="1"/>
  <c r="G55" i="11" s="1"/>
  <c r="E54" i="11"/>
  <c r="F54" i="11" s="1"/>
  <c r="G54" i="11" s="1"/>
  <c r="E57" i="16"/>
  <c r="F57" i="16" s="1"/>
  <c r="G57" i="16" s="1"/>
  <c r="D57" i="16"/>
  <c r="C58" i="16" s="1"/>
  <c r="D50" i="13" l="1"/>
  <c r="C51" i="13"/>
  <c r="D54" i="24"/>
  <c r="E54" i="24" s="1"/>
  <c r="F54" i="24" s="1"/>
  <c r="C54" i="24"/>
  <c r="C55" i="11"/>
  <c r="D55" i="11" s="1"/>
  <c r="E56" i="11" s="1"/>
  <c r="F56" i="11" s="1"/>
  <c r="G56" i="11" s="1"/>
  <c r="E58" i="16"/>
  <c r="F58" i="16" s="1"/>
  <c r="G58" i="16" s="1"/>
  <c r="D58" i="16"/>
  <c r="C59" i="16" s="1"/>
  <c r="C52" i="13" l="1"/>
  <c r="D51" i="13"/>
  <c r="C55" i="24"/>
  <c r="D55" i="24"/>
  <c r="E55" i="24" s="1"/>
  <c r="F55" i="24" s="1"/>
  <c r="C56" i="11"/>
  <c r="D56" i="11" s="1"/>
  <c r="C57" i="11" s="1"/>
  <c r="E59" i="16"/>
  <c r="F59" i="16" s="1"/>
  <c r="G59" i="16" s="1"/>
  <c r="D59" i="16"/>
  <c r="C60" i="16" s="1"/>
  <c r="C53" i="13" l="1"/>
  <c r="D52" i="13"/>
  <c r="D56" i="24"/>
  <c r="E56" i="24" s="1"/>
  <c r="F56" i="24" s="1"/>
  <c r="C56" i="24"/>
  <c r="D57" i="11"/>
  <c r="C58" i="11" s="1"/>
  <c r="E57" i="11"/>
  <c r="F57" i="11" s="1"/>
  <c r="G57" i="11" s="1"/>
  <c r="E60" i="16"/>
  <c r="F60" i="16" s="1"/>
  <c r="G60" i="16" s="1"/>
  <c r="D60" i="16"/>
  <c r="C61" i="16" s="1"/>
  <c r="C54" i="13" l="1"/>
  <c r="D53" i="13"/>
  <c r="C57" i="24"/>
  <c r="D57" i="24"/>
  <c r="E57" i="24" s="1"/>
  <c r="F57" i="24" s="1"/>
  <c r="D58" i="11"/>
  <c r="C59" i="11" s="1"/>
  <c r="E58" i="11"/>
  <c r="F58" i="11" s="1"/>
  <c r="G58" i="11" s="1"/>
  <c r="E61" i="16"/>
  <c r="F61" i="16" s="1"/>
  <c r="G61" i="16" s="1"/>
  <c r="D61" i="16"/>
  <c r="E62" i="16" s="1"/>
  <c r="F62" i="16" s="1"/>
  <c r="G62" i="16" s="1"/>
  <c r="D54" i="13" l="1"/>
  <c r="C55" i="13"/>
  <c r="D58" i="24"/>
  <c r="E58" i="24" s="1"/>
  <c r="F58" i="24" s="1"/>
  <c r="C58" i="24"/>
  <c r="D59" i="11"/>
  <c r="E60" i="11" s="1"/>
  <c r="F60" i="11" s="1"/>
  <c r="G60" i="11" s="1"/>
  <c r="E59" i="11"/>
  <c r="F59" i="11" s="1"/>
  <c r="G59" i="11" s="1"/>
  <c r="C62" i="16"/>
  <c r="D62" i="16" s="1"/>
  <c r="C63" i="16" s="1"/>
  <c r="C56" i="13" l="1"/>
  <c r="D55" i="13"/>
  <c r="C59" i="24"/>
  <c r="D59" i="24"/>
  <c r="E59" i="24" s="1"/>
  <c r="F59" i="24" s="1"/>
  <c r="C60" i="11"/>
  <c r="D60" i="11" s="1"/>
  <c r="C61" i="11" s="1"/>
  <c r="E63" i="16"/>
  <c r="F63" i="16" s="1"/>
  <c r="G63" i="16" s="1"/>
  <c r="D63" i="16"/>
  <c r="C64" i="16" s="1"/>
  <c r="C57" i="13" l="1"/>
  <c r="D56" i="13"/>
  <c r="C60" i="24"/>
  <c r="D60" i="24"/>
  <c r="E60" i="24" s="1"/>
  <c r="F60" i="24" s="1"/>
  <c r="D61" i="11"/>
  <c r="C62" i="11" s="1"/>
  <c r="E61" i="11"/>
  <c r="F61" i="11" s="1"/>
  <c r="G61" i="11" s="1"/>
  <c r="E64" i="16"/>
  <c r="F64" i="16" s="1"/>
  <c r="G64" i="16" s="1"/>
  <c r="D64" i="16"/>
  <c r="C65" i="16" s="1"/>
  <c r="C58" i="13" l="1"/>
  <c r="D57" i="13"/>
  <c r="C61" i="24"/>
  <c r="D61" i="24"/>
  <c r="E61" i="24" s="1"/>
  <c r="F61" i="24" s="1"/>
  <c r="D62" i="11"/>
  <c r="E63" i="11" s="1"/>
  <c r="F63" i="11" s="1"/>
  <c r="G63" i="11" s="1"/>
  <c r="E62" i="11"/>
  <c r="F62" i="11" s="1"/>
  <c r="G62" i="11" s="1"/>
  <c r="E65" i="16"/>
  <c r="F65" i="16" s="1"/>
  <c r="G65" i="16" s="1"/>
  <c r="D65" i="16"/>
  <c r="C66" i="16" s="1"/>
  <c r="D58" i="13" l="1"/>
  <c r="C59" i="13"/>
  <c r="C62" i="24"/>
  <c r="D62" i="24"/>
  <c r="E62" i="24" s="1"/>
  <c r="F62" i="24" s="1"/>
  <c r="C63" i="11"/>
  <c r="E66" i="16"/>
  <c r="F66" i="16" s="1"/>
  <c r="G66" i="16" s="1"/>
  <c r="D66" i="16"/>
  <c r="C67" i="16" s="1"/>
  <c r="C60" i="13" l="1"/>
  <c r="D59" i="13"/>
  <c r="C63" i="24"/>
  <c r="D63" i="24"/>
  <c r="E63" i="24" s="1"/>
  <c r="F63" i="24" s="1"/>
  <c r="D63" i="11"/>
  <c r="E64" i="11" s="1"/>
  <c r="F64" i="11" s="1"/>
  <c r="G64" i="11" s="1"/>
  <c r="E67" i="16"/>
  <c r="F67" i="16" s="1"/>
  <c r="G67" i="16" s="1"/>
  <c r="B4" i="16" s="1"/>
  <c r="J17" i="14" s="1"/>
  <c r="D67" i="16"/>
  <c r="E77" i="16" s="1"/>
  <c r="J89" i="16" s="1"/>
  <c r="Q17" i="14" s="1"/>
  <c r="C61" i="13" l="1"/>
  <c r="D60" i="13"/>
  <c r="E81" i="16"/>
  <c r="N89" i="16" s="1"/>
  <c r="U17" i="14" s="1"/>
  <c r="E82" i="16"/>
  <c r="O89" i="16" s="1"/>
  <c r="V17" i="14" s="1"/>
  <c r="E78" i="16"/>
  <c r="K89" i="16" s="1"/>
  <c r="R17" i="14" s="1"/>
  <c r="E71" i="16"/>
  <c r="D89" i="16" s="1"/>
  <c r="K17" i="14" s="1"/>
  <c r="E72" i="16"/>
  <c r="E89" i="16" s="1"/>
  <c r="L17" i="14" s="1"/>
  <c r="E74" i="16"/>
  <c r="G89" i="16" s="1"/>
  <c r="N17" i="14" s="1"/>
  <c r="E75" i="16"/>
  <c r="H89" i="16" s="1"/>
  <c r="O17" i="14" s="1"/>
  <c r="E73" i="16"/>
  <c r="F89" i="16" s="1"/>
  <c r="M17" i="14" s="1"/>
  <c r="E80" i="16"/>
  <c r="M89" i="16" s="1"/>
  <c r="T17" i="14" s="1"/>
  <c r="E76" i="16"/>
  <c r="I89" i="16" s="1"/>
  <c r="P17" i="14" s="1"/>
  <c r="E79" i="16"/>
  <c r="L89" i="16" s="1"/>
  <c r="S17" i="14" s="1"/>
  <c r="E83" i="16"/>
  <c r="C64" i="24"/>
  <c r="D64" i="24"/>
  <c r="E64" i="24" s="1"/>
  <c r="F64" i="24" s="1"/>
  <c r="C64" i="11"/>
  <c r="C62" i="13" l="1"/>
  <c r="D61" i="13"/>
  <c r="D65" i="24"/>
  <c r="E65" i="24" s="1"/>
  <c r="F65" i="24" s="1"/>
  <c r="B2" i="24" s="1"/>
  <c r="J11" i="14" s="1"/>
  <c r="C65" i="24"/>
  <c r="D64" i="11"/>
  <c r="C65" i="11" s="1"/>
  <c r="D62" i="13" l="1"/>
  <c r="I8" i="24"/>
  <c r="M11" i="14" s="1"/>
  <c r="I16" i="24"/>
  <c r="U11" i="14" s="1"/>
  <c r="I9" i="24"/>
  <c r="N11" i="14" s="1"/>
  <c r="I17" i="24"/>
  <c r="V11" i="14" s="1"/>
  <c r="I10" i="24"/>
  <c r="O11" i="14" s="1"/>
  <c r="I6" i="24"/>
  <c r="K11" i="14" s="1"/>
  <c r="I11" i="24"/>
  <c r="P11" i="14" s="1"/>
  <c r="I12" i="24"/>
  <c r="Q11" i="14" s="1"/>
  <c r="I13" i="24"/>
  <c r="R11" i="14" s="1"/>
  <c r="I7" i="24"/>
  <c r="L11" i="14" s="1"/>
  <c r="I15" i="24"/>
  <c r="T11" i="14" s="1"/>
  <c r="I14" i="24"/>
  <c r="S11" i="14" s="1"/>
  <c r="D65" i="11"/>
  <c r="C66" i="11" s="1"/>
  <c r="E65" i="11"/>
  <c r="F65" i="11" s="1"/>
  <c r="G65" i="11" s="1"/>
  <c r="B64" i="13" l="1"/>
  <c r="B65" i="13"/>
  <c r="D66" i="11"/>
  <c r="C67" i="11" s="1"/>
  <c r="E66" i="11"/>
  <c r="F66" i="11" s="1"/>
  <c r="B3" i="16"/>
  <c r="B78" i="13" l="1"/>
  <c r="L84" i="13" s="1"/>
  <c r="V15" i="14" s="1"/>
  <c r="B77" i="13"/>
  <c r="K84" i="13" s="1"/>
  <c r="U15" i="14" s="1"/>
  <c r="B76" i="13"/>
  <c r="J84" i="13" s="1"/>
  <c r="T15" i="14" s="1"/>
  <c r="B70" i="13"/>
  <c r="D84" i="13" s="1"/>
  <c r="N15" i="14" s="1"/>
  <c r="B69" i="13"/>
  <c r="C84" i="13" s="1"/>
  <c r="M15" i="14" s="1"/>
  <c r="B75" i="13"/>
  <c r="I84" i="13" s="1"/>
  <c r="S15" i="14" s="1"/>
  <c r="B67" i="13"/>
  <c r="A84" i="13" s="1"/>
  <c r="K15" i="14" s="1"/>
  <c r="B68" i="13"/>
  <c r="B84" i="13" s="1"/>
  <c r="L15" i="14" s="1"/>
  <c r="B72" i="13"/>
  <c r="F84" i="13" s="1"/>
  <c r="P15" i="14" s="1"/>
  <c r="B71" i="13"/>
  <c r="E84" i="13" s="1"/>
  <c r="O15" i="14" s="1"/>
  <c r="B73" i="13"/>
  <c r="G84" i="13" s="1"/>
  <c r="Q15" i="14" s="1"/>
  <c r="B74" i="13"/>
  <c r="H84" i="13" s="1"/>
  <c r="R15" i="14" s="1"/>
  <c r="D67" i="11"/>
  <c r="E77" i="11" s="1"/>
  <c r="I91" i="11" s="1"/>
  <c r="R13" i="14" s="1"/>
  <c r="G66" i="11"/>
  <c r="E67" i="11"/>
  <c r="F67" i="11" s="1"/>
  <c r="G67" i="11" s="1"/>
  <c r="E74" i="11" l="1"/>
  <c r="F91" i="11" s="1"/>
  <c r="O13" i="14" s="1"/>
  <c r="E80" i="11"/>
  <c r="L91" i="11" s="1"/>
  <c r="U13" i="14" s="1"/>
  <c r="B4" i="11"/>
  <c r="J13" i="14" s="1"/>
  <c r="E72" i="11"/>
  <c r="D91" i="11" s="1"/>
  <c r="M13" i="14" s="1"/>
  <c r="B3" i="11"/>
  <c r="E82" i="11"/>
  <c r="E70" i="11"/>
  <c r="B91" i="11" s="1"/>
  <c r="K13" i="14" s="1"/>
  <c r="E75" i="11"/>
  <c r="G91" i="11" s="1"/>
  <c r="P13" i="14" s="1"/>
  <c r="E73" i="11"/>
  <c r="E91" i="11" s="1"/>
  <c r="N13" i="14" s="1"/>
  <c r="E79" i="11"/>
  <c r="K91" i="11" s="1"/>
  <c r="T13" i="14" s="1"/>
  <c r="E71" i="11"/>
  <c r="C91" i="11" s="1"/>
  <c r="L13" i="14" s="1"/>
  <c r="E78" i="11"/>
  <c r="J91" i="11" s="1"/>
  <c r="S13" i="14" s="1"/>
  <c r="E76" i="11"/>
  <c r="H91" i="11" s="1"/>
  <c r="Q13" i="14" s="1"/>
  <c r="E81" i="11"/>
  <c r="M91" i="11" s="1"/>
  <c r="V13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<sst xmlns="http://schemas.openxmlformats.org/spreadsheetml/2006/main" count="1289" uniqueCount="116">
  <si>
    <t>Dt</t>
  </si>
  <si>
    <t>t</t>
  </si>
  <si>
    <t>a</t>
  </si>
  <si>
    <t>Ft</t>
  </si>
  <si>
    <t>Et</t>
  </si>
  <si>
    <t>mse</t>
  </si>
  <si>
    <t>חיזוי</t>
  </si>
  <si>
    <t>a כובע</t>
  </si>
  <si>
    <t>טעות בריבוע</t>
  </si>
  <si>
    <t>f</t>
  </si>
  <si>
    <t>e</t>
  </si>
  <si>
    <t>k</t>
  </si>
  <si>
    <t>Et^2</t>
  </si>
  <si>
    <t>n</t>
  </si>
  <si>
    <t>t^2</t>
  </si>
  <si>
    <t>Dt*t</t>
  </si>
  <si>
    <t>b</t>
  </si>
  <si>
    <t>סכימה</t>
  </si>
  <si>
    <t>עזר</t>
  </si>
  <si>
    <t>t**2</t>
  </si>
  <si>
    <t>et</t>
  </si>
  <si>
    <t>et^2</t>
  </si>
  <si>
    <t>MSE</t>
  </si>
  <si>
    <t>תחזית</t>
  </si>
  <si>
    <t>alpha</t>
  </si>
  <si>
    <t>beta</t>
  </si>
  <si>
    <t>dt</t>
  </si>
  <si>
    <t>forecast</t>
  </si>
  <si>
    <t>error</t>
  </si>
  <si>
    <t>rmse</t>
  </si>
  <si>
    <t>Mt(1)</t>
  </si>
  <si>
    <t>Mt(2)</t>
  </si>
  <si>
    <t>value of a</t>
  </si>
  <si>
    <t>value of b</t>
  </si>
  <si>
    <t>חיזוי בדיעבד</t>
  </si>
  <si>
    <t>טעות חיזוי</t>
  </si>
  <si>
    <t>חיזוי קדימה</t>
  </si>
  <si>
    <t>St(1)</t>
  </si>
  <si>
    <t>St(2)</t>
  </si>
  <si>
    <t>a.t</t>
  </si>
  <si>
    <t>b.t</t>
  </si>
  <si>
    <t>D כובע</t>
  </si>
  <si>
    <t>B כובע</t>
  </si>
  <si>
    <t>לתקופה 24 חודש</t>
  </si>
  <si>
    <t>e^2</t>
  </si>
  <si>
    <t>טאו</t>
  </si>
  <si>
    <t>פרויקט חיזוי באקסל</t>
  </si>
  <si>
    <t>איציק זקן</t>
  </si>
  <si>
    <t>נתונים:</t>
  </si>
  <si>
    <t>תקופה</t>
  </si>
  <si>
    <t>מרצה: משה צופי</t>
  </si>
  <si>
    <t>Dt*t^2</t>
  </si>
  <si>
    <t>t^4</t>
  </si>
  <si>
    <t>error^2</t>
  </si>
  <si>
    <t>----</t>
  </si>
  <si>
    <t>---</t>
  </si>
  <si>
    <t>Ft+טאו</t>
  </si>
  <si>
    <r>
      <t xml:space="preserve">ln(Dt) - </t>
    </r>
    <r>
      <rPr>
        <sz val="11"/>
        <color rgb="FFFF0000"/>
        <rFont val="Arial"/>
        <family val="2"/>
        <scheme val="minor"/>
      </rPr>
      <t>(Dt)'</t>
    </r>
  </si>
  <si>
    <t>Dt'</t>
  </si>
  <si>
    <t>Dt'*t</t>
  </si>
  <si>
    <t>a'</t>
  </si>
  <si>
    <t>e^b*t</t>
  </si>
  <si>
    <t>חודשים</t>
  </si>
  <si>
    <t>ינואר</t>
  </si>
  <si>
    <t>פברואר</t>
  </si>
  <si>
    <t>חודש/ שנה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</si>
  <si>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</si>
  <si>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</si>
  <si>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</si>
  <si>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</si>
  <si>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</si>
  <si>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</si>
  <si>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</si>
  <si>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</si>
  <si>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</si>
  <si>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</si>
  <si>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ממוצע מחזור</t>
  </si>
  <si>
    <t>מקדמי העונתיות</t>
  </si>
  <si>
    <t>ממוצע המחזור</t>
  </si>
  <si>
    <t>dt * t</t>
  </si>
  <si>
    <t>b כובע</t>
  </si>
  <si>
    <t>dt * t^2</t>
  </si>
  <si>
    <t>שיטת החיזוי</t>
  </si>
  <si>
    <t>קבוע בזמן - ממוצע פשוט</t>
  </si>
  <si>
    <t>קבוע בזמן - ממוצע נע</t>
  </si>
  <si>
    <t>קבוע בזמן - החלקה אקספוננציאלית</t>
  </si>
  <si>
    <t>נוסחת החיזוי</t>
  </si>
  <si>
    <t>לינארי- רגרסיה</t>
  </si>
  <si>
    <t>לינארי - הולט</t>
  </si>
  <si>
    <t>לינארי - ממוצע נע כפול</t>
  </si>
  <si>
    <t>לינארי - בראון</t>
  </si>
  <si>
    <t>אקספוננציאלי - רגרסיה</t>
  </si>
  <si>
    <t>אקספוננציאלי - הולט</t>
  </si>
  <si>
    <t>מעריכי - רגרסיה</t>
  </si>
  <si>
    <t>עונתי קבוע בזמן - דקומפוזיציה</t>
  </si>
  <si>
    <t>עונתי לינארי - דקומפוזיציה</t>
  </si>
  <si>
    <t>עונתי אקספוננציאלי - דקומפוזיציה</t>
  </si>
  <si>
    <t>סכימות</t>
  </si>
  <si>
    <t>ממוצע</t>
  </si>
  <si>
    <t>מקדמי עונתיות- עזר</t>
  </si>
  <si>
    <t>בסוף התקופה</t>
  </si>
  <si>
    <t>------</t>
  </si>
  <si>
    <t>F= a+b*t</t>
  </si>
  <si>
    <t xml:space="preserve">פרמטר K </t>
  </si>
  <si>
    <t>פרמטר אלפא</t>
  </si>
  <si>
    <t>פרמטר בטא</t>
  </si>
  <si>
    <t>Ft= a+ b * t^2</t>
  </si>
  <si>
    <t>Ft= a + b * t</t>
  </si>
  <si>
    <t>Ft = a</t>
  </si>
  <si>
    <t>Ft = a * e ^ b*t</t>
  </si>
  <si>
    <t>Ft = (a + b*t) * C</t>
  </si>
  <si>
    <t>Ft = (a + b*t^2) * C</t>
  </si>
  <si>
    <t>Ft = a * C</t>
  </si>
  <si>
    <t>Ft+τ= Dt + b* τ</t>
  </si>
  <si>
    <t>Ft+τ = Dt + b(τ^2 +2tτ)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</si>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</sst>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"/>
    <numFmt numFmtId="165" formatCode="0.000"/>
    <numFmt numFmtId="166" formatCode="0.0000"/>
    <numFmt numFmtId="167" formatCode="0.000000"/>
    <numFmt numFmtId="168" formatCode="_ * #,##0.000_ ;_ * \-#,##0.000_ ;_ * &quot;-&quot;??_ ;_ @_ "/>
  </numFmts>
  <fonts count="5" x14ac:knownFonts="1">
    <font>
      <sz val="11"/>
      <color theme="1"/>
      <name val="Arial"/>
      <family val="2"/>
      <charset val="177"/>
      <scheme val="minor"/>
    </font>
    <font>
      <sz val="8"/>
      <name val="Arial"/>
      <family val="2"/>
      <charset val="177"/>
      <scheme val="minor"/>
    </font>
    <font>
      <sz val="11"/>
      <color rgb="FFFF0000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85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3" borderId="1" xfId="0" applyFill="1" applyBorder="1"/>
    <xf numFmtId="0" fontId="0" fillId="5" borderId="0" xfId="0" applyFill="1"/>
    <xf numFmtId="0" fontId="0" fillId="2" borderId="0" xfId="0" applyFill="1"/>
    <xf numFmtId="2" fontId="0" fillId="2" borderId="0" xfId="0" applyNumberFormat="1" applyFill="1"/>
    <xf numFmtId="0" fontId="0" fillId="7" borderId="1" xfId="0" applyFill="1" applyBorder="1"/>
    <xf numFmtId="0" fontId="0" fillId="8" borderId="1" xfId="0" applyFill="1" applyBorder="1"/>
    <xf numFmtId="0" fontId="0" fillId="11" borderId="1" xfId="0" applyFill="1" applyBorder="1"/>
    <xf numFmtId="0" fontId="0" fillId="0" borderId="0" xfId="0" applyAlignment="1">
      <alignment horizontal="center" vertical="center"/>
    </xf>
    <xf numFmtId="1" fontId="0" fillId="3" borderId="0" xfId="0" applyNumberFormat="1" applyFill="1"/>
    <xf numFmtId="0" fontId="0" fillId="0" borderId="0" xfId="0" quotePrefix="1" applyAlignment="1">
      <alignment horizontal="center" vertical="center"/>
    </xf>
    <xf numFmtId="1" fontId="0" fillId="12" borderId="0" xfId="0" applyNumberFormat="1" applyFill="1"/>
    <xf numFmtId="0" fontId="0" fillId="12" borderId="0" xfId="0" applyFill="1"/>
    <xf numFmtId="0" fontId="0" fillId="5" borderId="1" xfId="0" applyFill="1" applyBorder="1" applyAlignment="1">
      <alignment horizontal="center" vertical="center"/>
    </xf>
    <xf numFmtId="0" fontId="0" fillId="13" borderId="0" xfId="0" applyFill="1"/>
    <xf numFmtId="0" fontId="0" fillId="11" borderId="0" xfId="0" applyFill="1"/>
    <xf numFmtId="1" fontId="0" fillId="9" borderId="1" xfId="0" applyNumberFormat="1" applyFill="1" applyBorder="1"/>
    <xf numFmtId="0" fontId="0" fillId="14" borderId="0" xfId="0" applyFill="1"/>
    <xf numFmtId="165" fontId="0" fillId="0" borderId="0" xfId="0" applyNumberFormat="1"/>
    <xf numFmtId="166" fontId="0" fillId="0" borderId="0" xfId="0" applyNumberFormat="1"/>
    <xf numFmtId="0" fontId="0" fillId="15" borderId="0" xfId="0" applyFill="1"/>
    <xf numFmtId="167" fontId="0" fillId="0" borderId="0" xfId="0" applyNumberFormat="1"/>
    <xf numFmtId="0" fontId="0" fillId="15" borderId="1" xfId="0" applyFill="1" applyBorder="1"/>
    <xf numFmtId="0" fontId="0" fillId="16" borderId="0" xfId="0" applyFill="1"/>
    <xf numFmtId="0" fontId="0" fillId="4" borderId="1" xfId="0" applyFill="1" applyBorder="1"/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3" borderId="1" xfId="0" applyNumberFormat="1" applyFill="1" applyBorder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0" xfId="0" applyFill="1"/>
    <xf numFmtId="0" fontId="0" fillId="17" borderId="1" xfId="0" applyFill="1" applyBorder="1"/>
    <xf numFmtId="0" fontId="0" fillId="16" borderId="1" xfId="0" applyFill="1" applyBorder="1"/>
    <xf numFmtId="0" fontId="0" fillId="18" borderId="0" xfId="0" applyFill="1"/>
    <xf numFmtId="165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11" borderId="0" xfId="0" applyNumberFormat="1" applyFill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18" borderId="1" xfId="0" applyFill="1" applyBorder="1"/>
    <xf numFmtId="43" fontId="0" fillId="3" borderId="0" xfId="1" applyFont="1" applyFill="1"/>
    <xf numFmtId="43" fontId="0" fillId="3" borderId="1" xfId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19" borderId="1" xfId="0" applyFill="1" applyBorder="1"/>
    <xf numFmtId="0" fontId="0" fillId="20" borderId="0" xfId="0" applyFill="1"/>
    <xf numFmtId="0" fontId="0" fillId="15" borderId="1" xfId="0" applyFill="1" applyBorder="1" applyAlignment="1">
      <alignment horizontal="center" vertical="center"/>
    </xf>
    <xf numFmtId="168" fontId="0" fillId="0" borderId="1" xfId="1" applyNumberFormat="1" applyFont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17" borderId="0" xfId="0" applyFill="1"/>
    <xf numFmtId="165" fontId="0" fillId="3" borderId="0" xfId="0" applyNumberFormat="1" applyFill="1"/>
    <xf numFmtId="166" fontId="0" fillId="3" borderId="0" xfId="0" applyNumberFormat="1" applyFill="1" applyAlignment="1">
      <alignment horizontal="center" vertical="center"/>
    </xf>
    <xf numFmtId="0" fontId="0" fillId="2" borderId="5" xfId="0" applyFill="1" applyBorder="1"/>
    <xf numFmtId="0" fontId="0" fillId="2" borderId="6" xfId="0" applyFill="1" applyBorder="1"/>
    <xf numFmtId="0" fontId="4" fillId="0" borderId="1" xfId="0" applyFont="1" applyBorder="1" applyAlignment="1">
      <alignment horizontal="center" vertical="center"/>
    </xf>
    <xf numFmtId="0" fontId="0" fillId="15" borderId="2" xfId="0" applyFill="1" applyBorder="1" applyAlignment="1">
      <alignment vertical="center"/>
    </xf>
    <xf numFmtId="0" fontId="0" fillId="15" borderId="4" xfId="0" applyFill="1" applyBorder="1" applyAlignment="1">
      <alignment vertical="center"/>
    </xf>
    <xf numFmtId="0" fontId="0" fillId="15" borderId="7" xfId="0" applyFill="1" applyBorder="1" applyAlignment="1">
      <alignment vertical="center"/>
    </xf>
    <xf numFmtId="0" fontId="0" fillId="15" borderId="8" xfId="0" applyFill="1" applyBorder="1" applyAlignment="1">
      <alignment vertical="center"/>
    </xf>
    <xf numFmtId="0" fontId="0" fillId="15" borderId="9" xfId="0" applyFill="1" applyBorder="1" applyAlignment="1">
      <alignment vertical="center"/>
    </xf>
    <xf numFmtId="0" fontId="0" fillId="6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22" borderId="1" xfId="0" applyFill="1" applyBorder="1"/>
  </cellXfs>
  <cellStyles count="2">
    <cellStyle name="Comma" xfId="1" builtinId="3"/>
    <cellStyle name="Normal" xfId="0" builtinId="0"/>
  </cellStyles>
  <dxfs count="1">
    <dxf>
      <fill>
        <patternFill>
          <bgColor rgb="FFFFFF00"/>
        </patternFill>
      </fill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e-IL"/>
              <a:t>גרף התנהגות הנתונים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'גליון פתיחה'!$B$7</c:f>
              <c:strCache>
                <c:ptCount val="1"/>
                <c:pt idx="0">
                  <c:v>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'גליון פתיחה'!$A$8:$A$67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xVal>
          <c:yVal>
            <c:numRef>
              <c:f>'גליון פתיחה'!$B$8:$B$67</c:f>
              <c:numCache>
                <c:formatCode>0</c:formatCode>
                <c:ptCount val="60"/>
                <c:pt idx="0">
                  <c:v>28</c:v>
                </c:pt>
                <c:pt idx="1">
                  <c:v>35</c:v>
                </c:pt>
                <c:pt idx="2">
                  <c:v>40</c:v>
                </c:pt>
                <c:pt idx="3">
                  <c:v>55</c:v>
                </c:pt>
                <c:pt idx="4">
                  <c:v>70</c:v>
                </c:pt>
                <c:pt idx="5">
                  <c:v>75</c:v>
                </c:pt>
                <c:pt idx="6">
                  <c:v>87.6666666666667</c:v>
                </c:pt>
                <c:pt idx="7">
                  <c:v>98.6666666666667</c:v>
                </c:pt>
                <c:pt idx="8">
                  <c:v>109.666666666667</c:v>
                </c:pt>
                <c:pt idx="9">
                  <c:v>120.666666666667</c:v>
                </c:pt>
                <c:pt idx="10">
                  <c:v>131.666666666667</c:v>
                </c:pt>
                <c:pt idx="11">
                  <c:v>142.666666666667</c:v>
                </c:pt>
                <c:pt idx="12">
                  <c:v>153.666666666667</c:v>
                </c:pt>
                <c:pt idx="13">
                  <c:v>164.666666666667</c:v>
                </c:pt>
                <c:pt idx="14">
                  <c:v>175.666666666667</c:v>
                </c:pt>
                <c:pt idx="15">
                  <c:v>186.666666666667</c:v>
                </c:pt>
                <c:pt idx="16">
                  <c:v>197.666666666667</c:v>
                </c:pt>
                <c:pt idx="17">
                  <c:v>208.666666666667</c:v>
                </c:pt>
                <c:pt idx="18">
                  <c:v>219.666666666667</c:v>
                </c:pt>
                <c:pt idx="19">
                  <c:v>230.666666666667</c:v>
                </c:pt>
                <c:pt idx="20">
                  <c:v>241.666666666667</c:v>
                </c:pt>
                <c:pt idx="21">
                  <c:v>252.666666666667</c:v>
                </c:pt>
                <c:pt idx="22">
                  <c:v>263.66666666666703</c:v>
                </c:pt>
                <c:pt idx="23">
                  <c:v>274.66666666666703</c:v>
                </c:pt>
                <c:pt idx="24">
                  <c:v>285.66666666666799</c:v>
                </c:pt>
                <c:pt idx="25">
                  <c:v>296.66666666666799</c:v>
                </c:pt>
                <c:pt idx="26">
                  <c:v>307.66666666666799</c:v>
                </c:pt>
                <c:pt idx="27">
                  <c:v>318.66666666666799</c:v>
                </c:pt>
                <c:pt idx="28">
                  <c:v>329.66666666666799</c:v>
                </c:pt>
                <c:pt idx="29">
                  <c:v>340.66666666666799</c:v>
                </c:pt>
                <c:pt idx="30">
                  <c:v>351.66666666666799</c:v>
                </c:pt>
                <c:pt idx="31">
                  <c:v>362.66666666666799</c:v>
                </c:pt>
                <c:pt idx="32">
                  <c:v>373.66666666666799</c:v>
                </c:pt>
                <c:pt idx="33">
                  <c:v>384.66666666666799</c:v>
                </c:pt>
                <c:pt idx="34">
                  <c:v>395.66666666666799</c:v>
                </c:pt>
                <c:pt idx="35">
                  <c:v>406.66666666666799</c:v>
                </c:pt>
                <c:pt idx="36">
                  <c:v>417.66666666666799</c:v>
                </c:pt>
                <c:pt idx="37">
                  <c:v>428.66666666666902</c:v>
                </c:pt>
                <c:pt idx="38">
                  <c:v>439.66666666666902</c:v>
                </c:pt>
                <c:pt idx="39">
                  <c:v>450.66666666666902</c:v>
                </c:pt>
                <c:pt idx="40">
                  <c:v>461.66666666666902</c:v>
                </c:pt>
                <c:pt idx="41">
                  <c:v>472.66666666666902</c:v>
                </c:pt>
                <c:pt idx="42">
                  <c:v>483.66666666666902</c:v>
                </c:pt>
                <c:pt idx="43">
                  <c:v>494.66666666666902</c:v>
                </c:pt>
                <c:pt idx="44">
                  <c:v>505.66666666666799</c:v>
                </c:pt>
                <c:pt idx="45">
                  <c:v>516.66666666666902</c:v>
                </c:pt>
                <c:pt idx="46">
                  <c:v>527.66666666666902</c:v>
                </c:pt>
                <c:pt idx="47">
                  <c:v>538.66666666666902</c:v>
                </c:pt>
                <c:pt idx="48">
                  <c:v>549.66666666666902</c:v>
                </c:pt>
                <c:pt idx="49">
                  <c:v>560.66666666666902</c:v>
                </c:pt>
                <c:pt idx="50">
                  <c:v>571.66666666666902</c:v>
                </c:pt>
                <c:pt idx="51">
                  <c:v>582.66666666666902</c:v>
                </c:pt>
                <c:pt idx="52">
                  <c:v>593.66666666666902</c:v>
                </c:pt>
                <c:pt idx="53">
                  <c:v>604.66666666666902</c:v>
                </c:pt>
                <c:pt idx="54">
                  <c:v>615.66666666666902</c:v>
                </c:pt>
                <c:pt idx="55">
                  <c:v>626.66666666666902</c:v>
                </c:pt>
                <c:pt idx="56">
                  <c:v>637.66666666666902</c:v>
                </c:pt>
                <c:pt idx="57">
                  <c:v>648.66666666666902</c:v>
                </c:pt>
                <c:pt idx="58">
                  <c:v>659.66666666666902</c:v>
                </c:pt>
                <c:pt idx="59">
                  <c:v>670.66666666666902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E-406A-BE61-CA3CF7ACF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821231"/>
        <c:axId val="2005817391"/>
      </c:scatterChart>
      <c:valAx>
        <c:axId val="2005821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תקופה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05817391"/>
        <c:crosses val="autoZero"/>
        <c:crossBetween val="midCat"/>
      </c:valAx>
      <c:valAx>
        <c:axId val="200581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e-IL"/>
                  <a:t>ערכים בש"ח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005821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</xdr:colOff>
      <xdr:row>22</xdr:row>
      <xdr:rowOff>34290</xdr:rowOff>
    </xdr:from>
    <xdr:to>
      <xdr:col>14</xdr:col>
      <xdr:colOff>640080</xdr:colOff>
      <xdr:row>42</xdr:row>
      <xdr:rowOff>129540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9689ED9-C796-F8E6-24F8-D7421F71A7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28574</xdr:colOff>
      <xdr:row>26</xdr:row>
      <xdr:rowOff>28575</xdr:rowOff>
    </xdr:from>
    <xdr:to>
      <xdr:col>18</xdr:col>
      <xdr:colOff>314324</xdr:colOff>
      <xdr:row>29</xdr:row>
      <xdr:rowOff>133350</xdr:rowOff>
    </xdr:to>
    <xdr:sp macro="[0]!לינארי_הולט" textlink="">
      <xdr:nvSpPr>
        <xdr:cNvPr id="4" name="מלבן: פינות מעוגלות 3">
          <a:extLst>
            <a:ext uri="{FF2B5EF4-FFF2-40B4-BE49-F238E27FC236}">
              <a16:creationId xmlns:a16="http://schemas.microsoft.com/office/drawing/2014/main" id="{80779A95-C136-BD86-3CAD-DF252BF84783}"/>
            </a:ext>
          </a:extLst>
        </xdr:cNvPr>
        <xdr:cNvSpPr/>
      </xdr:nvSpPr>
      <xdr:spPr>
        <a:xfrm>
          <a:off x="10913049676" y="4486275"/>
          <a:ext cx="1619250" cy="61912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  <a:br>
            <a:rPr lang="en-US" sz="1100" baseline="0"/>
          </a:br>
          <a:r>
            <a:rPr lang="he-IL" sz="1100" baseline="0"/>
            <a:t>לינארי- הולט</a:t>
          </a:r>
        </a:p>
      </xdr:txBody>
    </xdr:sp>
    <xdr:clientData/>
  </xdr:twoCellAnchor>
  <xdr:twoCellAnchor>
    <xdr:from>
      <xdr:col>16</xdr:col>
      <xdr:colOff>28575</xdr:colOff>
      <xdr:row>22</xdr:row>
      <xdr:rowOff>38100</xdr:rowOff>
    </xdr:from>
    <xdr:to>
      <xdr:col>18</xdr:col>
      <xdr:colOff>304800</xdr:colOff>
      <xdr:row>25</xdr:row>
      <xdr:rowOff>133349</xdr:rowOff>
    </xdr:to>
    <xdr:sp macro="[0]!חיבור_לקבוע_החלקה" textlink="">
      <xdr:nvSpPr>
        <xdr:cNvPr id="6" name="מלבן: פינות מעוגלות 5">
          <a:extLst>
            <a:ext uri="{FF2B5EF4-FFF2-40B4-BE49-F238E27FC236}">
              <a16:creationId xmlns:a16="http://schemas.microsoft.com/office/drawing/2014/main" id="{1D85504B-C079-775C-72D7-449B5EBE5C40}"/>
            </a:ext>
          </a:extLst>
        </xdr:cNvPr>
        <xdr:cNvSpPr/>
      </xdr:nvSpPr>
      <xdr:spPr>
        <a:xfrm>
          <a:off x="10913059200" y="3810000"/>
          <a:ext cx="1609725" cy="609599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 סולבר</a:t>
          </a:r>
          <a:br>
            <a:rPr lang="en-US" sz="1100"/>
          </a:br>
          <a:r>
            <a:rPr lang="he-IL" sz="1100"/>
            <a:t>קבוע בזמן - החלקה</a:t>
          </a:r>
        </a:p>
      </xdr:txBody>
    </xdr:sp>
    <xdr:clientData/>
  </xdr:twoCellAnchor>
  <xdr:twoCellAnchor>
    <xdr:from>
      <xdr:col>16</xdr:col>
      <xdr:colOff>38100</xdr:colOff>
      <xdr:row>30</xdr:row>
      <xdr:rowOff>28575</xdr:rowOff>
    </xdr:from>
    <xdr:to>
      <xdr:col>18</xdr:col>
      <xdr:colOff>314325</xdr:colOff>
      <xdr:row>33</xdr:row>
      <xdr:rowOff>114300</xdr:rowOff>
    </xdr:to>
    <xdr:sp macro="[0]!לינארי_בראון" textlink="">
      <xdr:nvSpPr>
        <xdr:cNvPr id="10" name="מלבן: פינות מעוגלות 9">
          <a:extLst>
            <a:ext uri="{FF2B5EF4-FFF2-40B4-BE49-F238E27FC236}">
              <a16:creationId xmlns:a16="http://schemas.microsoft.com/office/drawing/2014/main" id="{7BEC15A3-F83D-2CA3-6304-885DD871B4E8}"/>
            </a:ext>
          </a:extLst>
        </xdr:cNvPr>
        <xdr:cNvSpPr/>
      </xdr:nvSpPr>
      <xdr:spPr>
        <a:xfrm>
          <a:off x="10913049675" y="5172075"/>
          <a:ext cx="1609725" cy="6000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</a:p>
        <a:p>
          <a:pPr algn="ctr" rtl="1"/>
          <a:r>
            <a:rPr lang="he-IL" sz="1100" baseline="0"/>
            <a:t>לינארי - בראון</a:t>
          </a:r>
        </a:p>
      </xdr:txBody>
    </xdr:sp>
    <xdr:clientData/>
  </xdr:twoCellAnchor>
  <xdr:twoCellAnchor>
    <xdr:from>
      <xdr:col>16</xdr:col>
      <xdr:colOff>47625</xdr:colOff>
      <xdr:row>34</xdr:row>
      <xdr:rowOff>1</xdr:rowOff>
    </xdr:from>
    <xdr:to>
      <xdr:col>18</xdr:col>
      <xdr:colOff>304800</xdr:colOff>
      <xdr:row>37</xdr:row>
      <xdr:rowOff>133351</xdr:rowOff>
    </xdr:to>
    <xdr:sp macro="[0]!אקספו_הולט" textlink="">
      <xdr:nvSpPr>
        <xdr:cNvPr id="11" name="מלבן: פינות מעוגלות 10">
          <a:extLst>
            <a:ext uri="{FF2B5EF4-FFF2-40B4-BE49-F238E27FC236}">
              <a16:creationId xmlns:a16="http://schemas.microsoft.com/office/drawing/2014/main" id="{2EF7C84E-72C7-13D7-8FA3-0E506D1EBE4B}"/>
            </a:ext>
          </a:extLst>
        </xdr:cNvPr>
        <xdr:cNvSpPr/>
      </xdr:nvSpPr>
      <xdr:spPr>
        <a:xfrm>
          <a:off x="10913059200" y="5829301"/>
          <a:ext cx="1590675" cy="6477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he-IL" sz="1100"/>
            <a:t>הפעלת</a:t>
          </a:r>
          <a:r>
            <a:rPr lang="he-IL" sz="1100" baseline="0"/>
            <a:t> סולבר</a:t>
          </a:r>
        </a:p>
        <a:p>
          <a:pPr algn="ctr" rtl="1"/>
          <a:r>
            <a:rPr lang="he-IL" sz="1100" baseline="0"/>
            <a:t>אקספוננציאלי הולט</a:t>
          </a:r>
          <a:endParaRPr lang="he-IL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rel\Desktop\&#1502;&#1488;&#1497;&#1510;&#1497;&#1511;.xlsm" TargetMode="External"/><Relationship Id="rId1" Type="http://schemas.openxmlformats.org/officeDocument/2006/relationships/externalLinkPath" Target="/Users/barel/Desktop/&#1502;&#1488;&#1497;&#1510;&#1497;&#151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גליון פתיחה"/>
      <sheetName val="הזנת נתונים"/>
      <sheetName val="המרה למערך עונתי"/>
      <sheetName val="קבוע בזמן- ממוצע פשוט"/>
      <sheetName val="קבוע בזמן - ממוצע נע"/>
      <sheetName val="קבוע בזמן - החלקה אקספוננציאלית"/>
      <sheetName val="לינארי-רגרסיה"/>
      <sheetName val="לינארי - הולט"/>
      <sheetName val="לינארי-ממוצע נע כפול"/>
      <sheetName val="לינארי בראון"/>
      <sheetName val="אקספו' ריגרסיה"/>
      <sheetName val="אקספו' הולט"/>
      <sheetName val="מעריכי רגרסיה"/>
      <sheetName val="עונתי קבוע- דקומפוזיציה "/>
      <sheetName val="עונתי לינארי- דקומפוזיציה"/>
      <sheetName val="עונתי אקספו'- דקומפוזיציה"/>
    </sheetNames>
    <sheetDataSet>
      <sheetData sheetId="0" refreshError="1"/>
      <sheetData sheetId="1">
        <row r="1">
          <cell r="A1">
            <v>28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L1">
            <v>0.1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9E0B7-BB56-4978-ADD7-055315EC039F}">
  <sheetPr codeName="גיליון1">
    <tabColor rgb="FF7030A0"/>
  </sheetPr>
  <dimension ref="A1:V67"/>
  <sheetViews>
    <sheetView rightToLeft="1" tabSelected="1" topLeftCell="A2" zoomScale="70" zoomScaleNormal="70" workbookViewId="0">
      <selection activeCell="C6" sqref="C6"/>
    </sheetView>
  </sheetViews>
  <sheetFormatPr defaultRowHeight="13.8" x14ac:dyDescent="0.25"/>
  <cols>
    <col min="2" max="2" width="11.19921875" customWidth="1"/>
    <col min="5" max="5" width="30.09765625" customWidth="1"/>
    <col min="6" max="6" width="11.796875" customWidth="1"/>
    <col min="7" max="7" width="12.8984375" customWidth="1"/>
    <col min="8" max="8" width="13.19921875" customWidth="1"/>
    <col min="9" max="9" width="25.09765625" customWidth="1"/>
    <col min="10" max="10" width="16" customWidth="1"/>
    <col min="11" max="11" width="9.796875" customWidth="1"/>
    <col min="21" max="21" width="12.8984375" bestFit="1" customWidth="1"/>
  </cols>
  <sheetData>
    <row r="1" spans="1:22" x14ac:dyDescent="0.25">
      <c r="A1" s="69" t="s">
        <v>46</v>
      </c>
      <c r="B1" s="69"/>
      <c r="E1" s="21" t="s">
        <v>50</v>
      </c>
    </row>
    <row r="3" spans="1:22" x14ac:dyDescent="0.25">
      <c r="A3" s="14" t="s">
        <v>47</v>
      </c>
      <c r="B3">
        <v>315518522</v>
      </c>
    </row>
    <row r="4" spans="1:22" x14ac:dyDescent="0.25">
      <c r="A4" s="84"/>
    </row>
    <row r="6" spans="1:22" x14ac:dyDescent="0.25">
      <c r="A6" s="68" t="s">
        <v>48</v>
      </c>
      <c r="B6" s="68"/>
    </row>
    <row r="7" spans="1:22" x14ac:dyDescent="0.25">
      <c r="A7" s="12" t="s">
        <v>49</v>
      </c>
      <c r="B7" s="13" t="s">
        <v>0</v>
      </c>
      <c r="E7" s="70" t="s">
        <v>82</v>
      </c>
      <c r="F7" s="71" t="s">
        <v>103</v>
      </c>
      <c r="G7" s="71" t="s">
        <v>104</v>
      </c>
      <c r="H7" s="71" t="s">
        <v>105</v>
      </c>
      <c r="I7" s="71" t="s">
        <v>86</v>
      </c>
      <c r="J7" s="70" t="s">
        <v>22</v>
      </c>
      <c r="K7" s="70" t="s">
        <v>6</v>
      </c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22" x14ac:dyDescent="0.25">
      <c r="A8" s="7">
        <v>1</v>
      </c>
      <c r="B8" s="23">
        <v>28</v>
      </c>
      <c r="E8" s="70"/>
      <c r="F8" s="72"/>
      <c r="G8" s="72"/>
      <c r="H8" s="72"/>
      <c r="I8" s="72"/>
      <c r="J8" s="70"/>
      <c r="K8" s="54">
        <v>61</v>
      </c>
      <c r="L8" s="54">
        <v>62</v>
      </c>
      <c r="M8" s="54">
        <v>63</v>
      </c>
      <c r="N8" s="54">
        <v>64</v>
      </c>
      <c r="O8" s="54">
        <v>65</v>
      </c>
      <c r="P8" s="54">
        <v>66</v>
      </c>
      <c r="Q8" s="54">
        <v>67</v>
      </c>
      <c r="R8" s="54">
        <v>68</v>
      </c>
      <c r="S8" s="54">
        <v>69</v>
      </c>
      <c r="T8" s="54">
        <v>70</v>
      </c>
      <c r="U8" s="54">
        <v>71</v>
      </c>
      <c r="V8" s="54">
        <v>72</v>
      </c>
    </row>
    <row r="9" spans="1:22" x14ac:dyDescent="0.25">
      <c r="A9" s="7">
        <v>2</v>
      </c>
      <c r="B9" s="23">
        <v>35</v>
      </c>
      <c r="E9" s="46" t="s">
        <v>83</v>
      </c>
      <c r="F9" s="50" t="s">
        <v>101</v>
      </c>
      <c r="G9" s="50" t="s">
        <v>101</v>
      </c>
      <c r="H9" s="50" t="s">
        <v>101</v>
      </c>
      <c r="I9" s="62" t="s">
        <v>108</v>
      </c>
      <c r="J9" s="55">
        <f>'קבוע בזמן- ממוצע פשוט'!A8</f>
        <v>37752.403755576648</v>
      </c>
      <c r="K9" s="41">
        <f>'קבוע בזמן- ממוצע פשוט'!C14</f>
        <v>346.30000000000126</v>
      </c>
      <c r="L9" s="41">
        <f>'קבוע בזמן- ממוצע פשוט'!D14</f>
        <v>346.30000000000126</v>
      </c>
      <c r="M9" s="41">
        <f>'קבוע בזמן- ממוצע פשוט'!E14</f>
        <v>346.30000000000126</v>
      </c>
      <c r="N9" s="41">
        <f>'קבוע בזמן- ממוצע פשוט'!F14</f>
        <v>346.30000000000126</v>
      </c>
      <c r="O9" s="41">
        <f>'קבוע בזמן- ממוצע פשוט'!G14</f>
        <v>346.30000000000126</v>
      </c>
      <c r="P9" s="41">
        <f>'קבוע בזמן- ממוצע פשוט'!H14</f>
        <v>346.30000000000126</v>
      </c>
      <c r="Q9" s="41">
        <f>'קבוע בזמן- ממוצע פשוט'!I14</f>
        <v>346.30000000000126</v>
      </c>
      <c r="R9" s="41">
        <f>'קבוע בזמן- ממוצע פשוט'!J14</f>
        <v>346.30000000000126</v>
      </c>
      <c r="S9" s="41">
        <f>'קבוע בזמן- ממוצע פשוט'!K14</f>
        <v>346.30000000000126</v>
      </c>
      <c r="T9" s="41">
        <f>'קבוע בזמן- ממוצע פשוט'!L14</f>
        <v>346.30000000000126</v>
      </c>
      <c r="U9" s="41">
        <f>'קבוע בזמן- ממוצע פשוט'!M14</f>
        <v>346.30000000000126</v>
      </c>
      <c r="V9" s="41">
        <f>'קבוע בזמן- ממוצע פשוט'!N14</f>
        <v>346.30000000000126</v>
      </c>
    </row>
    <row r="10" spans="1:22" x14ac:dyDescent="0.25">
      <c r="A10" s="7">
        <v>3</v>
      </c>
      <c r="B10" s="23">
        <v>40</v>
      </c>
      <c r="E10" s="46" t="s">
        <v>84</v>
      </c>
      <c r="F10" s="1">
        <f>VLOOKUP(J10,'קבוע בזמן - ממוצע נע'!E433:F462,2,FALSE)</f>
        <v>2</v>
      </c>
      <c r="G10" s="50" t="s">
        <v>101</v>
      </c>
      <c r="H10" s="50" t="s">
        <v>101</v>
      </c>
      <c r="I10" s="62" t="s">
        <v>108</v>
      </c>
      <c r="J10" s="55">
        <f>MIN('קבוע בזמן - ממוצע נע'!E434:E462)</f>
        <v>271.18055555555753</v>
      </c>
      <c r="K10" s="41">
        <f>VLOOKUP(J10,'קבוע בזמן - ממוצע נע'!E434:G462,3,FALSE)</f>
        <v>665.16666666666902</v>
      </c>
      <c r="L10" s="41">
        <f>$K$10</f>
        <v>665.16666666666902</v>
      </c>
      <c r="M10" s="41">
        <f t="shared" ref="M10:V10" si="0">$K$10</f>
        <v>665.16666666666902</v>
      </c>
      <c r="N10" s="41">
        <f t="shared" si="0"/>
        <v>665.16666666666902</v>
      </c>
      <c r="O10" s="41">
        <f t="shared" si="0"/>
        <v>665.16666666666902</v>
      </c>
      <c r="P10" s="41">
        <f t="shared" si="0"/>
        <v>665.16666666666902</v>
      </c>
      <c r="Q10" s="41">
        <f t="shared" si="0"/>
        <v>665.16666666666902</v>
      </c>
      <c r="R10" s="41">
        <f t="shared" si="0"/>
        <v>665.16666666666902</v>
      </c>
      <c r="S10" s="41">
        <f t="shared" si="0"/>
        <v>665.16666666666902</v>
      </c>
      <c r="T10" s="41">
        <f t="shared" si="0"/>
        <v>665.16666666666902</v>
      </c>
      <c r="U10" s="41">
        <f t="shared" si="0"/>
        <v>665.16666666666902</v>
      </c>
      <c r="V10" s="41">
        <f t="shared" si="0"/>
        <v>665.16666666666902</v>
      </c>
    </row>
    <row r="11" spans="1:22" x14ac:dyDescent="0.25">
      <c r="A11" s="7">
        <v>4</v>
      </c>
      <c r="B11" s="23">
        <v>55</v>
      </c>
      <c r="E11" s="46" t="s">
        <v>85</v>
      </c>
      <c r="F11" s="50" t="s">
        <v>101</v>
      </c>
      <c r="G11" s="50">
        <f>'קבוע בזמן - החלקה אקספוננציאלית'!B1</f>
        <v>0.3</v>
      </c>
      <c r="H11" s="50" t="s">
        <v>101</v>
      </c>
      <c r="I11" s="62" t="s">
        <v>108</v>
      </c>
      <c r="J11" s="55">
        <f>'קבוע בזמן - החלקה אקספוננציאלית'!B2</f>
        <v>1246.1750161636237</v>
      </c>
      <c r="K11" s="41">
        <f>'קבוע בזמן - החלקה אקספוננציאלית'!I6</f>
        <v>645.00000002430465</v>
      </c>
      <c r="L11" s="41">
        <f>'קבוע בזמן - החלקה אקספוננציאלית'!I7</f>
        <v>645.00000002430465</v>
      </c>
      <c r="M11" s="41">
        <f>'קבוע בזמן - החלקה אקספוננציאלית'!I8</f>
        <v>645.00000002430465</v>
      </c>
      <c r="N11" s="41">
        <f>'קבוע בזמן - החלקה אקספוננציאלית'!I9</f>
        <v>645.00000002430465</v>
      </c>
      <c r="O11" s="41">
        <f>'קבוע בזמן - החלקה אקספוננציאלית'!I10</f>
        <v>645.00000002430465</v>
      </c>
      <c r="P11" s="41">
        <f>'קבוע בזמן - החלקה אקספוננציאלית'!I11</f>
        <v>645.00000002430465</v>
      </c>
      <c r="Q11" s="41">
        <f>'קבוע בזמן - החלקה אקספוננציאלית'!I12</f>
        <v>645.00000002430465</v>
      </c>
      <c r="R11" s="41">
        <f>'קבוע בזמן - החלקה אקספוננציאלית'!I13</f>
        <v>645.00000002430465</v>
      </c>
      <c r="S11" s="41">
        <f>'קבוע בזמן - החלקה אקספוננציאלית'!I14</f>
        <v>645.00000002430465</v>
      </c>
      <c r="T11" s="41">
        <f>'קבוע בזמן - החלקה אקספוננציאלית'!I15</f>
        <v>645.00000002430465</v>
      </c>
      <c r="U11" s="41">
        <f>'קבוע בזמן - החלקה אקספוננציאלית'!I16</f>
        <v>645.00000002430465</v>
      </c>
      <c r="V11" s="41">
        <f>'קבוע בזמן - החלקה אקספוננציאלית'!I17</f>
        <v>645.00000002430465</v>
      </c>
    </row>
    <row r="12" spans="1:22" x14ac:dyDescent="0.25">
      <c r="A12" s="7">
        <v>5</v>
      </c>
      <c r="B12" s="23">
        <v>70</v>
      </c>
      <c r="E12" s="46" t="s">
        <v>87</v>
      </c>
      <c r="F12" s="50" t="s">
        <v>101</v>
      </c>
      <c r="G12" s="50" t="s">
        <v>101</v>
      </c>
      <c r="H12" s="50" t="s">
        <v>101</v>
      </c>
      <c r="I12" s="62" t="s">
        <v>107</v>
      </c>
      <c r="J12" s="55">
        <f>'לינארי-רגרסיה'!B64</f>
        <v>0.58636273824250928</v>
      </c>
      <c r="K12" s="41">
        <f>'לינארי-רגרסיה'!B67</f>
        <v>681.40847457627376</v>
      </c>
      <c r="L12" s="41">
        <f>'לינארי-רגרסיה'!C67</f>
        <v>692.39563767713514</v>
      </c>
      <c r="M12" s="41">
        <f>'לינארי-רגרסיה'!D67</f>
        <v>703.38280077799652</v>
      </c>
      <c r="N12" s="41">
        <f>'לינארי-רגרסיה'!E67</f>
        <v>714.3699638788579</v>
      </c>
      <c r="O12" s="41">
        <f>'לינארי-רגרסיה'!F67</f>
        <v>725.35712697971928</v>
      </c>
      <c r="P12" s="41">
        <f>'לינארי-רגרסיה'!G67</f>
        <v>736.34429008058066</v>
      </c>
      <c r="Q12" s="41">
        <f>'לינארי-רגרסיה'!H67</f>
        <v>747.33145318144204</v>
      </c>
      <c r="R12" s="41">
        <f>'לינארי-רגרסיה'!I67</f>
        <v>758.31861628230342</v>
      </c>
      <c r="S12" s="41">
        <f>'לינארי-רגרסיה'!J67</f>
        <v>769.3057793831648</v>
      </c>
      <c r="T12" s="41">
        <f>'לינארי-רגרסיה'!K67</f>
        <v>780.2929424840263</v>
      </c>
      <c r="U12" s="41">
        <f>'לינארי-רגרסיה'!L67</f>
        <v>791.28010558488768</v>
      </c>
      <c r="V12" s="41">
        <f>'לינארי-רגרסיה'!M67</f>
        <v>802.26726868574906</v>
      </c>
    </row>
    <row r="13" spans="1:22" x14ac:dyDescent="0.25">
      <c r="A13" s="7">
        <v>6</v>
      </c>
      <c r="B13" s="23">
        <v>75</v>
      </c>
      <c r="E13" s="46" t="s">
        <v>88</v>
      </c>
      <c r="F13" s="50" t="s">
        <v>101</v>
      </c>
      <c r="G13" s="1">
        <f>'לינארי - הולט'!B1</f>
        <v>0.3</v>
      </c>
      <c r="H13" s="1">
        <f>'לינארי - הולט'!B2</f>
        <v>0.1</v>
      </c>
      <c r="I13" s="62" t="s">
        <v>113</v>
      </c>
      <c r="J13" s="55">
        <f>'לינארי - הולט'!B4</f>
        <v>2.1417303561809349</v>
      </c>
      <c r="K13" s="41">
        <f>'לינארי - הולט'!B91</f>
        <v>681.66683126872158</v>
      </c>
      <c r="L13" s="41">
        <f>'לינארי - הולט'!C91</f>
        <v>692.66689115574081</v>
      </c>
      <c r="M13" s="41">
        <f>'לינארי - הולט'!D91</f>
        <v>703.66695104276005</v>
      </c>
      <c r="N13" s="41">
        <f>'לינארי - הולט'!E91</f>
        <v>714.66701092977928</v>
      </c>
      <c r="O13" s="41">
        <f>'לינארי - הולט'!F91</f>
        <v>725.66707081679851</v>
      </c>
      <c r="P13" s="41">
        <f>'לינארי - הולט'!G91</f>
        <v>736.66713070381775</v>
      </c>
      <c r="Q13" s="41">
        <f>'לינארי - הולט'!H91</f>
        <v>747.66719059083698</v>
      </c>
      <c r="R13" s="41">
        <f>'לינארי - הולט'!I91</f>
        <v>758.66725047785621</v>
      </c>
      <c r="S13" s="41">
        <f>'לינארי - הולט'!J91</f>
        <v>769.66731036487545</v>
      </c>
      <c r="T13" s="41">
        <f>'לינארי - הולט'!K91</f>
        <v>780.66737025189468</v>
      </c>
      <c r="U13" s="41">
        <f>'לינארי - הולט'!L91</f>
        <v>791.66743013891391</v>
      </c>
      <c r="V13" s="41">
        <f>'לינארי - הולט'!M91</f>
        <v>802.66749002593315</v>
      </c>
    </row>
    <row r="14" spans="1:22" x14ac:dyDescent="0.25">
      <c r="A14" s="7">
        <v>7</v>
      </c>
      <c r="B14" s="23">
        <v>87.6666666666667</v>
      </c>
      <c r="E14" s="46" t="s">
        <v>89</v>
      </c>
      <c r="F14" s="1">
        <f>VLOOKUP(J14,'לינארי-ממוצע נע כפול'!AE261:AF279,2,FALSE)</f>
        <v>20</v>
      </c>
      <c r="G14" s="50" t="s">
        <v>101</v>
      </c>
      <c r="H14" s="50" t="s">
        <v>101</v>
      </c>
      <c r="I14" s="62" t="s">
        <v>113</v>
      </c>
      <c r="J14" s="55">
        <f>MIN('לינארי-ממוצע נע כפול'!AE261:AE279)</f>
        <v>8.1763619578988453E-5</v>
      </c>
      <c r="K14" s="41">
        <f>VLOOKUP(J14,'לינארי-ממוצע נע כפול'!AE261:AR279,3,FALSE)</f>
        <v>681.66666666666947</v>
      </c>
      <c r="L14" s="41">
        <f>VLOOKUP(J14,'לינארי-ממוצע נע כפול'!AE261:AR279,4,FALSE)</f>
        <v>692.66666666666958</v>
      </c>
      <c r="M14" s="41">
        <f>VLOOKUP(J14,'לינארי-ממוצע נע כפול'!AE261:AR279,5,FALSE)</f>
        <v>703.66666666666958</v>
      </c>
      <c r="N14" s="41">
        <f>VLOOKUP(J14,'לינארי-ממוצע נע כפול'!AE261:AR279,6,FALSE)</f>
        <v>714.6666666666697</v>
      </c>
      <c r="O14" s="41">
        <f>VLOOKUP(J14,'לינארי-ממוצע נע כפול'!AE261:AR279,7,FALSE)</f>
        <v>725.6666666666697</v>
      </c>
      <c r="P14" s="41">
        <f>VLOOKUP(J14,'לינארי-ממוצע נע כפול'!AE261:AR279,8,FALSE)</f>
        <v>736.6666666666697</v>
      </c>
      <c r="Q14" s="41">
        <f>VLOOKUP(J14,'לינארי-ממוצע נע כפול'!AE261:AR279,9,FALSE)</f>
        <v>747.66666666666981</v>
      </c>
      <c r="R14" s="41">
        <f>VLOOKUP(J14,'לינארי-ממוצע נע כפול'!AE261:AR279,10,FALSE)</f>
        <v>758.66666666666981</v>
      </c>
      <c r="S14" s="41">
        <f>VLOOKUP(J14,'לינארי-ממוצע נע כפול'!AE261:AR279,11,FALSE)</f>
        <v>769.66666666666981</v>
      </c>
      <c r="T14" s="41">
        <f>VLOOKUP(J14,'לינארי-ממוצע נע כפול'!AE261:AR279,12,FALSE)</f>
        <v>780.66666666666993</v>
      </c>
      <c r="U14" s="41">
        <f>VLOOKUP(J14,'לינארי-ממוצע נע כפול'!AE261:AR279,13,FALSE)</f>
        <v>791.66666666666993</v>
      </c>
      <c r="V14" s="41">
        <f>VLOOKUP(J14,'לינארי-ממוצע נע כפול'!AE261:AR279,14,FALSE)</f>
        <v>802.66666666666993</v>
      </c>
    </row>
    <row r="15" spans="1:22" x14ac:dyDescent="0.25">
      <c r="A15" s="7">
        <v>8</v>
      </c>
      <c r="B15" s="23">
        <v>98.6666666666667</v>
      </c>
      <c r="E15" s="46" t="s">
        <v>90</v>
      </c>
      <c r="F15" s="50" t="s">
        <v>101</v>
      </c>
      <c r="G15" s="1">
        <f>alpha_brown</f>
        <v>0.1</v>
      </c>
      <c r="H15" s="50" t="s">
        <v>101</v>
      </c>
      <c r="I15" s="62" t="s">
        <v>113</v>
      </c>
      <c r="J15" s="55">
        <f>'לינארי בראון'!J27</f>
        <v>8.025293228103561E-2</v>
      </c>
      <c r="K15" s="41">
        <f>'לינארי בראון'!A84</f>
        <v>681.61557466104261</v>
      </c>
      <c r="L15" s="41">
        <f>'לינארי בראון'!B84</f>
        <v>692.60896196963176</v>
      </c>
      <c r="M15" s="41">
        <f>'לינארי בראון'!C84</f>
        <v>703.60234927822091</v>
      </c>
      <c r="N15" s="41">
        <f>'לינארי בראון'!D84</f>
        <v>714.59573658681006</v>
      </c>
      <c r="O15" s="41">
        <f>'לינארי בראון'!E84</f>
        <v>725.5891238953991</v>
      </c>
      <c r="P15" s="41">
        <f>'לינארי בראון'!F84</f>
        <v>736.58251120398825</v>
      </c>
      <c r="Q15" s="41">
        <f>'לינארי בראון'!G84</f>
        <v>747.5758985125774</v>
      </c>
      <c r="R15" s="41">
        <f>'לינארי בראון'!H84</f>
        <v>758.56928582116655</v>
      </c>
      <c r="S15" s="41">
        <f>'לינארי בראון'!I84</f>
        <v>769.56267312975569</v>
      </c>
      <c r="T15" s="41">
        <f>'לינארי בראון'!J84</f>
        <v>780.55606043834484</v>
      </c>
      <c r="U15" s="41">
        <f>'לינארי בראון'!K84</f>
        <v>791.54944774693399</v>
      </c>
      <c r="V15" s="41">
        <f>'לינארי בראון'!L84</f>
        <v>802.54283505552314</v>
      </c>
    </row>
    <row r="16" spans="1:22" x14ac:dyDescent="0.25">
      <c r="A16" s="7">
        <v>9</v>
      </c>
      <c r="B16" s="23">
        <v>109.666666666667</v>
      </c>
      <c r="E16" s="46" t="s">
        <v>91</v>
      </c>
      <c r="F16" s="50" t="s">
        <v>101</v>
      </c>
      <c r="G16" s="50" t="s">
        <v>101</v>
      </c>
      <c r="H16" s="50" t="s">
        <v>101</v>
      </c>
      <c r="I16" s="62" t="s">
        <v>106</v>
      </c>
      <c r="J16" s="55">
        <f>'אקספו'' ריגרסיה'!B64</f>
        <v>1910.110119008689</v>
      </c>
      <c r="K16" s="41">
        <f>'אקספו'' ריגרסיה'!B67</f>
        <v>767.93706487043039</v>
      </c>
      <c r="L16" s="41">
        <f>'אקספו'' ריגרסיה'!C67</f>
        <v>788.75795171381458</v>
      </c>
      <c r="M16" s="41">
        <f>'אקספו'' ריגרסיה'!D67</f>
        <v>809.9173895627822</v>
      </c>
      <c r="N16" s="41">
        <f>'אקספו'' ריגרסיה'!E67</f>
        <v>831.41537841733339</v>
      </c>
      <c r="O16" s="41">
        <f>'אקספו'' ריגרסיה'!F67</f>
        <v>853.25191827746801</v>
      </c>
      <c r="P16" s="41">
        <f>'אקספו'' ריגרסיה'!G67</f>
        <v>875.42700914318618</v>
      </c>
      <c r="Q16" s="41">
        <f>'אקספו'' ריגרסיה'!H67</f>
        <v>897.94065101448768</v>
      </c>
      <c r="R16" s="41">
        <f>'אקספו'' ריגרסיה'!I67</f>
        <v>920.79284389137285</v>
      </c>
      <c r="S16" s="41">
        <f>'אקספו'' ריגרסיה'!J67</f>
        <v>943.98358777384135</v>
      </c>
      <c r="T16" s="41">
        <f>'אקספו'' ריגרסיה'!K67</f>
        <v>967.5128826618934</v>
      </c>
      <c r="U16" s="41">
        <f>'אקספו'' ריגרסיה'!L67</f>
        <v>991.380728555529</v>
      </c>
      <c r="V16" s="41">
        <f>'אקספו'' ריגרסיה'!M67</f>
        <v>1015.5871254547479</v>
      </c>
    </row>
    <row r="17" spans="1:22" x14ac:dyDescent="0.25">
      <c r="A17" s="7">
        <v>10</v>
      </c>
      <c r="B17" s="23">
        <v>120.666666666667</v>
      </c>
      <c r="E17" s="46" t="s">
        <v>92</v>
      </c>
      <c r="F17" s="50" t="s">
        <v>101</v>
      </c>
      <c r="G17" s="1">
        <f>'אקספו'' הולט'!B1</f>
        <v>0.3</v>
      </c>
      <c r="H17" s="1">
        <f>'אקספו'' הולט'!B2</f>
        <v>0.3</v>
      </c>
      <c r="I17" s="62" t="s">
        <v>114</v>
      </c>
      <c r="J17" s="55">
        <f>'אקספו'' הולט'!B4</f>
        <v>1415.3328552726684</v>
      </c>
      <c r="K17" s="41">
        <f>'אקספו'' הולט'!D89</f>
        <v>683.9083134225657</v>
      </c>
      <c r="L17" s="41">
        <f>'אקספו'' הולט'!E89</f>
        <v>695.73659797317521</v>
      </c>
      <c r="M17" s="41">
        <f>'אקספו'' הולט'!F89</f>
        <v>707.75721235387584</v>
      </c>
      <c r="N17" s="41">
        <f>'אקספו'' הולט'!G89</f>
        <v>719.97015656466783</v>
      </c>
      <c r="O17" s="41">
        <f>'אקספו'' הולט'!H89</f>
        <v>732.37543060555095</v>
      </c>
      <c r="P17" s="41">
        <f>'אקספו'' הולט'!I89</f>
        <v>744.9730344765253</v>
      </c>
      <c r="Q17" s="41">
        <f>'אקספו'' הולט'!J89</f>
        <v>757.76296817759078</v>
      </c>
      <c r="R17" s="41">
        <f>'אקספו'' הולט'!K89</f>
        <v>770.7452317087475</v>
      </c>
      <c r="S17" s="41">
        <f>'אקספו'' הולט'!L89</f>
        <v>783.91982506999557</v>
      </c>
      <c r="T17" s="41">
        <f>'אקספו'' הולט'!M89</f>
        <v>797.28674826133465</v>
      </c>
      <c r="U17" s="41">
        <f>'אקספו'' הולט'!N89</f>
        <v>810.84600128276509</v>
      </c>
      <c r="V17" s="41">
        <f>'אקספו'' הולט'!O89</f>
        <v>824.59758413428665</v>
      </c>
    </row>
    <row r="18" spans="1:22" x14ac:dyDescent="0.25">
      <c r="A18" s="7">
        <v>11</v>
      </c>
      <c r="B18" s="23">
        <v>131.666666666667</v>
      </c>
      <c r="E18" s="46" t="s">
        <v>93</v>
      </c>
      <c r="F18" s="50" t="s">
        <v>101</v>
      </c>
      <c r="G18" s="50" t="s">
        <v>101</v>
      </c>
      <c r="H18" s="50" t="s">
        <v>101</v>
      </c>
      <c r="I18" s="62" t="s">
        <v>109</v>
      </c>
      <c r="J18" s="55">
        <f>'מעריכי רגרסיה'!B64</f>
        <v>129788.21588092291</v>
      </c>
      <c r="K18" s="41">
        <f>'מעריכי רגרסיה'!B68</f>
        <v>1003.7788585612381</v>
      </c>
      <c r="L18" s="41">
        <f>'מעריכי רגרסיה'!C68</f>
        <v>1047.4336322743095</v>
      </c>
      <c r="M18" s="41">
        <f>'מעריכי רגרסיה'!D68</f>
        <v>1092.9869708472452</v>
      </c>
      <c r="N18" s="41">
        <f>'מעריכי רגרסיה'!E68</f>
        <v>1140.5214436812939</v>
      </c>
      <c r="O18" s="41">
        <f>'מעריכי רגרסיה'!F68</f>
        <v>1190.1232111564304</v>
      </c>
      <c r="P18" s="41">
        <f>'מעריכי רגרסיה'!G68</f>
        <v>1241.882180804562</v>
      </c>
      <c r="Q18" s="41">
        <f>'מעריכי רגרסיה'!H68</f>
        <v>1295.8921702747789</v>
      </c>
      <c r="R18" s="41">
        <f>'מעריכי רגרסיה'!I68</f>
        <v>1352.2510773860261</v>
      </c>
      <c r="S18" s="41">
        <f>'מעריכי רגרסיה'!J68</f>
        <v>1411.0610575754451</v>
      </c>
      <c r="T18" s="41">
        <f>'מעריכי רגרסיה'!K68</f>
        <v>1472.4287090640169</v>
      </c>
      <c r="U18" s="41">
        <f>'מעריכי רגרסיה'!L68</f>
        <v>1536.4652660751428</v>
      </c>
      <c r="V18" s="41">
        <f>'מעריכי רגרסיה'!M68</f>
        <v>1603.2868004563757</v>
      </c>
    </row>
    <row r="19" spans="1:22" x14ac:dyDescent="0.25">
      <c r="A19" s="7">
        <v>12</v>
      </c>
      <c r="B19" s="23">
        <v>142.666666666667</v>
      </c>
      <c r="E19" s="46" t="s">
        <v>94</v>
      </c>
      <c r="F19" s="50" t="s">
        <v>101</v>
      </c>
      <c r="G19" s="50" t="s">
        <v>101</v>
      </c>
      <c r="H19" s="50" t="s">
        <v>101</v>
      </c>
      <c r="I19" s="62" t="s">
        <v>112</v>
      </c>
      <c r="J19" s="55">
        <f>'עונתי קבוע- דקומפוזיציה '!F45</f>
        <v>118232.48195112796</v>
      </c>
      <c r="K19" s="41">
        <f>'עונתי קבוע- דקומפוזיציה '!B38</f>
        <v>256.23045623399031</v>
      </c>
      <c r="L19" s="41">
        <f>'עונתי קבוע- דקומפוזיציה '!C38</f>
        <v>270.85927721367898</v>
      </c>
      <c r="M19" s="41">
        <f>'עונתי קבוע- דקומפוזיציה '!D38</f>
        <v>283.79548501386722</v>
      </c>
      <c r="N19" s="41">
        <f>'עונתי קבוע- דקומפוזיציה '!E38</f>
        <v>305.1947587115572</v>
      </c>
      <c r="O19" s="41">
        <f>'עונתי קבוע- דקומפוזיציה '!F38</f>
        <v>326.59403240924723</v>
      </c>
      <c r="P19" s="41">
        <f>'עונתי קבוע- דקומפוזיציה '!G38</f>
        <v>339.53024020943548</v>
      </c>
      <c r="Q19" s="41">
        <f>'עונתי קבוע- דקומפוזיציה '!H38</f>
        <v>358.95479853104166</v>
      </c>
      <c r="R19" s="41">
        <f>'עונתי קבוע- דקומפוזיציה '!I38</f>
        <v>376.96884586973101</v>
      </c>
      <c r="S19" s="41">
        <f>'עונתי קבוע- דקומפוזיציה '!J38</f>
        <v>394.98289320842031</v>
      </c>
      <c r="T19" s="41">
        <f>'עונתי קבוע- דקומפוזיציה '!K38</f>
        <v>412.99694054710983</v>
      </c>
      <c r="U19" s="41">
        <f>'עונתי קבוע- דקומפוזיציה '!L38</f>
        <v>431.01098788579907</v>
      </c>
      <c r="V19" s="41">
        <f>'עונתי קבוע- דקומפוזיציה '!M38</f>
        <v>449.02503522448836</v>
      </c>
    </row>
    <row r="20" spans="1:22" x14ac:dyDescent="0.25">
      <c r="A20" s="7">
        <v>13</v>
      </c>
      <c r="B20" s="23">
        <v>153.666666666667</v>
      </c>
      <c r="E20" s="46" t="s">
        <v>95</v>
      </c>
      <c r="F20" s="50" t="s">
        <v>101</v>
      </c>
      <c r="G20" s="50" t="s">
        <v>101</v>
      </c>
      <c r="H20" s="50" t="s">
        <v>101</v>
      </c>
      <c r="I20" s="62" t="s">
        <v>110</v>
      </c>
      <c r="J20" s="55">
        <f>'עונתי לינארי- דקומפוזיציה'!F54</f>
        <v>7555.5615370179212</v>
      </c>
      <c r="K20" s="41">
        <f>'עונתי לינארי- דקומפוזיציה'!B46</f>
        <v>554.677075292871</v>
      </c>
      <c r="L20" s="41">
        <f>'עונתי לינארי- דקומפוזיציה'!C46</f>
        <v>586.34494083570382</v>
      </c>
      <c r="M20" s="41">
        <f>'עונתי לינארי- דקומפוזיציה'!D46</f>
        <v>614.34870749737115</v>
      </c>
      <c r="N20" s="41">
        <f>'עונתי לינארי- דקומפוזיציה'!E46</f>
        <v>660.67296856486462</v>
      </c>
      <c r="O20" s="41">
        <f>'עונתי לינארי- דקומפוזיציה'!F46</f>
        <v>706.99722963235831</v>
      </c>
      <c r="P20" s="41">
        <f>'עונתי לינארי- דקומפוזיציה'!G46</f>
        <v>735.00099629402564</v>
      </c>
      <c r="Q20" s="41">
        <f>'עונתי לינארי- דקומפוזיציה'!H46</f>
        <v>777.05047533349295</v>
      </c>
      <c r="R20" s="41">
        <f>'עונתי לינארי- דקומפוזיציה'!I46</f>
        <v>816.0465386386561</v>
      </c>
      <c r="S20" s="41">
        <f>'עונתי לינארי- דקומפוזיציה'!J46</f>
        <v>855.04260194381925</v>
      </c>
      <c r="T20" s="41">
        <f>'עונתי לינארי- דקומפוזיציה'!K46</f>
        <v>894.03866524898274</v>
      </c>
      <c r="U20" s="41">
        <f>'עונתי לינארי- דקומפוזיציה'!L46</f>
        <v>933.03472855414566</v>
      </c>
      <c r="V20" s="41">
        <f>'עונתי לינארי- דקומפוזיציה'!M46</f>
        <v>972.03079185930881</v>
      </c>
    </row>
    <row r="21" spans="1:22" x14ac:dyDescent="0.25">
      <c r="A21" s="7">
        <v>14</v>
      </c>
      <c r="B21" s="23">
        <v>164.666666666667</v>
      </c>
      <c r="E21" s="46" t="s">
        <v>96</v>
      </c>
      <c r="F21" s="50" t="s">
        <v>101</v>
      </c>
      <c r="G21" s="50" t="s">
        <v>101</v>
      </c>
      <c r="H21" s="50" t="s">
        <v>101</v>
      </c>
      <c r="I21" s="62" t="s">
        <v>111</v>
      </c>
      <c r="J21" s="55">
        <f>'עונתי אקספו''- דקומפוזיציה'!F58</f>
        <v>44389.859205560824</v>
      </c>
      <c r="K21" s="41">
        <f>'עונתי אקספו''- דקומפוזיציה'!B48</f>
        <v>655.30851133335398</v>
      </c>
      <c r="L21" s="41">
        <f>'עונתי אקספו''- דקומפוזיציה'!C48</f>
        <v>692.72167071986973</v>
      </c>
      <c r="M21" s="41">
        <f>'עונתי אקספו''- דקומפוזיציה'!D48</f>
        <v>725.80597771614214</v>
      </c>
      <c r="N21" s="41">
        <f>'עונתי אקספו''- דקומפוזיציה'!E48</f>
        <v>780.53454666363007</v>
      </c>
      <c r="O21" s="41">
        <f>'עונתי אקספו''- דקומפוזיציה'!F48</f>
        <v>835.26311561111811</v>
      </c>
      <c r="P21" s="41">
        <f>'עונתי אקספו''- דקומפוזיציה'!G48</f>
        <v>868.34742260739051</v>
      </c>
      <c r="Q21" s="41">
        <f>'עונתי אקספו''- דקומפוזיציה'!H48</f>
        <v>918.02566376626135</v>
      </c>
      <c r="R21" s="41">
        <f>'עונתי אקספו''- דקומפוזיציה'!I48</f>
        <v>964.09652793326313</v>
      </c>
      <c r="S21" s="41">
        <f>'עונתי אקספו''- דקומפוזיציה'!J48</f>
        <v>1010.1673921002649</v>
      </c>
      <c r="T21" s="41">
        <f>'עונתי אקספו''- דקומפוזיציה'!K48</f>
        <v>1056.2382562672672</v>
      </c>
      <c r="U21" s="41">
        <f>'עונתי אקספו''- דקומפוזיציה'!L48</f>
        <v>1102.3091204342688</v>
      </c>
      <c r="V21" s="41">
        <f>'עונתי אקספו''- דקומפוזיציה'!M48</f>
        <v>1148.3799846012705</v>
      </c>
    </row>
    <row r="22" spans="1:22" x14ac:dyDescent="0.25">
      <c r="A22" s="7">
        <v>15</v>
      </c>
      <c r="B22" s="23">
        <v>175.666666666667</v>
      </c>
    </row>
    <row r="23" spans="1:22" x14ac:dyDescent="0.25">
      <c r="A23" s="7">
        <v>16</v>
      </c>
      <c r="B23" s="23">
        <v>186.666666666667</v>
      </c>
    </row>
    <row r="24" spans="1:22" x14ac:dyDescent="0.25">
      <c r="A24" s="7">
        <v>17</v>
      </c>
      <c r="B24" s="23">
        <v>197.666666666667</v>
      </c>
    </row>
    <row r="25" spans="1:22" x14ac:dyDescent="0.25">
      <c r="A25" s="7">
        <v>18</v>
      </c>
      <c r="B25" s="23">
        <v>208.666666666667</v>
      </c>
    </row>
    <row r="26" spans="1:22" x14ac:dyDescent="0.25">
      <c r="A26" s="7">
        <v>19</v>
      </c>
      <c r="B26" s="23">
        <v>219.666666666667</v>
      </c>
    </row>
    <row r="27" spans="1:22" x14ac:dyDescent="0.25">
      <c r="A27" s="7">
        <v>20</v>
      </c>
      <c r="B27" s="23">
        <v>230.666666666667</v>
      </c>
    </row>
    <row r="28" spans="1:22" x14ac:dyDescent="0.25">
      <c r="A28" s="7">
        <v>21</v>
      </c>
      <c r="B28" s="23">
        <v>241.666666666667</v>
      </c>
    </row>
    <row r="29" spans="1:22" x14ac:dyDescent="0.25">
      <c r="A29" s="7">
        <v>22</v>
      </c>
      <c r="B29" s="23">
        <v>252.666666666667</v>
      </c>
    </row>
    <row r="30" spans="1:22" x14ac:dyDescent="0.25">
      <c r="A30" s="7">
        <v>23</v>
      </c>
      <c r="B30" s="23">
        <v>263.66666666666703</v>
      </c>
    </row>
    <row r="31" spans="1:22" x14ac:dyDescent="0.25">
      <c r="A31" s="7">
        <v>24</v>
      </c>
      <c r="B31" s="23">
        <v>274.66666666666703</v>
      </c>
    </row>
    <row r="32" spans="1:22" x14ac:dyDescent="0.25">
      <c r="A32" s="7">
        <v>25</v>
      </c>
      <c r="B32" s="23">
        <v>285.66666666666799</v>
      </c>
    </row>
    <row r="33" spans="1:2" x14ac:dyDescent="0.25">
      <c r="A33" s="7">
        <v>26</v>
      </c>
      <c r="B33" s="23">
        <v>296.66666666666799</v>
      </c>
    </row>
    <row r="34" spans="1:2" x14ac:dyDescent="0.25">
      <c r="A34" s="7">
        <v>27</v>
      </c>
      <c r="B34" s="23">
        <v>307.66666666666799</v>
      </c>
    </row>
    <row r="35" spans="1:2" x14ac:dyDescent="0.25">
      <c r="A35" s="7">
        <v>28</v>
      </c>
      <c r="B35" s="23">
        <v>318.66666666666799</v>
      </c>
    </row>
    <row r="36" spans="1:2" x14ac:dyDescent="0.25">
      <c r="A36" s="7">
        <v>29</v>
      </c>
      <c r="B36" s="23">
        <v>329.66666666666799</v>
      </c>
    </row>
    <row r="37" spans="1:2" x14ac:dyDescent="0.25">
      <c r="A37" s="7">
        <v>30</v>
      </c>
      <c r="B37" s="23">
        <v>340.66666666666799</v>
      </c>
    </row>
    <row r="38" spans="1:2" x14ac:dyDescent="0.25">
      <c r="A38" s="7">
        <v>31</v>
      </c>
      <c r="B38" s="23">
        <v>351.66666666666799</v>
      </c>
    </row>
    <row r="39" spans="1:2" x14ac:dyDescent="0.25">
      <c r="A39" s="7">
        <v>32</v>
      </c>
      <c r="B39" s="23">
        <v>362.66666666666799</v>
      </c>
    </row>
    <row r="40" spans="1:2" x14ac:dyDescent="0.25">
      <c r="A40" s="7">
        <v>33</v>
      </c>
      <c r="B40" s="23">
        <v>373.66666666666799</v>
      </c>
    </row>
    <row r="41" spans="1:2" x14ac:dyDescent="0.25">
      <c r="A41" s="7">
        <v>34</v>
      </c>
      <c r="B41" s="23">
        <v>384.66666666666799</v>
      </c>
    </row>
    <row r="42" spans="1:2" x14ac:dyDescent="0.25">
      <c r="A42" s="7">
        <v>35</v>
      </c>
      <c r="B42" s="23">
        <v>395.66666666666799</v>
      </c>
    </row>
    <row r="43" spans="1:2" x14ac:dyDescent="0.25">
      <c r="A43" s="7">
        <v>36</v>
      </c>
      <c r="B43" s="23">
        <v>406.66666666666799</v>
      </c>
    </row>
    <row r="44" spans="1:2" x14ac:dyDescent="0.25">
      <c r="A44" s="7">
        <v>37</v>
      </c>
      <c r="B44" s="23">
        <v>417.66666666666799</v>
      </c>
    </row>
    <row r="45" spans="1:2" x14ac:dyDescent="0.25">
      <c r="A45" s="7">
        <v>38</v>
      </c>
      <c r="B45" s="23">
        <v>428.66666666666902</v>
      </c>
    </row>
    <row r="46" spans="1:2" x14ac:dyDescent="0.25">
      <c r="A46" s="7">
        <v>39</v>
      </c>
      <c r="B46" s="23">
        <v>439.66666666666902</v>
      </c>
    </row>
    <row r="47" spans="1:2" x14ac:dyDescent="0.25">
      <c r="A47" s="7">
        <v>40</v>
      </c>
      <c r="B47" s="23">
        <v>450.66666666666902</v>
      </c>
    </row>
    <row r="48" spans="1:2" x14ac:dyDescent="0.25">
      <c r="A48" s="7">
        <v>41</v>
      </c>
      <c r="B48" s="23">
        <v>461.66666666666902</v>
      </c>
    </row>
    <row r="49" spans="1:2" x14ac:dyDescent="0.25">
      <c r="A49" s="7">
        <v>42</v>
      </c>
      <c r="B49" s="23">
        <v>472.66666666666902</v>
      </c>
    </row>
    <row r="50" spans="1:2" x14ac:dyDescent="0.25">
      <c r="A50" s="7">
        <v>43</v>
      </c>
      <c r="B50" s="23">
        <v>483.66666666666902</v>
      </c>
    </row>
    <row r="51" spans="1:2" x14ac:dyDescent="0.25">
      <c r="A51" s="7">
        <v>44</v>
      </c>
      <c r="B51" s="23">
        <v>494.66666666666902</v>
      </c>
    </row>
    <row r="52" spans="1:2" x14ac:dyDescent="0.25">
      <c r="A52" s="7">
        <v>45</v>
      </c>
      <c r="B52" s="23">
        <v>505.66666666666799</v>
      </c>
    </row>
    <row r="53" spans="1:2" x14ac:dyDescent="0.25">
      <c r="A53" s="7">
        <v>46</v>
      </c>
      <c r="B53" s="23">
        <v>516.66666666666902</v>
      </c>
    </row>
    <row r="54" spans="1:2" x14ac:dyDescent="0.25">
      <c r="A54" s="7">
        <v>47</v>
      </c>
      <c r="B54" s="23">
        <v>527.66666666666902</v>
      </c>
    </row>
    <row r="55" spans="1:2" x14ac:dyDescent="0.25">
      <c r="A55" s="7">
        <v>48</v>
      </c>
      <c r="B55" s="23">
        <v>538.66666666666902</v>
      </c>
    </row>
    <row r="56" spans="1:2" x14ac:dyDescent="0.25">
      <c r="A56" s="7">
        <v>49</v>
      </c>
      <c r="B56" s="23">
        <v>549.66666666666902</v>
      </c>
    </row>
    <row r="57" spans="1:2" x14ac:dyDescent="0.25">
      <c r="A57" s="7">
        <v>50</v>
      </c>
      <c r="B57" s="23">
        <v>560.66666666666902</v>
      </c>
    </row>
    <row r="58" spans="1:2" x14ac:dyDescent="0.25">
      <c r="A58" s="7">
        <v>51</v>
      </c>
      <c r="B58" s="23">
        <v>571.66666666666902</v>
      </c>
    </row>
    <row r="59" spans="1:2" x14ac:dyDescent="0.25">
      <c r="A59" s="7">
        <v>52</v>
      </c>
      <c r="B59" s="23">
        <v>582.66666666666902</v>
      </c>
    </row>
    <row r="60" spans="1:2" x14ac:dyDescent="0.25">
      <c r="A60" s="7">
        <v>53</v>
      </c>
      <c r="B60" s="23">
        <v>593.66666666666902</v>
      </c>
    </row>
    <row r="61" spans="1:2" x14ac:dyDescent="0.25">
      <c r="A61" s="7">
        <v>54</v>
      </c>
      <c r="B61" s="23">
        <v>604.66666666666902</v>
      </c>
    </row>
    <row r="62" spans="1:2" x14ac:dyDescent="0.25">
      <c r="A62" s="7">
        <v>55</v>
      </c>
      <c r="B62" s="23">
        <v>615.66666666666902</v>
      </c>
    </row>
    <row r="63" spans="1:2" x14ac:dyDescent="0.25">
      <c r="A63" s="7">
        <v>56</v>
      </c>
      <c r="B63" s="23">
        <v>626.66666666666902</v>
      </c>
    </row>
    <row r="64" spans="1:2" x14ac:dyDescent="0.25">
      <c r="A64" s="7">
        <v>57</v>
      </c>
      <c r="B64" s="23">
        <v>637.66666666666902</v>
      </c>
    </row>
    <row r="65" spans="1:2" x14ac:dyDescent="0.25">
      <c r="A65" s="7">
        <v>58</v>
      </c>
      <c r="B65" s="23">
        <v>648.66666666666902</v>
      </c>
    </row>
    <row r="66" spans="1:2" x14ac:dyDescent="0.25">
      <c r="A66" s="7">
        <v>59</v>
      </c>
      <c r="B66" s="23">
        <v>659.66666666666902</v>
      </c>
    </row>
    <row r="67" spans="1:2" x14ac:dyDescent="0.25">
      <c r="A67" s="7">
        <v>60</v>
      </c>
      <c r="B67" s="23">
        <v>670.66666666666902</v>
      </c>
    </row>
  </sheetData>
  <mergeCells count="9">
    <mergeCell ref="A6:B6"/>
    <mergeCell ref="A1:B1"/>
    <mergeCell ref="K7:V7"/>
    <mergeCell ref="J7:J8"/>
    <mergeCell ref="E7:E8"/>
    <mergeCell ref="F7:F8"/>
    <mergeCell ref="I7:I8"/>
    <mergeCell ref="G7:G8"/>
    <mergeCell ref="H7:H8"/>
  </mergeCells>
  <phoneticPr fontId="1" type="noConversion"/>
  <conditionalFormatting sqref="J9:J21">
    <cfRule type="top10" dxfId="0" priority="1" bottom="1" rank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5E716-029C-4770-AB3D-FA81608BEC1C}">
  <sheetPr codeName="גיליון2">
    <tabColor rgb="FF7030A0"/>
  </sheetPr>
  <dimension ref="A1:BH66"/>
  <sheetViews>
    <sheetView rightToLeft="1" workbookViewId="0"/>
  </sheetViews>
  <sheetFormatPr defaultRowHeight="13.8" x14ac:dyDescent="0.25"/>
  <sheetData>
    <row r="1" spans="1:3" x14ac:dyDescent="0.25">
      <c r="A1" s="8" cm="1">
        <f t="array" ref="A1:A60">'גליון פתיחה'!B8:B67</f>
        <v>28</v>
      </c>
      <c r="B1">
        <v>1</v>
      </c>
      <c r="C1">
        <v>1</v>
      </c>
    </row>
    <row r="2" spans="1:3" x14ac:dyDescent="0.25">
      <c r="A2" s="8">
        <v>35</v>
      </c>
      <c r="B2">
        <v>2</v>
      </c>
      <c r="C2">
        <v>2</v>
      </c>
    </row>
    <row r="3" spans="1:3" x14ac:dyDescent="0.25">
      <c r="A3" s="8">
        <v>40</v>
      </c>
      <c r="B3">
        <v>3</v>
      </c>
      <c r="C3">
        <v>3</v>
      </c>
    </row>
    <row r="4" spans="1:3" x14ac:dyDescent="0.25">
      <c r="A4" s="8">
        <v>55</v>
      </c>
      <c r="B4">
        <v>4</v>
      </c>
      <c r="C4">
        <v>4</v>
      </c>
    </row>
    <row r="5" spans="1:3" x14ac:dyDescent="0.25">
      <c r="A5" s="8">
        <v>70</v>
      </c>
      <c r="B5">
        <v>5</v>
      </c>
      <c r="C5">
        <v>5</v>
      </c>
    </row>
    <row r="6" spans="1:3" x14ac:dyDescent="0.25">
      <c r="A6" s="8">
        <v>75</v>
      </c>
      <c r="B6">
        <v>6</v>
      </c>
      <c r="C6">
        <v>6</v>
      </c>
    </row>
    <row r="7" spans="1:3" x14ac:dyDescent="0.25">
      <c r="A7" s="8">
        <v>87.6666666666667</v>
      </c>
      <c r="B7">
        <v>7</v>
      </c>
      <c r="C7">
        <v>7</v>
      </c>
    </row>
    <row r="8" spans="1:3" x14ac:dyDescent="0.25">
      <c r="A8" s="8">
        <v>98.6666666666667</v>
      </c>
      <c r="B8">
        <v>8</v>
      </c>
      <c r="C8">
        <v>8</v>
      </c>
    </row>
    <row r="9" spans="1:3" x14ac:dyDescent="0.25">
      <c r="A9" s="8">
        <v>109.666666666667</v>
      </c>
      <c r="B9">
        <v>9</v>
      </c>
      <c r="C9">
        <v>9</v>
      </c>
    </row>
    <row r="10" spans="1:3" x14ac:dyDescent="0.25">
      <c r="A10" s="8">
        <v>120.666666666667</v>
      </c>
      <c r="B10">
        <v>10</v>
      </c>
      <c r="C10">
        <v>10</v>
      </c>
    </row>
    <row r="11" spans="1:3" x14ac:dyDescent="0.25">
      <c r="A11" s="8">
        <v>131.666666666667</v>
      </c>
      <c r="B11">
        <v>11</v>
      </c>
      <c r="C11">
        <v>11</v>
      </c>
    </row>
    <row r="12" spans="1:3" x14ac:dyDescent="0.25">
      <c r="A12" s="8">
        <v>142.666666666667</v>
      </c>
      <c r="B12">
        <v>12</v>
      </c>
      <c r="C12">
        <v>12</v>
      </c>
    </row>
    <row r="13" spans="1:3" x14ac:dyDescent="0.25">
      <c r="A13" s="8">
        <v>153.666666666667</v>
      </c>
      <c r="B13">
        <v>13</v>
      </c>
      <c r="C13">
        <v>1</v>
      </c>
    </row>
    <row r="14" spans="1:3" x14ac:dyDescent="0.25">
      <c r="A14" s="8">
        <v>164.666666666667</v>
      </c>
      <c r="B14">
        <v>14</v>
      </c>
      <c r="C14">
        <v>2</v>
      </c>
    </row>
    <row r="15" spans="1:3" x14ac:dyDescent="0.25">
      <c r="A15" s="8">
        <v>175.666666666667</v>
      </c>
      <c r="B15">
        <v>15</v>
      </c>
      <c r="C15">
        <v>3</v>
      </c>
    </row>
    <row r="16" spans="1:3" x14ac:dyDescent="0.25">
      <c r="A16" s="8">
        <v>186.666666666667</v>
      </c>
      <c r="B16">
        <v>16</v>
      </c>
      <c r="C16">
        <v>4</v>
      </c>
    </row>
    <row r="17" spans="1:3" x14ac:dyDescent="0.25">
      <c r="A17" s="8">
        <v>197.666666666667</v>
      </c>
      <c r="B17">
        <v>17</v>
      </c>
      <c r="C17">
        <v>5</v>
      </c>
    </row>
    <row r="18" spans="1:3" x14ac:dyDescent="0.25">
      <c r="A18" s="8">
        <v>208.666666666667</v>
      </c>
      <c r="B18">
        <v>18</v>
      </c>
      <c r="C18">
        <v>6</v>
      </c>
    </row>
    <row r="19" spans="1:3" x14ac:dyDescent="0.25">
      <c r="A19" s="8">
        <v>219.666666666667</v>
      </c>
      <c r="B19">
        <v>19</v>
      </c>
      <c r="C19">
        <v>7</v>
      </c>
    </row>
    <row r="20" spans="1:3" x14ac:dyDescent="0.25">
      <c r="A20" s="8">
        <v>230.666666666667</v>
      </c>
      <c r="B20">
        <v>20</v>
      </c>
      <c r="C20">
        <v>8</v>
      </c>
    </row>
    <row r="21" spans="1:3" x14ac:dyDescent="0.25">
      <c r="A21" s="8">
        <v>241.666666666667</v>
      </c>
      <c r="B21">
        <v>21</v>
      </c>
      <c r="C21">
        <v>9</v>
      </c>
    </row>
    <row r="22" spans="1:3" x14ac:dyDescent="0.25">
      <c r="A22" s="8">
        <v>252.666666666667</v>
      </c>
      <c r="B22">
        <v>22</v>
      </c>
      <c r="C22">
        <v>10</v>
      </c>
    </row>
    <row r="23" spans="1:3" x14ac:dyDescent="0.25">
      <c r="A23" s="8">
        <v>263.66666666666703</v>
      </c>
      <c r="B23">
        <v>23</v>
      </c>
      <c r="C23">
        <v>11</v>
      </c>
    </row>
    <row r="24" spans="1:3" x14ac:dyDescent="0.25">
      <c r="A24" s="8">
        <v>274.66666666666703</v>
      </c>
      <c r="B24">
        <v>24</v>
      </c>
      <c r="C24">
        <v>12</v>
      </c>
    </row>
    <row r="25" spans="1:3" x14ac:dyDescent="0.25">
      <c r="A25" s="8">
        <v>285.66666666666799</v>
      </c>
      <c r="B25">
        <v>25</v>
      </c>
      <c r="C25">
        <v>1</v>
      </c>
    </row>
    <row r="26" spans="1:3" x14ac:dyDescent="0.25">
      <c r="A26" s="8">
        <v>296.66666666666799</v>
      </c>
      <c r="B26">
        <v>26</v>
      </c>
      <c r="C26">
        <v>2</v>
      </c>
    </row>
    <row r="27" spans="1:3" x14ac:dyDescent="0.25">
      <c r="A27" s="8">
        <v>307.66666666666799</v>
      </c>
      <c r="B27">
        <v>27</v>
      </c>
      <c r="C27">
        <v>3</v>
      </c>
    </row>
    <row r="28" spans="1:3" x14ac:dyDescent="0.25">
      <c r="A28" s="8">
        <v>318.66666666666799</v>
      </c>
      <c r="B28">
        <v>28</v>
      </c>
      <c r="C28">
        <v>4</v>
      </c>
    </row>
    <row r="29" spans="1:3" x14ac:dyDescent="0.25">
      <c r="A29" s="8">
        <v>329.66666666666799</v>
      </c>
      <c r="B29">
        <v>29</v>
      </c>
      <c r="C29">
        <v>5</v>
      </c>
    </row>
    <row r="30" spans="1:3" x14ac:dyDescent="0.25">
      <c r="A30" s="8">
        <v>340.66666666666799</v>
      </c>
      <c r="B30">
        <v>30</v>
      </c>
      <c r="C30">
        <v>6</v>
      </c>
    </row>
    <row r="31" spans="1:3" x14ac:dyDescent="0.25">
      <c r="A31" s="8">
        <v>351.66666666666799</v>
      </c>
      <c r="B31">
        <v>31</v>
      </c>
      <c r="C31">
        <v>7</v>
      </c>
    </row>
    <row r="32" spans="1:3" x14ac:dyDescent="0.25">
      <c r="A32" s="8">
        <v>362.66666666666799</v>
      </c>
      <c r="B32">
        <v>32</v>
      </c>
      <c r="C32">
        <v>8</v>
      </c>
    </row>
    <row r="33" spans="1:3" x14ac:dyDescent="0.25">
      <c r="A33" s="8">
        <v>373.66666666666799</v>
      </c>
      <c r="B33">
        <v>33</v>
      </c>
      <c r="C33">
        <v>9</v>
      </c>
    </row>
    <row r="34" spans="1:3" x14ac:dyDescent="0.25">
      <c r="A34" s="8">
        <v>384.66666666666799</v>
      </c>
      <c r="B34">
        <v>34</v>
      </c>
      <c r="C34">
        <v>10</v>
      </c>
    </row>
    <row r="35" spans="1:3" x14ac:dyDescent="0.25">
      <c r="A35" s="8">
        <v>395.66666666666799</v>
      </c>
      <c r="B35">
        <v>35</v>
      </c>
      <c r="C35">
        <v>11</v>
      </c>
    </row>
    <row r="36" spans="1:3" x14ac:dyDescent="0.25">
      <c r="A36" s="8">
        <v>406.66666666666799</v>
      </c>
      <c r="B36">
        <v>36</v>
      </c>
      <c r="C36">
        <v>12</v>
      </c>
    </row>
    <row r="37" spans="1:3" x14ac:dyDescent="0.25">
      <c r="A37" s="8">
        <v>417.66666666666799</v>
      </c>
      <c r="B37">
        <v>37</v>
      </c>
      <c r="C37">
        <v>1</v>
      </c>
    </row>
    <row r="38" spans="1:3" x14ac:dyDescent="0.25">
      <c r="A38" s="8">
        <v>428.66666666666902</v>
      </c>
      <c r="B38">
        <v>38</v>
      </c>
      <c r="C38">
        <v>2</v>
      </c>
    </row>
    <row r="39" spans="1:3" x14ac:dyDescent="0.25">
      <c r="A39" s="8">
        <v>439.66666666666902</v>
      </c>
      <c r="B39">
        <v>39</v>
      </c>
      <c r="C39">
        <v>3</v>
      </c>
    </row>
    <row r="40" spans="1:3" x14ac:dyDescent="0.25">
      <c r="A40" s="8">
        <v>450.66666666666902</v>
      </c>
      <c r="B40">
        <v>40</v>
      </c>
      <c r="C40">
        <v>4</v>
      </c>
    </row>
    <row r="41" spans="1:3" x14ac:dyDescent="0.25">
      <c r="A41" s="8">
        <v>461.66666666666902</v>
      </c>
      <c r="B41">
        <v>41</v>
      </c>
      <c r="C41">
        <v>5</v>
      </c>
    </row>
    <row r="42" spans="1:3" x14ac:dyDescent="0.25">
      <c r="A42" s="8">
        <v>472.66666666666902</v>
      </c>
      <c r="B42">
        <v>42</v>
      </c>
      <c r="C42">
        <v>6</v>
      </c>
    </row>
    <row r="43" spans="1:3" x14ac:dyDescent="0.25">
      <c r="A43" s="8">
        <v>483.66666666666902</v>
      </c>
      <c r="B43">
        <v>43</v>
      </c>
      <c r="C43">
        <v>7</v>
      </c>
    </row>
    <row r="44" spans="1:3" x14ac:dyDescent="0.25">
      <c r="A44" s="8">
        <v>494.66666666666902</v>
      </c>
      <c r="B44">
        <v>44</v>
      </c>
      <c r="C44">
        <v>8</v>
      </c>
    </row>
    <row r="45" spans="1:3" x14ac:dyDescent="0.25">
      <c r="A45" s="8">
        <v>505.66666666666799</v>
      </c>
      <c r="B45">
        <v>45</v>
      </c>
      <c r="C45">
        <v>9</v>
      </c>
    </row>
    <row r="46" spans="1:3" x14ac:dyDescent="0.25">
      <c r="A46" s="8">
        <v>516.66666666666902</v>
      </c>
      <c r="B46">
        <v>46</v>
      </c>
      <c r="C46">
        <v>10</v>
      </c>
    </row>
    <row r="47" spans="1:3" x14ac:dyDescent="0.25">
      <c r="A47" s="8">
        <v>527.66666666666902</v>
      </c>
      <c r="B47">
        <v>47</v>
      </c>
      <c r="C47">
        <v>11</v>
      </c>
    </row>
    <row r="48" spans="1:3" x14ac:dyDescent="0.25">
      <c r="A48" s="8">
        <v>538.66666666666902</v>
      </c>
      <c r="B48">
        <v>48</v>
      </c>
      <c r="C48">
        <v>12</v>
      </c>
    </row>
    <row r="49" spans="1:3" x14ac:dyDescent="0.25">
      <c r="A49" s="8">
        <v>549.66666666666902</v>
      </c>
      <c r="B49">
        <v>49</v>
      </c>
      <c r="C49">
        <v>1</v>
      </c>
    </row>
    <row r="50" spans="1:3" x14ac:dyDescent="0.25">
      <c r="A50" s="8">
        <v>560.66666666666902</v>
      </c>
      <c r="B50">
        <v>50</v>
      </c>
      <c r="C50">
        <v>2</v>
      </c>
    </row>
    <row r="51" spans="1:3" x14ac:dyDescent="0.25">
      <c r="A51" s="8">
        <v>571.66666666666902</v>
      </c>
      <c r="B51">
        <v>51</v>
      </c>
      <c r="C51">
        <v>3</v>
      </c>
    </row>
    <row r="52" spans="1:3" x14ac:dyDescent="0.25">
      <c r="A52" s="8">
        <v>582.66666666666902</v>
      </c>
      <c r="B52">
        <v>52</v>
      </c>
      <c r="C52">
        <v>4</v>
      </c>
    </row>
    <row r="53" spans="1:3" x14ac:dyDescent="0.25">
      <c r="A53" s="8">
        <v>593.66666666666902</v>
      </c>
      <c r="B53">
        <v>53</v>
      </c>
      <c r="C53">
        <v>5</v>
      </c>
    </row>
    <row r="54" spans="1:3" x14ac:dyDescent="0.25">
      <c r="A54" s="8">
        <v>604.66666666666902</v>
      </c>
      <c r="B54">
        <v>54</v>
      </c>
      <c r="C54">
        <v>6</v>
      </c>
    </row>
    <row r="55" spans="1:3" x14ac:dyDescent="0.25">
      <c r="A55" s="8">
        <v>615.66666666666902</v>
      </c>
      <c r="B55">
        <v>55</v>
      </c>
      <c r="C55">
        <v>7</v>
      </c>
    </row>
    <row r="56" spans="1:3" x14ac:dyDescent="0.25">
      <c r="A56" s="8">
        <v>626.66666666666902</v>
      </c>
      <c r="B56">
        <v>56</v>
      </c>
      <c r="C56">
        <v>8</v>
      </c>
    </row>
    <row r="57" spans="1:3" x14ac:dyDescent="0.25">
      <c r="A57" s="8">
        <v>637.66666666666902</v>
      </c>
      <c r="B57">
        <v>57</v>
      </c>
      <c r="C57">
        <v>9</v>
      </c>
    </row>
    <row r="58" spans="1:3" x14ac:dyDescent="0.25">
      <c r="A58" s="8">
        <v>648.66666666666902</v>
      </c>
      <c r="B58">
        <v>58</v>
      </c>
      <c r="C58">
        <v>10</v>
      </c>
    </row>
    <row r="59" spans="1:3" x14ac:dyDescent="0.25">
      <c r="A59" s="8">
        <v>659.66666666666902</v>
      </c>
      <c r="B59">
        <v>59</v>
      </c>
      <c r="C59">
        <v>11</v>
      </c>
    </row>
    <row r="60" spans="1:3" x14ac:dyDescent="0.25">
      <c r="A60" s="8">
        <v>670.66666666666902</v>
      </c>
      <c r="B60">
        <v>60</v>
      </c>
      <c r="C60">
        <v>12</v>
      </c>
    </row>
    <row r="65" spans="1:60" x14ac:dyDescent="0.2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  <c r="X65">
        <v>24</v>
      </c>
      <c r="Y65">
        <v>25</v>
      </c>
      <c r="Z65">
        <v>26</v>
      </c>
      <c r="AA65">
        <v>27</v>
      </c>
      <c r="AB65">
        <v>28</v>
      </c>
      <c r="AC65">
        <v>29</v>
      </c>
      <c r="AD65">
        <v>30</v>
      </c>
      <c r="AE65">
        <v>31</v>
      </c>
      <c r="AF65">
        <v>32</v>
      </c>
      <c r="AG65">
        <v>33</v>
      </c>
      <c r="AH65">
        <v>34</v>
      </c>
      <c r="AI65">
        <v>35</v>
      </c>
      <c r="AJ65">
        <v>36</v>
      </c>
      <c r="AK65">
        <v>37</v>
      </c>
      <c r="AL65">
        <v>38</v>
      </c>
      <c r="AM65">
        <v>39</v>
      </c>
      <c r="AN65">
        <v>40</v>
      </c>
      <c r="AO65">
        <v>41</v>
      </c>
      <c r="AP65">
        <v>42</v>
      </c>
      <c r="AQ65">
        <v>43</v>
      </c>
      <c r="AR65">
        <v>44</v>
      </c>
      <c r="AS65">
        <v>45</v>
      </c>
      <c r="AT65">
        <v>46</v>
      </c>
      <c r="AU65">
        <v>47</v>
      </c>
      <c r="AV65">
        <v>48</v>
      </c>
      <c r="AW65">
        <v>49</v>
      </c>
      <c r="AX65">
        <v>50</v>
      </c>
      <c r="AY65">
        <v>51</v>
      </c>
      <c r="AZ65">
        <v>52</v>
      </c>
      <c r="BA65">
        <v>53</v>
      </c>
      <c r="BB65">
        <v>54</v>
      </c>
      <c r="BC65">
        <v>55</v>
      </c>
      <c r="BD65">
        <v>56</v>
      </c>
      <c r="BE65">
        <v>57</v>
      </c>
      <c r="BF65">
        <v>58</v>
      </c>
      <c r="BG65">
        <v>59</v>
      </c>
      <c r="BH65">
        <v>60</v>
      </c>
    </row>
    <row r="66" spans="1:60" x14ac:dyDescent="0.25">
      <c r="A66" s="5">
        <f>A1</f>
        <v>28</v>
      </c>
      <c r="B66" s="5">
        <f>A2</f>
        <v>35</v>
      </c>
      <c r="C66" s="5">
        <f>A3</f>
        <v>40</v>
      </c>
      <c r="D66" s="5">
        <f>A4</f>
        <v>55</v>
      </c>
      <c r="E66" s="5">
        <f>A5</f>
        <v>70</v>
      </c>
      <c r="F66" s="5">
        <f>A6</f>
        <v>75</v>
      </c>
      <c r="G66" s="5">
        <f>A7</f>
        <v>87.6666666666667</v>
      </c>
      <c r="H66" s="5">
        <f>A8</f>
        <v>98.6666666666667</v>
      </c>
      <c r="I66" s="5">
        <f>A9</f>
        <v>109.666666666667</v>
      </c>
      <c r="J66" s="5">
        <f>A10</f>
        <v>120.666666666667</v>
      </c>
      <c r="K66" s="5">
        <f>A11</f>
        <v>131.666666666667</v>
      </c>
      <c r="L66" s="5">
        <f>A12</f>
        <v>142.666666666667</v>
      </c>
      <c r="M66" s="5">
        <f>A13</f>
        <v>153.666666666667</v>
      </c>
      <c r="N66" s="5">
        <f>A14</f>
        <v>164.666666666667</v>
      </c>
      <c r="O66" s="5">
        <f>A15</f>
        <v>175.666666666667</v>
      </c>
      <c r="P66" s="5">
        <f>A16</f>
        <v>186.666666666667</v>
      </c>
      <c r="Q66" s="5">
        <f>A17</f>
        <v>197.666666666667</v>
      </c>
      <c r="R66" s="5">
        <f>A18</f>
        <v>208.666666666667</v>
      </c>
      <c r="S66" s="5">
        <f>A19</f>
        <v>219.666666666667</v>
      </c>
      <c r="T66" s="5">
        <f>A20</f>
        <v>230.666666666667</v>
      </c>
      <c r="U66" s="5">
        <f>A21</f>
        <v>241.666666666667</v>
      </c>
      <c r="V66" s="5">
        <f>A22</f>
        <v>252.666666666667</v>
      </c>
      <c r="W66" s="5">
        <f>A23</f>
        <v>263.66666666666703</v>
      </c>
      <c r="X66" s="5">
        <f>A24</f>
        <v>274.66666666666703</v>
      </c>
      <c r="Y66" s="5">
        <f>A25</f>
        <v>285.66666666666799</v>
      </c>
      <c r="Z66" s="5">
        <f>A26</f>
        <v>296.66666666666799</v>
      </c>
      <c r="AA66" s="5">
        <f>A27</f>
        <v>307.66666666666799</v>
      </c>
      <c r="AB66" s="5">
        <f>A28</f>
        <v>318.66666666666799</v>
      </c>
      <c r="AC66" s="5">
        <f>A29</f>
        <v>329.66666666666799</v>
      </c>
      <c r="AD66" s="5">
        <f>A30</f>
        <v>340.66666666666799</v>
      </c>
      <c r="AE66" s="5">
        <f>A31</f>
        <v>351.66666666666799</v>
      </c>
      <c r="AF66" s="5">
        <f>A32</f>
        <v>362.66666666666799</v>
      </c>
      <c r="AG66" s="5">
        <f>A33</f>
        <v>373.66666666666799</v>
      </c>
      <c r="AH66" s="5">
        <f>A34</f>
        <v>384.66666666666799</v>
      </c>
      <c r="AI66" s="5">
        <f>A35</f>
        <v>395.66666666666799</v>
      </c>
      <c r="AJ66" s="5">
        <f>A36</f>
        <v>406.66666666666799</v>
      </c>
      <c r="AK66" s="5">
        <f>A37</f>
        <v>417.66666666666799</v>
      </c>
      <c r="AL66" s="5">
        <f>A38</f>
        <v>428.66666666666902</v>
      </c>
      <c r="AM66" s="5">
        <f>A39</f>
        <v>439.66666666666902</v>
      </c>
      <c r="AN66" s="5">
        <f>A40</f>
        <v>450.66666666666902</v>
      </c>
      <c r="AO66" s="5">
        <f>A41</f>
        <v>461.66666666666902</v>
      </c>
      <c r="AP66" s="5">
        <f>A42</f>
        <v>472.66666666666902</v>
      </c>
      <c r="AQ66" s="5">
        <f>A43</f>
        <v>483.66666666666902</v>
      </c>
      <c r="AR66" s="5">
        <f>A44</f>
        <v>494.66666666666902</v>
      </c>
      <c r="AS66" s="5">
        <f>A45</f>
        <v>505.66666666666799</v>
      </c>
      <c r="AT66" s="5">
        <f>A46</f>
        <v>516.66666666666902</v>
      </c>
      <c r="AU66" s="5">
        <f>A47</f>
        <v>527.66666666666902</v>
      </c>
      <c r="AV66" s="5">
        <f>A48</f>
        <v>538.66666666666902</v>
      </c>
      <c r="AW66" s="5">
        <f>A49</f>
        <v>549.66666666666902</v>
      </c>
      <c r="AX66" s="5">
        <f>A50</f>
        <v>560.66666666666902</v>
      </c>
      <c r="AY66" s="5">
        <f>A51</f>
        <v>571.66666666666902</v>
      </c>
      <c r="AZ66" s="5">
        <f>A52</f>
        <v>582.66666666666902</v>
      </c>
      <c r="BA66" s="5">
        <f>A53</f>
        <v>593.66666666666902</v>
      </c>
      <c r="BB66" s="5">
        <f>A54</f>
        <v>604.66666666666902</v>
      </c>
      <c r="BC66" s="5">
        <f>A55</f>
        <v>615.66666666666902</v>
      </c>
      <c r="BD66" s="5">
        <f>A56</f>
        <v>626.66666666666902</v>
      </c>
      <c r="BE66" s="5">
        <f>A57</f>
        <v>637.66666666666902</v>
      </c>
      <c r="BF66" s="5">
        <f>A58</f>
        <v>648.66666666666902</v>
      </c>
      <c r="BG66" s="5">
        <f>A59</f>
        <v>659.66666666666902</v>
      </c>
      <c r="BH66" s="5">
        <f>A60</f>
        <v>670.66666666666902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000D7-7965-4A46-A4E7-7D085A524773}">
  <sheetPr codeName="גיליון3"/>
  <dimension ref="B5:N10"/>
  <sheetViews>
    <sheetView rightToLeft="1" workbookViewId="0"/>
  </sheetViews>
  <sheetFormatPr defaultRowHeight="13.8" x14ac:dyDescent="0.25"/>
  <sheetData>
    <row r="5" spans="2:14" x14ac:dyDescent="0.25">
      <c r="B5" s="12" t="s">
        <v>65</v>
      </c>
      <c r="C5" s="14" t="s">
        <v>63</v>
      </c>
      <c r="D5" s="14" t="s">
        <v>64</v>
      </c>
      <c r="E5" s="14" t="s">
        <v>66</v>
      </c>
      <c r="F5" s="14" t="s">
        <v>67</v>
      </c>
      <c r="G5" s="14" t="s">
        <v>68</v>
      </c>
      <c r="H5" s="14" t="s">
        <v>69</v>
      </c>
      <c r="I5" s="14" t="s">
        <v>70</v>
      </c>
      <c r="J5" s="14" t="s">
        <v>71</v>
      </c>
      <c r="K5" s="14" t="s">
        <v>72</v>
      </c>
      <c r="L5" s="14" t="s">
        <v>73</v>
      </c>
      <c r="M5" s="14" t="s">
        <v>74</v>
      </c>
      <c r="N5" s="14" t="s">
        <v>75</v>
      </c>
    </row>
    <row r="6" spans="2:14" x14ac:dyDescent="0.25">
      <c r="B6" s="29">
        <v>1</v>
      </c>
      <c r="C6" s="7" cm="1">
        <f t="array" ref="C6:N6">'הזנת נתונים'!A66:L66</f>
        <v>28</v>
      </c>
      <c r="D6" s="7">
        <v>35</v>
      </c>
      <c r="E6" s="7">
        <v>40</v>
      </c>
      <c r="F6" s="7">
        <v>55</v>
      </c>
      <c r="G6" s="7">
        <v>70</v>
      </c>
      <c r="H6" s="7">
        <v>75</v>
      </c>
      <c r="I6" s="7">
        <v>87.6666666666667</v>
      </c>
      <c r="J6" s="7">
        <v>98.6666666666667</v>
      </c>
      <c r="K6" s="7">
        <v>109.666666666667</v>
      </c>
      <c r="L6" s="7">
        <v>120.666666666667</v>
      </c>
      <c r="M6" s="7">
        <v>131.666666666667</v>
      </c>
      <c r="N6" s="7">
        <v>142.666666666667</v>
      </c>
    </row>
    <row r="7" spans="2:14" x14ac:dyDescent="0.25">
      <c r="B7" s="29">
        <v>2</v>
      </c>
      <c r="C7" s="7" cm="1">
        <f t="array" ref="C7:N7">'הזנת נתונים'!M66:X66</f>
        <v>153.666666666667</v>
      </c>
      <c r="D7" s="7">
        <v>164.666666666667</v>
      </c>
      <c r="E7" s="7">
        <v>175.666666666667</v>
      </c>
      <c r="F7" s="7">
        <v>186.666666666667</v>
      </c>
      <c r="G7" s="7">
        <v>197.666666666667</v>
      </c>
      <c r="H7" s="7">
        <v>208.666666666667</v>
      </c>
      <c r="I7" s="7">
        <v>219.666666666667</v>
      </c>
      <c r="J7" s="7">
        <v>230.666666666667</v>
      </c>
      <c r="K7" s="7">
        <v>241.666666666667</v>
      </c>
      <c r="L7" s="7">
        <v>252.666666666667</v>
      </c>
      <c r="M7" s="7">
        <v>263.66666666666703</v>
      </c>
      <c r="N7" s="7">
        <v>274.66666666666703</v>
      </c>
    </row>
    <row r="8" spans="2:14" x14ac:dyDescent="0.25">
      <c r="B8" s="29">
        <v>3</v>
      </c>
      <c r="C8" s="7" cm="1">
        <f t="array" ref="C8:N8">'הזנת נתונים'!Y66:AJ66</f>
        <v>285.66666666666799</v>
      </c>
      <c r="D8" s="7">
        <v>296.66666666666799</v>
      </c>
      <c r="E8" s="7">
        <v>307.66666666666799</v>
      </c>
      <c r="F8" s="7">
        <v>318.66666666666799</v>
      </c>
      <c r="G8" s="7">
        <v>329.66666666666799</v>
      </c>
      <c r="H8" s="7">
        <v>340.66666666666799</v>
      </c>
      <c r="I8" s="7">
        <v>351.66666666666799</v>
      </c>
      <c r="J8" s="7">
        <v>362.66666666666799</v>
      </c>
      <c r="K8" s="7">
        <v>373.66666666666799</v>
      </c>
      <c r="L8" s="7">
        <v>384.66666666666799</v>
      </c>
      <c r="M8" s="7">
        <v>395.66666666666799</v>
      </c>
      <c r="N8" s="7">
        <v>406.66666666666799</v>
      </c>
    </row>
    <row r="9" spans="2:14" x14ac:dyDescent="0.25">
      <c r="B9" s="29">
        <v>4</v>
      </c>
      <c r="C9" s="7" cm="1">
        <f t="array" ref="C9:N9">'הזנת נתונים'!AK66:AV66</f>
        <v>417.66666666666799</v>
      </c>
      <c r="D9" s="7">
        <v>428.66666666666902</v>
      </c>
      <c r="E9" s="7">
        <v>439.66666666666902</v>
      </c>
      <c r="F9" s="7">
        <v>450.66666666666902</v>
      </c>
      <c r="G9" s="7">
        <v>461.66666666666902</v>
      </c>
      <c r="H9" s="7">
        <v>472.66666666666902</v>
      </c>
      <c r="I9" s="7">
        <v>483.66666666666902</v>
      </c>
      <c r="J9" s="7">
        <v>494.66666666666902</v>
      </c>
      <c r="K9" s="7">
        <v>505.66666666666799</v>
      </c>
      <c r="L9" s="7">
        <v>516.66666666666902</v>
      </c>
      <c r="M9" s="7">
        <v>527.66666666666902</v>
      </c>
      <c r="N9" s="7">
        <v>538.66666666666902</v>
      </c>
    </row>
    <row r="10" spans="2:14" x14ac:dyDescent="0.25">
      <c r="B10" s="29">
        <v>5</v>
      </c>
      <c r="C10" s="7" cm="1">
        <f t="array" ref="C10:N10">'הזנת נתונים'!AW66:BH66</f>
        <v>549.66666666666902</v>
      </c>
      <c r="D10" s="7">
        <v>560.66666666666902</v>
      </c>
      <c r="E10" s="7">
        <v>571.66666666666902</v>
      </c>
      <c r="F10" s="7">
        <v>582.66666666666902</v>
      </c>
      <c r="G10" s="7">
        <v>593.66666666666902</v>
      </c>
      <c r="H10" s="7">
        <v>604.66666666666902</v>
      </c>
      <c r="I10" s="7">
        <v>615.66666666666902</v>
      </c>
      <c r="J10" s="7">
        <v>626.66666666666902</v>
      </c>
      <c r="K10" s="7">
        <v>637.66666666666902</v>
      </c>
      <c r="L10" s="7">
        <v>648.66666666666902</v>
      </c>
      <c r="M10" s="7">
        <v>659.66666666666902</v>
      </c>
      <c r="N10" s="7">
        <v>670.66666666666902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20C90-5A3D-40A9-B3CE-F2FA87A460B0}">
  <sheetPr codeName="גיליון5">
    <tabColor theme="7" tint="0.39997558519241921"/>
  </sheetPr>
  <dimension ref="A1:BI14"/>
  <sheetViews>
    <sheetView rightToLeft="1" zoomScale="85" zoomScaleNormal="85" workbookViewId="0"/>
  </sheetViews>
  <sheetFormatPr defaultRowHeight="13.8" x14ac:dyDescent="0.25"/>
  <cols>
    <col min="1" max="1" width="11.69921875" customWidth="1"/>
  </cols>
  <sheetData>
    <row r="1" spans="1:61" x14ac:dyDescent="0.25">
      <c r="A1" s="35" t="s">
        <v>1</v>
      </c>
      <c r="B1" s="35">
        <v>1</v>
      </c>
      <c r="C1" s="35">
        <v>2</v>
      </c>
      <c r="D1" s="35">
        <v>3</v>
      </c>
      <c r="E1" s="35">
        <v>4</v>
      </c>
      <c r="F1" s="35">
        <v>5</v>
      </c>
      <c r="G1" s="35">
        <v>6</v>
      </c>
      <c r="H1" s="35">
        <v>7</v>
      </c>
      <c r="I1" s="35">
        <v>8</v>
      </c>
      <c r="J1" s="35">
        <v>9</v>
      </c>
      <c r="K1" s="35">
        <v>10</v>
      </c>
      <c r="L1" s="35">
        <v>11</v>
      </c>
      <c r="M1" s="35">
        <v>12</v>
      </c>
      <c r="N1" s="35">
        <v>13</v>
      </c>
      <c r="O1" s="35">
        <v>14</v>
      </c>
      <c r="P1" s="35">
        <v>15</v>
      </c>
      <c r="Q1" s="35">
        <v>16</v>
      </c>
      <c r="R1" s="35">
        <v>17</v>
      </c>
      <c r="S1" s="35">
        <v>18</v>
      </c>
      <c r="T1" s="35">
        <v>19</v>
      </c>
      <c r="U1" s="35">
        <v>20</v>
      </c>
      <c r="V1" s="35">
        <v>21</v>
      </c>
      <c r="W1" s="35">
        <v>22</v>
      </c>
      <c r="X1" s="35">
        <v>23</v>
      </c>
      <c r="Y1" s="35">
        <v>24</v>
      </c>
      <c r="Z1" s="35">
        <v>25</v>
      </c>
      <c r="AA1" s="35">
        <v>26</v>
      </c>
      <c r="AB1" s="35">
        <v>27</v>
      </c>
      <c r="AC1" s="35">
        <v>28</v>
      </c>
      <c r="AD1" s="35">
        <v>29</v>
      </c>
      <c r="AE1" s="35">
        <v>30</v>
      </c>
      <c r="AF1" s="35">
        <v>31</v>
      </c>
      <c r="AG1" s="35">
        <v>32</v>
      </c>
      <c r="AH1" s="35">
        <v>33</v>
      </c>
      <c r="AI1" s="35">
        <v>34</v>
      </c>
      <c r="AJ1" s="35">
        <v>35</v>
      </c>
      <c r="AK1" s="35">
        <v>36</v>
      </c>
      <c r="AL1" s="35">
        <v>37</v>
      </c>
      <c r="AM1" s="35">
        <v>38</v>
      </c>
      <c r="AN1" s="35">
        <v>39</v>
      </c>
      <c r="AO1" s="35">
        <v>40</v>
      </c>
      <c r="AP1" s="35">
        <v>41</v>
      </c>
      <c r="AQ1" s="35">
        <v>42</v>
      </c>
      <c r="AR1" s="35">
        <v>43</v>
      </c>
      <c r="AS1" s="35">
        <v>44</v>
      </c>
      <c r="AT1" s="35">
        <v>45</v>
      </c>
      <c r="AU1" s="35">
        <v>46</v>
      </c>
      <c r="AV1" s="35">
        <v>47</v>
      </c>
      <c r="AW1" s="35">
        <v>48</v>
      </c>
      <c r="AX1" s="35">
        <v>49</v>
      </c>
      <c r="AY1" s="35">
        <v>50</v>
      </c>
      <c r="AZ1" s="35">
        <v>51</v>
      </c>
      <c r="BA1" s="35">
        <v>52</v>
      </c>
      <c r="BB1" s="35">
        <v>53</v>
      </c>
      <c r="BC1" s="35">
        <v>54</v>
      </c>
      <c r="BD1" s="35">
        <v>55</v>
      </c>
      <c r="BE1" s="35">
        <v>56</v>
      </c>
      <c r="BF1" s="35">
        <v>57</v>
      </c>
      <c r="BG1" s="35">
        <v>58</v>
      </c>
      <c r="BH1" s="35">
        <v>59</v>
      </c>
      <c r="BI1" s="35">
        <v>60</v>
      </c>
    </row>
    <row r="2" spans="1:61" x14ac:dyDescent="0.25">
      <c r="A2" s="36" t="s">
        <v>0</v>
      </c>
      <c r="B2" s="35">
        <f>'הזנת נתונים'!A66</f>
        <v>28</v>
      </c>
      <c r="C2" s="35">
        <f>'הזנת נתונים'!B66</f>
        <v>35</v>
      </c>
      <c r="D2" s="35">
        <f>'הזנת נתונים'!C66</f>
        <v>40</v>
      </c>
      <c r="E2" s="35">
        <f>'הזנת נתונים'!D66</f>
        <v>55</v>
      </c>
      <c r="F2" s="35">
        <f>'הזנת נתונים'!E66</f>
        <v>70</v>
      </c>
      <c r="G2" s="35">
        <f>'הזנת נתונים'!F66</f>
        <v>75</v>
      </c>
      <c r="H2" s="35">
        <f>'הזנת נתונים'!G66</f>
        <v>87.6666666666667</v>
      </c>
      <c r="I2" s="35">
        <f>'הזנת נתונים'!H66</f>
        <v>98.6666666666667</v>
      </c>
      <c r="J2" s="35">
        <f>'הזנת נתונים'!I66</f>
        <v>109.666666666667</v>
      </c>
      <c r="K2" s="35">
        <f>'הזנת נתונים'!J66</f>
        <v>120.666666666667</v>
      </c>
      <c r="L2" s="35">
        <f>'הזנת נתונים'!K66</f>
        <v>131.666666666667</v>
      </c>
      <c r="M2" s="35">
        <f>'הזנת נתונים'!L66</f>
        <v>142.666666666667</v>
      </c>
      <c r="N2" s="35">
        <f>'הזנת נתונים'!M66</f>
        <v>153.666666666667</v>
      </c>
      <c r="O2" s="35">
        <f>'הזנת נתונים'!N66</f>
        <v>164.666666666667</v>
      </c>
      <c r="P2" s="35">
        <f>'הזנת נתונים'!O66</f>
        <v>175.666666666667</v>
      </c>
      <c r="Q2" s="35">
        <f>'הזנת נתונים'!P66</f>
        <v>186.666666666667</v>
      </c>
      <c r="R2" s="35">
        <f>'הזנת נתונים'!Q66</f>
        <v>197.666666666667</v>
      </c>
      <c r="S2" s="35">
        <f>'הזנת נתונים'!R66</f>
        <v>208.666666666667</v>
      </c>
      <c r="T2" s="35">
        <f>'הזנת נתונים'!S66</f>
        <v>219.666666666667</v>
      </c>
      <c r="U2" s="35">
        <f>'הזנת נתונים'!T66</f>
        <v>230.666666666667</v>
      </c>
      <c r="V2" s="35">
        <f>'הזנת נתונים'!U66</f>
        <v>241.666666666667</v>
      </c>
      <c r="W2" s="35">
        <f>'הזנת נתונים'!V66</f>
        <v>252.666666666667</v>
      </c>
      <c r="X2" s="35">
        <f>'הזנת נתונים'!W66</f>
        <v>263.66666666666703</v>
      </c>
      <c r="Y2" s="35">
        <f>'הזנת נתונים'!X66</f>
        <v>274.66666666666703</v>
      </c>
      <c r="Z2" s="35">
        <f>'הזנת נתונים'!Y66</f>
        <v>285.66666666666799</v>
      </c>
      <c r="AA2" s="35">
        <f>'הזנת נתונים'!Z66</f>
        <v>296.66666666666799</v>
      </c>
      <c r="AB2" s="35">
        <f>'הזנת נתונים'!AA66</f>
        <v>307.66666666666799</v>
      </c>
      <c r="AC2" s="35">
        <f>'הזנת נתונים'!AB66</f>
        <v>318.66666666666799</v>
      </c>
      <c r="AD2" s="35">
        <f>'הזנת נתונים'!AC66</f>
        <v>329.66666666666799</v>
      </c>
      <c r="AE2" s="35">
        <f>'הזנת נתונים'!AD66</f>
        <v>340.66666666666799</v>
      </c>
      <c r="AF2" s="35">
        <f>'הזנת נתונים'!AE66</f>
        <v>351.66666666666799</v>
      </c>
      <c r="AG2" s="35">
        <f>'הזנת נתונים'!AF66</f>
        <v>362.66666666666799</v>
      </c>
      <c r="AH2" s="35">
        <f>'הזנת נתונים'!AG66</f>
        <v>373.66666666666799</v>
      </c>
      <c r="AI2" s="35">
        <f>'הזנת נתונים'!AH66</f>
        <v>384.66666666666799</v>
      </c>
      <c r="AJ2" s="35">
        <f>'הזנת נתונים'!AI66</f>
        <v>395.66666666666799</v>
      </c>
      <c r="AK2" s="35">
        <f>'הזנת נתונים'!AJ66</f>
        <v>406.66666666666799</v>
      </c>
      <c r="AL2" s="35">
        <f>'הזנת נתונים'!AK66</f>
        <v>417.66666666666799</v>
      </c>
      <c r="AM2" s="35">
        <f>'הזנת נתונים'!AL66</f>
        <v>428.66666666666902</v>
      </c>
      <c r="AN2" s="35">
        <f>'הזנת נתונים'!AM66</f>
        <v>439.66666666666902</v>
      </c>
      <c r="AO2" s="35">
        <f>'הזנת נתונים'!AN66</f>
        <v>450.66666666666902</v>
      </c>
      <c r="AP2" s="35">
        <f>'הזנת נתונים'!AO66</f>
        <v>461.66666666666902</v>
      </c>
      <c r="AQ2" s="35">
        <f>'הזנת נתונים'!AP66</f>
        <v>472.66666666666902</v>
      </c>
      <c r="AR2" s="35">
        <f>'הזנת נתונים'!AQ66</f>
        <v>483.66666666666902</v>
      </c>
      <c r="AS2" s="35">
        <f>'הזנת נתונים'!AR66</f>
        <v>494.66666666666902</v>
      </c>
      <c r="AT2" s="35">
        <f>'הזנת נתונים'!AS66</f>
        <v>505.66666666666799</v>
      </c>
      <c r="AU2" s="35">
        <f>'הזנת נתונים'!AT66</f>
        <v>516.66666666666902</v>
      </c>
      <c r="AV2" s="35">
        <f>'הזנת נתונים'!AU66</f>
        <v>527.66666666666902</v>
      </c>
      <c r="AW2" s="35">
        <f>'הזנת נתונים'!AV66</f>
        <v>538.66666666666902</v>
      </c>
      <c r="AX2" s="35">
        <f>'הזנת נתונים'!AW66</f>
        <v>549.66666666666902</v>
      </c>
      <c r="AY2" s="35">
        <f>'הזנת נתונים'!AX66</f>
        <v>560.66666666666902</v>
      </c>
      <c r="AZ2" s="35">
        <f>'הזנת נתונים'!AY66</f>
        <v>571.66666666666902</v>
      </c>
      <c r="BA2" s="35">
        <f>'הזנת נתונים'!AZ66</f>
        <v>582.66666666666902</v>
      </c>
      <c r="BB2" s="35">
        <f>'הזנת נתונים'!BA66</f>
        <v>593.66666666666902</v>
      </c>
      <c r="BC2" s="35">
        <f>'הזנת נתונים'!BB66</f>
        <v>604.66666666666902</v>
      </c>
      <c r="BD2" s="35">
        <f>'הזנת נתונים'!BC66</f>
        <v>615.66666666666902</v>
      </c>
      <c r="BE2" s="35">
        <f>'הזנת נתונים'!BD66</f>
        <v>626.66666666666902</v>
      </c>
      <c r="BF2" s="35">
        <f>'הזנת נתונים'!BE66</f>
        <v>637.66666666666902</v>
      </c>
      <c r="BG2" s="35">
        <f>'הזנת נתונים'!BF66</f>
        <v>648.66666666666902</v>
      </c>
      <c r="BH2" s="35">
        <f>'הזנת נתונים'!BG66</f>
        <v>659.66666666666902</v>
      </c>
      <c r="BI2" s="35">
        <f>'הזנת נתונים'!BH66</f>
        <v>670.66666666666902</v>
      </c>
    </row>
    <row r="3" spans="1:61" x14ac:dyDescent="0.25">
      <c r="A3" s="36" t="s">
        <v>2</v>
      </c>
      <c r="B3" s="32">
        <f>AVERAGE($B$2:B2)</f>
        <v>28</v>
      </c>
      <c r="C3" s="32">
        <f>AVERAGE($B$2:C2)</f>
        <v>31.5</v>
      </c>
      <c r="D3" s="32">
        <f>AVERAGE($B$2:D2)</f>
        <v>34.333333333333336</v>
      </c>
      <c r="E3" s="32">
        <f>AVERAGE($B$2:E2)</f>
        <v>39.5</v>
      </c>
      <c r="F3" s="32">
        <f>AVERAGE($B$2:F2)</f>
        <v>45.6</v>
      </c>
      <c r="G3" s="32">
        <f>AVERAGE($B$2:G2)</f>
        <v>50.5</v>
      </c>
      <c r="H3" s="32">
        <f>AVERAGE($B$2:H2)</f>
        <v>55.80952380952381</v>
      </c>
      <c r="I3" s="32">
        <f>AVERAGE($B$2:I2)</f>
        <v>61.166666666666671</v>
      </c>
      <c r="J3" s="32">
        <f>AVERAGE($B$2:J2)</f>
        <v>66.5555555555556</v>
      </c>
      <c r="K3" s="32">
        <f>AVERAGE($B$2:K2)</f>
        <v>71.966666666666725</v>
      </c>
      <c r="L3" s="32">
        <f>AVERAGE($B$2:L2)</f>
        <v>77.393939393939476</v>
      </c>
      <c r="M3" s="32">
        <f>AVERAGE($B$2:M2)</f>
        <v>82.833333333333442</v>
      </c>
      <c r="N3" s="32">
        <f>AVERAGE($B$2:N2)</f>
        <v>88.282051282051412</v>
      </c>
      <c r="O3" s="32">
        <f>AVERAGE($B$2:O2)</f>
        <v>93.738095238095383</v>
      </c>
      <c r="P3" s="32">
        <f>AVERAGE($B$2:P2)</f>
        <v>99.200000000000145</v>
      </c>
      <c r="Q3" s="32">
        <f>AVERAGE($B$2:Q2)</f>
        <v>104.66666666666683</v>
      </c>
      <c r="R3" s="32">
        <f>AVERAGE($B$2:R2)</f>
        <v>110.13725490196096</v>
      </c>
      <c r="S3" s="32">
        <f>AVERAGE($B$2:S2)</f>
        <v>115.61111111111128</v>
      </c>
      <c r="T3" s="32">
        <f>AVERAGE($B$2:T2)</f>
        <v>121.0877192982458</v>
      </c>
      <c r="U3" s="32">
        <f>AVERAGE($B$2:U2)</f>
        <v>126.56666666666686</v>
      </c>
      <c r="V3" s="32">
        <f>AVERAGE($B$2:V2)</f>
        <v>132.04761904761924</v>
      </c>
      <c r="W3" s="32">
        <f>AVERAGE($B$2:W2)</f>
        <v>137.53030303030323</v>
      </c>
      <c r="X3" s="32">
        <f>AVERAGE($B$2:X2)</f>
        <v>143.01449275362339</v>
      </c>
      <c r="Y3" s="32">
        <f>AVERAGE($B$2:Y2)</f>
        <v>148.5000000000002</v>
      </c>
      <c r="Z3" s="32">
        <f>AVERAGE($B$2:Z2)</f>
        <v>153.98666666666691</v>
      </c>
      <c r="AA3" s="32">
        <f>AVERAGE($B$2:AA2)</f>
        <v>159.47435897435929</v>
      </c>
      <c r="AB3" s="32">
        <f>AVERAGE($B$2:AB2)</f>
        <v>164.9629629629633</v>
      </c>
      <c r="AC3" s="32">
        <f>AVERAGE($B$2:AC2)</f>
        <v>170.45238095238133</v>
      </c>
      <c r="AD3" s="32">
        <f>AVERAGE($B$2:AD2)</f>
        <v>175.94252873563258</v>
      </c>
      <c r="AE3" s="32">
        <f>AVERAGE($B$2:AE2)</f>
        <v>181.43333333333376</v>
      </c>
      <c r="AF3" s="32">
        <f>AVERAGE($B$2:AF2)</f>
        <v>186.92473118279614</v>
      </c>
      <c r="AG3" s="32">
        <f>AVERAGE($B$2:AG2)</f>
        <v>192.41666666666714</v>
      </c>
      <c r="AH3" s="32">
        <f>AVERAGE($B$2:AH2)</f>
        <v>197.90909090909142</v>
      </c>
      <c r="AI3" s="32">
        <f>AVERAGE($B$2:AI2)</f>
        <v>203.40196078431424</v>
      </c>
      <c r="AJ3" s="32">
        <f>AVERAGE($B$2:AJ2)</f>
        <v>208.89523809523862</v>
      </c>
      <c r="AK3" s="32">
        <f>AVERAGE($B$2:AK2)</f>
        <v>214.38888888888945</v>
      </c>
      <c r="AL3" s="32">
        <f>AVERAGE($B$2:AL2)</f>
        <v>219.88288288288345</v>
      </c>
      <c r="AM3" s="32">
        <f>AVERAGE($B$2:AM2)</f>
        <v>225.37719298245679</v>
      </c>
      <c r="AN3" s="32">
        <f>AVERAGE($B$2:AN2)</f>
        <v>230.87179487179557</v>
      </c>
      <c r="AO3" s="32">
        <f>AVERAGE($B$2:AO2)</f>
        <v>236.36666666666741</v>
      </c>
      <c r="AP3" s="32">
        <f>AVERAGE($B$2:AP2)</f>
        <v>241.86178861788699</v>
      </c>
      <c r="AQ3" s="32">
        <f>AVERAGE($B$2:AQ2)</f>
        <v>247.35714285714371</v>
      </c>
      <c r="AR3" s="32">
        <f>AVERAGE($B$2:AR2)</f>
        <v>252.85271317829549</v>
      </c>
      <c r="AS3" s="32">
        <f>AVERAGE($B$2:AS2)</f>
        <v>258.34848484848584</v>
      </c>
      <c r="AT3" s="32">
        <f>AVERAGE($B$2:AT2)</f>
        <v>263.8444444444454</v>
      </c>
      <c r="AU3" s="32">
        <f>AVERAGE($B$2:AU2)</f>
        <v>269.34057971014596</v>
      </c>
      <c r="AV3" s="32">
        <f>AVERAGE($B$2:AV2)</f>
        <v>274.83687943262515</v>
      </c>
      <c r="AW3" s="32">
        <f>AVERAGE($B$2:AW2)</f>
        <v>280.33333333333445</v>
      </c>
      <c r="AX3" s="32">
        <f>AVERAGE($B$2:AX2)</f>
        <v>285.82993197279023</v>
      </c>
      <c r="AY3" s="32">
        <f>AVERAGE($B$2:AY2)</f>
        <v>291.32666666666785</v>
      </c>
      <c r="AZ3" s="32">
        <f>AVERAGE($B$2:AZ2)</f>
        <v>296.82352941176595</v>
      </c>
      <c r="BA3" s="32">
        <f>AVERAGE($B$2:BA2)</f>
        <v>302.32051282051407</v>
      </c>
      <c r="BB3" s="32">
        <f>AVERAGE($B$2:BB2)</f>
        <v>307.81761006289435</v>
      </c>
      <c r="BC3" s="32">
        <f>AVERAGE($B$2:BC2)</f>
        <v>313.31481481481609</v>
      </c>
      <c r="BD3" s="32">
        <f>AVERAGE($B$2:BD2)</f>
        <v>318.81212121212246</v>
      </c>
      <c r="BE3" s="32">
        <f>AVERAGE($B$2:BE2)</f>
        <v>324.3095238095251</v>
      </c>
      <c r="BF3" s="32">
        <f>AVERAGE($B$2:BF2)</f>
        <v>329.80701754386092</v>
      </c>
      <c r="BG3" s="32">
        <f>AVERAGE($B$2:BG2)</f>
        <v>335.30459770115073</v>
      </c>
      <c r="BH3" s="32">
        <f>AVERAGE($B$2:BH2)</f>
        <v>340.80225988700693</v>
      </c>
      <c r="BI3" s="32">
        <f>AVERAGE($B$2:BI2)</f>
        <v>346.30000000000126</v>
      </c>
    </row>
    <row r="4" spans="1:61" x14ac:dyDescent="0.25">
      <c r="A4" s="36" t="s">
        <v>3</v>
      </c>
      <c r="B4" s="32"/>
      <c r="C4" s="32">
        <f>B3</f>
        <v>28</v>
      </c>
      <c r="D4" s="32">
        <f>C3</f>
        <v>31.5</v>
      </c>
      <c r="E4" s="32">
        <f t="shared" ref="E4:BI4" si="0">D3</f>
        <v>34.333333333333336</v>
      </c>
      <c r="F4" s="32">
        <f t="shared" si="0"/>
        <v>39.5</v>
      </c>
      <c r="G4" s="32">
        <f t="shared" si="0"/>
        <v>45.6</v>
      </c>
      <c r="H4" s="32">
        <f t="shared" si="0"/>
        <v>50.5</v>
      </c>
      <c r="I4" s="32">
        <f t="shared" si="0"/>
        <v>55.80952380952381</v>
      </c>
      <c r="J4" s="32">
        <f t="shared" si="0"/>
        <v>61.166666666666671</v>
      </c>
      <c r="K4" s="32">
        <f t="shared" si="0"/>
        <v>66.5555555555556</v>
      </c>
      <c r="L4" s="32">
        <f t="shared" si="0"/>
        <v>71.966666666666725</v>
      </c>
      <c r="M4" s="32">
        <f t="shared" si="0"/>
        <v>77.393939393939476</v>
      </c>
      <c r="N4" s="32">
        <f t="shared" si="0"/>
        <v>82.833333333333442</v>
      </c>
      <c r="O4" s="32">
        <f t="shared" si="0"/>
        <v>88.282051282051412</v>
      </c>
      <c r="P4" s="32">
        <f t="shared" si="0"/>
        <v>93.738095238095383</v>
      </c>
      <c r="Q4" s="32">
        <f t="shared" si="0"/>
        <v>99.200000000000145</v>
      </c>
      <c r="R4" s="32">
        <f t="shared" si="0"/>
        <v>104.66666666666683</v>
      </c>
      <c r="S4" s="32">
        <f t="shared" si="0"/>
        <v>110.13725490196096</v>
      </c>
      <c r="T4" s="32">
        <f t="shared" si="0"/>
        <v>115.61111111111128</v>
      </c>
      <c r="U4" s="32">
        <f t="shared" si="0"/>
        <v>121.0877192982458</v>
      </c>
      <c r="V4" s="32">
        <f t="shared" si="0"/>
        <v>126.56666666666686</v>
      </c>
      <c r="W4" s="32">
        <f t="shared" si="0"/>
        <v>132.04761904761924</v>
      </c>
      <c r="X4" s="32">
        <f t="shared" si="0"/>
        <v>137.53030303030323</v>
      </c>
      <c r="Y4" s="32">
        <f t="shared" si="0"/>
        <v>143.01449275362339</v>
      </c>
      <c r="Z4" s="32">
        <f t="shared" si="0"/>
        <v>148.5000000000002</v>
      </c>
      <c r="AA4" s="32">
        <f t="shared" si="0"/>
        <v>153.98666666666691</v>
      </c>
      <c r="AB4" s="32">
        <f t="shared" si="0"/>
        <v>159.47435897435929</v>
      </c>
      <c r="AC4" s="32">
        <f t="shared" si="0"/>
        <v>164.9629629629633</v>
      </c>
      <c r="AD4" s="32">
        <f t="shared" si="0"/>
        <v>170.45238095238133</v>
      </c>
      <c r="AE4" s="32">
        <f t="shared" si="0"/>
        <v>175.94252873563258</v>
      </c>
      <c r="AF4" s="32">
        <f t="shared" si="0"/>
        <v>181.43333333333376</v>
      </c>
      <c r="AG4" s="32">
        <f t="shared" si="0"/>
        <v>186.92473118279614</v>
      </c>
      <c r="AH4" s="32">
        <f t="shared" si="0"/>
        <v>192.41666666666714</v>
      </c>
      <c r="AI4" s="32">
        <f t="shared" si="0"/>
        <v>197.90909090909142</v>
      </c>
      <c r="AJ4" s="32">
        <f t="shared" si="0"/>
        <v>203.40196078431424</v>
      </c>
      <c r="AK4" s="32">
        <f t="shared" si="0"/>
        <v>208.89523809523862</v>
      </c>
      <c r="AL4" s="32">
        <f t="shared" si="0"/>
        <v>214.38888888888945</v>
      </c>
      <c r="AM4" s="32">
        <f t="shared" si="0"/>
        <v>219.88288288288345</v>
      </c>
      <c r="AN4" s="32">
        <f t="shared" si="0"/>
        <v>225.37719298245679</v>
      </c>
      <c r="AO4" s="32">
        <f t="shared" si="0"/>
        <v>230.87179487179557</v>
      </c>
      <c r="AP4" s="32">
        <f t="shared" si="0"/>
        <v>236.36666666666741</v>
      </c>
      <c r="AQ4" s="32">
        <f t="shared" si="0"/>
        <v>241.86178861788699</v>
      </c>
      <c r="AR4" s="32">
        <f t="shared" si="0"/>
        <v>247.35714285714371</v>
      </c>
      <c r="AS4" s="32">
        <f t="shared" si="0"/>
        <v>252.85271317829549</v>
      </c>
      <c r="AT4" s="32">
        <f t="shared" si="0"/>
        <v>258.34848484848584</v>
      </c>
      <c r="AU4" s="32">
        <f t="shared" si="0"/>
        <v>263.8444444444454</v>
      </c>
      <c r="AV4" s="32">
        <f t="shared" si="0"/>
        <v>269.34057971014596</v>
      </c>
      <c r="AW4" s="32">
        <f t="shared" si="0"/>
        <v>274.83687943262515</v>
      </c>
      <c r="AX4" s="32">
        <f t="shared" si="0"/>
        <v>280.33333333333445</v>
      </c>
      <c r="AY4" s="32">
        <f t="shared" si="0"/>
        <v>285.82993197279023</v>
      </c>
      <c r="AZ4" s="32">
        <f t="shared" si="0"/>
        <v>291.32666666666785</v>
      </c>
      <c r="BA4" s="32">
        <f t="shared" si="0"/>
        <v>296.82352941176595</v>
      </c>
      <c r="BB4" s="32">
        <f t="shared" si="0"/>
        <v>302.32051282051407</v>
      </c>
      <c r="BC4" s="32">
        <f t="shared" si="0"/>
        <v>307.81761006289435</v>
      </c>
      <c r="BD4" s="32">
        <f t="shared" si="0"/>
        <v>313.31481481481609</v>
      </c>
      <c r="BE4" s="32">
        <f t="shared" si="0"/>
        <v>318.81212121212246</v>
      </c>
      <c r="BF4" s="32">
        <f t="shared" si="0"/>
        <v>324.3095238095251</v>
      </c>
      <c r="BG4" s="32">
        <f t="shared" si="0"/>
        <v>329.80701754386092</v>
      </c>
      <c r="BH4" s="32">
        <f t="shared" si="0"/>
        <v>335.30459770115073</v>
      </c>
      <c r="BI4" s="32">
        <f t="shared" si="0"/>
        <v>340.80225988700693</v>
      </c>
    </row>
    <row r="5" spans="1:61" x14ac:dyDescent="0.25">
      <c r="A5" s="35" t="s">
        <v>4</v>
      </c>
      <c r="B5" s="1"/>
      <c r="C5" s="33">
        <f>C4-C2</f>
        <v>-7</v>
      </c>
      <c r="D5" s="33">
        <f>D4-D2</f>
        <v>-8.5</v>
      </c>
      <c r="E5" s="33">
        <f t="shared" ref="E5:BI5" si="1">E4-E2</f>
        <v>-20.666666666666664</v>
      </c>
      <c r="F5" s="33">
        <f t="shared" si="1"/>
        <v>-30.5</v>
      </c>
      <c r="G5" s="33">
        <f t="shared" si="1"/>
        <v>-29.4</v>
      </c>
      <c r="H5" s="33">
        <f t="shared" si="1"/>
        <v>-37.1666666666667</v>
      </c>
      <c r="I5" s="33">
        <f t="shared" si="1"/>
        <v>-42.85714285714289</v>
      </c>
      <c r="J5" s="33">
        <f t="shared" si="1"/>
        <v>-48.500000000000327</v>
      </c>
      <c r="K5" s="33">
        <f t="shared" si="1"/>
        <v>-54.111111111111398</v>
      </c>
      <c r="L5" s="33">
        <f t="shared" si="1"/>
        <v>-59.700000000000273</v>
      </c>
      <c r="M5" s="33">
        <f t="shared" si="1"/>
        <v>-65.272727272727522</v>
      </c>
      <c r="N5" s="33">
        <f t="shared" si="1"/>
        <v>-70.833333333333556</v>
      </c>
      <c r="O5" s="33">
        <f t="shared" si="1"/>
        <v>-76.384615384615586</v>
      </c>
      <c r="P5" s="33">
        <f t="shared" si="1"/>
        <v>-81.928571428571615</v>
      </c>
      <c r="Q5" s="33">
        <f t="shared" si="1"/>
        <v>-87.466666666666853</v>
      </c>
      <c r="R5" s="33">
        <f t="shared" si="1"/>
        <v>-93.000000000000171</v>
      </c>
      <c r="S5" s="33">
        <f t="shared" si="1"/>
        <v>-98.52941176470604</v>
      </c>
      <c r="T5" s="33">
        <f t="shared" si="1"/>
        <v>-104.05555555555571</v>
      </c>
      <c r="U5" s="33">
        <f t="shared" si="1"/>
        <v>-109.5789473684212</v>
      </c>
      <c r="V5" s="33">
        <f t="shared" si="1"/>
        <v>-115.10000000000014</v>
      </c>
      <c r="W5" s="33">
        <f t="shared" si="1"/>
        <v>-120.61904761904776</v>
      </c>
      <c r="X5" s="33">
        <f t="shared" si="1"/>
        <v>-126.1363636363638</v>
      </c>
      <c r="Y5" s="33">
        <f t="shared" si="1"/>
        <v>-131.65217391304364</v>
      </c>
      <c r="Z5" s="33">
        <f t="shared" si="1"/>
        <v>-137.16666666666779</v>
      </c>
      <c r="AA5" s="33">
        <f t="shared" si="1"/>
        <v>-142.68000000000109</v>
      </c>
      <c r="AB5" s="33">
        <f t="shared" si="1"/>
        <v>-148.1923076923087</v>
      </c>
      <c r="AC5" s="33">
        <f t="shared" si="1"/>
        <v>-153.70370370370469</v>
      </c>
      <c r="AD5" s="33">
        <f t="shared" si="1"/>
        <v>-159.21428571428666</v>
      </c>
      <c r="AE5" s="33">
        <f t="shared" si="1"/>
        <v>-164.72413793103541</v>
      </c>
      <c r="AF5" s="33">
        <f t="shared" si="1"/>
        <v>-170.23333333333423</v>
      </c>
      <c r="AG5" s="33">
        <f t="shared" si="1"/>
        <v>-175.74193548387186</v>
      </c>
      <c r="AH5" s="33">
        <f t="shared" si="1"/>
        <v>-181.25000000000085</v>
      </c>
      <c r="AI5" s="33">
        <f t="shared" si="1"/>
        <v>-186.75757575757657</v>
      </c>
      <c r="AJ5" s="33">
        <f t="shared" si="1"/>
        <v>-192.26470588235375</v>
      </c>
      <c r="AK5" s="33">
        <f t="shared" si="1"/>
        <v>-197.77142857142937</v>
      </c>
      <c r="AL5" s="33">
        <f t="shared" si="1"/>
        <v>-203.27777777777854</v>
      </c>
      <c r="AM5" s="33">
        <f t="shared" si="1"/>
        <v>-208.78378378378557</v>
      </c>
      <c r="AN5" s="33">
        <f t="shared" si="1"/>
        <v>-214.28947368421223</v>
      </c>
      <c r="AO5" s="33">
        <f t="shared" si="1"/>
        <v>-219.79487179487344</v>
      </c>
      <c r="AP5" s="33">
        <f t="shared" si="1"/>
        <v>-225.3000000000016</v>
      </c>
      <c r="AQ5" s="33">
        <f t="shared" si="1"/>
        <v>-230.80487804878203</v>
      </c>
      <c r="AR5" s="33">
        <f t="shared" si="1"/>
        <v>-236.3095238095253</v>
      </c>
      <c r="AS5" s="33">
        <f t="shared" si="1"/>
        <v>-241.81395348837353</v>
      </c>
      <c r="AT5" s="33">
        <f t="shared" si="1"/>
        <v>-247.31818181818215</v>
      </c>
      <c r="AU5" s="33">
        <f t="shared" si="1"/>
        <v>-252.82222222222362</v>
      </c>
      <c r="AV5" s="33">
        <f t="shared" si="1"/>
        <v>-258.32608695652306</v>
      </c>
      <c r="AW5" s="33">
        <f t="shared" si="1"/>
        <v>-263.82978723404386</v>
      </c>
      <c r="AX5" s="33">
        <f t="shared" si="1"/>
        <v>-269.33333333333456</v>
      </c>
      <c r="AY5" s="33">
        <f t="shared" si="1"/>
        <v>-274.83673469387878</v>
      </c>
      <c r="AZ5" s="33">
        <f t="shared" si="1"/>
        <v>-280.34000000000117</v>
      </c>
      <c r="BA5" s="33">
        <f t="shared" si="1"/>
        <v>-285.84313725490307</v>
      </c>
      <c r="BB5" s="33">
        <f t="shared" si="1"/>
        <v>-291.34615384615495</v>
      </c>
      <c r="BC5" s="33">
        <f t="shared" si="1"/>
        <v>-296.84905660377467</v>
      </c>
      <c r="BD5" s="33">
        <f t="shared" si="1"/>
        <v>-302.35185185185293</v>
      </c>
      <c r="BE5" s="33">
        <f t="shared" si="1"/>
        <v>-307.85454545454655</v>
      </c>
      <c r="BF5" s="33">
        <f t="shared" si="1"/>
        <v>-313.35714285714391</v>
      </c>
      <c r="BG5" s="33">
        <f t="shared" si="1"/>
        <v>-318.85964912280809</v>
      </c>
      <c r="BH5" s="33">
        <f t="shared" si="1"/>
        <v>-324.36206896551829</v>
      </c>
      <c r="BI5" s="33">
        <f t="shared" si="1"/>
        <v>-329.86440677966209</v>
      </c>
    </row>
    <row r="6" spans="1:61" x14ac:dyDescent="0.25">
      <c r="A6" s="36" t="s">
        <v>12</v>
      </c>
      <c r="B6" s="1"/>
      <c r="C6" s="33">
        <f>(C5)^2</f>
        <v>49</v>
      </c>
      <c r="D6" s="33">
        <f>(D5)^2</f>
        <v>72.25</v>
      </c>
      <c r="E6" s="33">
        <f t="shared" ref="E6:BI6" si="2">(E5)^2</f>
        <v>427.11111111111103</v>
      </c>
      <c r="F6" s="33">
        <f t="shared" si="2"/>
        <v>930.25</v>
      </c>
      <c r="G6" s="33">
        <f t="shared" si="2"/>
        <v>864.3599999999999</v>
      </c>
      <c r="H6" s="33">
        <f t="shared" si="2"/>
        <v>1381.3611111111136</v>
      </c>
      <c r="I6" s="33">
        <f t="shared" si="2"/>
        <v>1836.7346938775538</v>
      </c>
      <c r="J6" s="33">
        <f t="shared" si="2"/>
        <v>2352.2500000000318</v>
      </c>
      <c r="K6" s="33">
        <f t="shared" si="2"/>
        <v>2928.0123456790434</v>
      </c>
      <c r="L6" s="33">
        <f t="shared" si="2"/>
        <v>3564.0900000000324</v>
      </c>
      <c r="M6" s="33">
        <f t="shared" si="2"/>
        <v>4260.5289256198676</v>
      </c>
      <c r="N6" s="33">
        <f t="shared" si="2"/>
        <v>5017.3611111111422</v>
      </c>
      <c r="O6" s="33">
        <f t="shared" si="2"/>
        <v>5834.6094674556516</v>
      </c>
      <c r="P6" s="33">
        <f t="shared" si="2"/>
        <v>6712.2908163265611</v>
      </c>
      <c r="Q6" s="33">
        <f t="shared" si="2"/>
        <v>7650.4177777778104</v>
      </c>
      <c r="R6" s="33">
        <f t="shared" si="2"/>
        <v>8649.0000000000309</v>
      </c>
      <c r="S6" s="33">
        <f t="shared" si="2"/>
        <v>9708.0449826989934</v>
      </c>
      <c r="T6" s="33">
        <f t="shared" si="2"/>
        <v>10827.558641975342</v>
      </c>
      <c r="U6" s="33">
        <f t="shared" si="2"/>
        <v>12007.545706371222</v>
      </c>
      <c r="V6" s="33">
        <f t="shared" si="2"/>
        <v>13248.010000000031</v>
      </c>
      <c r="W6" s="33">
        <f t="shared" si="2"/>
        <v>14548.954648526113</v>
      </c>
      <c r="X6" s="33">
        <f t="shared" si="2"/>
        <v>15910.382231404999</v>
      </c>
      <c r="Y6" s="33">
        <f t="shared" si="2"/>
        <v>17332.294896030289</v>
      </c>
      <c r="Z6" s="33">
        <f t="shared" si="2"/>
        <v>18814.694444444754</v>
      </c>
      <c r="AA6" s="33">
        <f t="shared" si="2"/>
        <v>20357.582400000309</v>
      </c>
      <c r="AB6" s="33">
        <f t="shared" si="2"/>
        <v>21960.960059171895</v>
      </c>
      <c r="AC6" s="33">
        <f t="shared" si="2"/>
        <v>23624.828532236243</v>
      </c>
      <c r="AD6" s="33">
        <f t="shared" si="2"/>
        <v>25349.188775510505</v>
      </c>
      <c r="AE6" s="33">
        <f t="shared" si="2"/>
        <v>27134.041617122781</v>
      </c>
      <c r="AF6" s="33">
        <f t="shared" si="2"/>
        <v>28979.387777778084</v>
      </c>
      <c r="AG6" s="33">
        <f t="shared" si="2"/>
        <v>30885.227887617377</v>
      </c>
      <c r="AH6" s="33">
        <f t="shared" si="2"/>
        <v>32851.562500000306</v>
      </c>
      <c r="AI6" s="33">
        <f t="shared" si="2"/>
        <v>34878.392102846956</v>
      </c>
      <c r="AJ6" s="33">
        <f t="shared" si="2"/>
        <v>36965.717128027994</v>
      </c>
      <c r="AK6" s="33">
        <f t="shared" si="2"/>
        <v>39113.537959183988</v>
      </c>
      <c r="AL6" s="33">
        <f t="shared" si="2"/>
        <v>41321.854938271914</v>
      </c>
      <c r="AM6" s="33">
        <f t="shared" si="2"/>
        <v>43590.66837107452</v>
      </c>
      <c r="AN6" s="33">
        <f t="shared" si="2"/>
        <v>45919.978531856686</v>
      </c>
      <c r="AO6" s="33">
        <f t="shared" si="2"/>
        <v>48309.785667324853</v>
      </c>
      <c r="AP6" s="33">
        <f t="shared" si="2"/>
        <v>50760.090000000724</v>
      </c>
      <c r="AQ6" s="33">
        <f t="shared" si="2"/>
        <v>53270.891731113144</v>
      </c>
      <c r="AR6" s="33">
        <f t="shared" si="2"/>
        <v>55842.191043084604</v>
      </c>
      <c r="AS6" s="33">
        <f t="shared" si="2"/>
        <v>58473.988101677278</v>
      </c>
      <c r="AT6" s="33">
        <f t="shared" si="2"/>
        <v>61166.283057851404</v>
      </c>
      <c r="AU6" s="33">
        <f t="shared" si="2"/>
        <v>63919.076049383424</v>
      </c>
      <c r="AV6" s="33">
        <f t="shared" si="2"/>
        <v>66732.367202269117</v>
      </c>
      <c r="AW6" s="33">
        <f t="shared" si="2"/>
        <v>69606.156631960854</v>
      </c>
      <c r="AX6" s="33">
        <f t="shared" si="2"/>
        <v>72540.444444445107</v>
      </c>
      <c r="AY6" s="33">
        <f t="shared" si="2"/>
        <v>75535.230737193517</v>
      </c>
      <c r="AZ6" s="33">
        <f t="shared" si="2"/>
        <v>78590.515600000654</v>
      </c>
      <c r="BA6" s="33">
        <f t="shared" si="2"/>
        <v>81706.299115725356</v>
      </c>
      <c r="BB6" s="33">
        <f t="shared" si="2"/>
        <v>84882.581360947384</v>
      </c>
      <c r="BC6" s="33">
        <f t="shared" si="2"/>
        <v>88119.362406551023</v>
      </c>
      <c r="BD6" s="33">
        <f t="shared" si="2"/>
        <v>91416.64231824482</v>
      </c>
      <c r="BE6" s="33">
        <f t="shared" si="2"/>
        <v>94774.42115702547</v>
      </c>
      <c r="BF6" s="33">
        <f t="shared" si="2"/>
        <v>98192.698979592504</v>
      </c>
      <c r="BG6" s="33">
        <f t="shared" si="2"/>
        <v>101671.47583872029</v>
      </c>
      <c r="BH6" s="33">
        <f t="shared" si="2"/>
        <v>105210.75178359164</v>
      </c>
      <c r="BI6" s="33">
        <f t="shared" si="2"/>
        <v>108810.52686009838</v>
      </c>
    </row>
    <row r="7" spans="1:61" x14ac:dyDescent="0.25">
      <c r="A7" s="7" t="s">
        <v>5</v>
      </c>
    </row>
    <row r="8" spans="1:61" x14ac:dyDescent="0.25">
      <c r="A8" s="34">
        <f>AVERAGE(C6:BI6)</f>
        <v>37752.403755576648</v>
      </c>
    </row>
    <row r="10" spans="1:61" x14ac:dyDescent="0.25">
      <c r="A10" s="7" t="s">
        <v>7</v>
      </c>
    </row>
    <row r="11" spans="1:61" x14ac:dyDescent="0.25">
      <c r="A11" s="7">
        <f>SUM(B2:BI2)/60</f>
        <v>346.30000000000126</v>
      </c>
    </row>
    <row r="13" spans="1:61" x14ac:dyDescent="0.25">
      <c r="A13" s="31" t="s">
        <v>6</v>
      </c>
      <c r="B13" s="7" t="s">
        <v>62</v>
      </c>
      <c r="C13" s="7">
        <v>61</v>
      </c>
      <c r="D13" s="7">
        <v>62</v>
      </c>
      <c r="E13" s="7">
        <v>63</v>
      </c>
      <c r="F13" s="7">
        <v>64</v>
      </c>
      <c r="G13" s="7">
        <v>65</v>
      </c>
      <c r="H13" s="7">
        <v>66</v>
      </c>
      <c r="I13" s="7">
        <v>67</v>
      </c>
      <c r="J13" s="7">
        <v>68</v>
      </c>
      <c r="K13" s="7">
        <v>69</v>
      </c>
      <c r="L13" s="7">
        <v>70</v>
      </c>
      <c r="M13" s="7">
        <v>71</v>
      </c>
      <c r="N13" s="7">
        <v>72</v>
      </c>
    </row>
    <row r="14" spans="1:61" x14ac:dyDescent="0.25">
      <c r="C14" s="7">
        <f t="shared" ref="C14:N14" si="3">$A$11</f>
        <v>346.30000000000126</v>
      </c>
      <c r="D14" s="7">
        <f t="shared" si="3"/>
        <v>346.30000000000126</v>
      </c>
      <c r="E14" s="7">
        <f t="shared" si="3"/>
        <v>346.30000000000126</v>
      </c>
      <c r="F14" s="7">
        <f t="shared" si="3"/>
        <v>346.30000000000126</v>
      </c>
      <c r="G14" s="7">
        <f t="shared" si="3"/>
        <v>346.30000000000126</v>
      </c>
      <c r="H14" s="7">
        <f t="shared" si="3"/>
        <v>346.30000000000126</v>
      </c>
      <c r="I14" s="7">
        <f t="shared" si="3"/>
        <v>346.30000000000126</v>
      </c>
      <c r="J14" s="7">
        <f t="shared" si="3"/>
        <v>346.30000000000126</v>
      </c>
      <c r="K14" s="7">
        <f t="shared" si="3"/>
        <v>346.30000000000126</v>
      </c>
      <c r="L14" s="7">
        <f t="shared" si="3"/>
        <v>346.30000000000126</v>
      </c>
      <c r="M14" s="7">
        <f t="shared" si="3"/>
        <v>346.30000000000126</v>
      </c>
      <c r="N14" s="7">
        <f t="shared" si="3"/>
        <v>346.30000000000126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D8830-4AAC-481E-8112-7285D489248C}">
  <sheetPr codeName="גיליון6">
    <tabColor theme="7" tint="0.39997558519241921"/>
  </sheetPr>
  <dimension ref="A1:BK462"/>
  <sheetViews>
    <sheetView rightToLeft="1" zoomScale="70" zoomScaleNormal="70" workbookViewId="0"/>
  </sheetViews>
  <sheetFormatPr defaultRowHeight="13.8" x14ac:dyDescent="0.25"/>
  <sheetData>
    <row r="1" spans="1:63" x14ac:dyDescent="0.25">
      <c r="A1" s="13" t="s">
        <v>1</v>
      </c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3">
        <v>11</v>
      </c>
      <c r="M1" s="13">
        <v>12</v>
      </c>
      <c r="N1" s="13">
        <v>13</v>
      </c>
      <c r="O1" s="13">
        <v>14</v>
      </c>
      <c r="P1" s="13">
        <v>15</v>
      </c>
      <c r="Q1" s="13">
        <v>16</v>
      </c>
      <c r="R1" s="13">
        <v>17</v>
      </c>
      <c r="S1" s="13">
        <v>18</v>
      </c>
      <c r="T1" s="13">
        <v>19</v>
      </c>
      <c r="U1" s="13">
        <v>20</v>
      </c>
      <c r="V1" s="13">
        <v>21</v>
      </c>
      <c r="W1" s="13">
        <v>22</v>
      </c>
      <c r="X1" s="13">
        <v>23</v>
      </c>
      <c r="Y1" s="13">
        <v>24</v>
      </c>
      <c r="Z1" s="13">
        <v>25</v>
      </c>
      <c r="AA1" s="13">
        <v>26</v>
      </c>
      <c r="AB1" s="13">
        <v>27</v>
      </c>
      <c r="AC1" s="13">
        <v>28</v>
      </c>
      <c r="AD1" s="13">
        <v>29</v>
      </c>
      <c r="AE1" s="13">
        <v>30</v>
      </c>
      <c r="AF1" s="13">
        <v>31</v>
      </c>
      <c r="AG1" s="13">
        <v>32</v>
      </c>
      <c r="AH1" s="13">
        <v>33</v>
      </c>
      <c r="AI1" s="13">
        <v>34</v>
      </c>
      <c r="AJ1" s="13">
        <v>35</v>
      </c>
      <c r="AK1" s="13">
        <v>36</v>
      </c>
      <c r="AL1" s="13">
        <v>37</v>
      </c>
      <c r="AM1" s="13">
        <v>38</v>
      </c>
      <c r="AN1" s="13">
        <v>39</v>
      </c>
      <c r="AO1" s="13">
        <v>40</v>
      </c>
      <c r="AP1" s="13">
        <v>41</v>
      </c>
      <c r="AQ1" s="13">
        <v>42</v>
      </c>
      <c r="AR1" s="13">
        <v>43</v>
      </c>
      <c r="AS1" s="13">
        <v>44</v>
      </c>
      <c r="AT1" s="13">
        <v>45</v>
      </c>
      <c r="AU1" s="13">
        <v>46</v>
      </c>
      <c r="AV1" s="13">
        <v>47</v>
      </c>
      <c r="AW1" s="13">
        <v>48</v>
      </c>
      <c r="AX1" s="13">
        <v>49</v>
      </c>
      <c r="AY1" s="13">
        <v>50</v>
      </c>
      <c r="AZ1" s="13">
        <v>51</v>
      </c>
      <c r="BA1" s="13">
        <v>52</v>
      </c>
      <c r="BB1" s="13">
        <v>53</v>
      </c>
      <c r="BC1" s="13">
        <v>54</v>
      </c>
      <c r="BD1" s="13">
        <v>55</v>
      </c>
      <c r="BE1" s="13">
        <v>56</v>
      </c>
      <c r="BF1" s="13">
        <v>57</v>
      </c>
      <c r="BG1" s="13">
        <v>58</v>
      </c>
      <c r="BH1" s="13">
        <v>59</v>
      </c>
      <c r="BI1" s="13">
        <v>60</v>
      </c>
    </row>
    <row r="2" spans="1:63" x14ac:dyDescent="0.25">
      <c r="A2" s="13" t="s">
        <v>0</v>
      </c>
      <c r="B2" s="37">
        <f>'הזנת נתונים'!A66</f>
        <v>28</v>
      </c>
      <c r="C2" s="37">
        <f>'הזנת נתונים'!B66</f>
        <v>35</v>
      </c>
      <c r="D2" s="37">
        <f>'הזנת נתונים'!C66</f>
        <v>40</v>
      </c>
      <c r="E2" s="37">
        <f>'הזנת נתונים'!D66</f>
        <v>55</v>
      </c>
      <c r="F2" s="37">
        <f>'הזנת נתונים'!E66</f>
        <v>70</v>
      </c>
      <c r="G2" s="37">
        <f>'הזנת נתונים'!F66</f>
        <v>75</v>
      </c>
      <c r="H2" s="37">
        <f>'הזנת נתונים'!G66</f>
        <v>87.6666666666667</v>
      </c>
      <c r="I2" s="37">
        <f>'הזנת נתונים'!H66</f>
        <v>98.6666666666667</v>
      </c>
      <c r="J2" s="37">
        <f>'הזנת נתונים'!I66</f>
        <v>109.666666666667</v>
      </c>
      <c r="K2" s="37">
        <f>'הזנת נתונים'!J66</f>
        <v>120.666666666667</v>
      </c>
      <c r="L2" s="37">
        <f>'הזנת נתונים'!K66</f>
        <v>131.666666666667</v>
      </c>
      <c r="M2" s="37">
        <f>'הזנת נתונים'!L66</f>
        <v>142.666666666667</v>
      </c>
      <c r="N2" s="37">
        <f>'הזנת נתונים'!M66</f>
        <v>153.666666666667</v>
      </c>
      <c r="O2" s="37">
        <f>'הזנת נתונים'!N66</f>
        <v>164.666666666667</v>
      </c>
      <c r="P2" s="37">
        <f>'הזנת נתונים'!O66</f>
        <v>175.666666666667</v>
      </c>
      <c r="Q2" s="37">
        <f>'הזנת נתונים'!P66</f>
        <v>186.666666666667</v>
      </c>
      <c r="R2" s="37">
        <f>'הזנת נתונים'!Q66</f>
        <v>197.666666666667</v>
      </c>
      <c r="S2" s="37">
        <f>'הזנת נתונים'!R66</f>
        <v>208.666666666667</v>
      </c>
      <c r="T2" s="37">
        <f>'הזנת נתונים'!S66</f>
        <v>219.666666666667</v>
      </c>
      <c r="U2" s="37">
        <f>'הזנת נתונים'!T66</f>
        <v>230.666666666667</v>
      </c>
      <c r="V2" s="37">
        <f>'הזנת נתונים'!U66</f>
        <v>241.666666666667</v>
      </c>
      <c r="W2" s="37">
        <f>'הזנת נתונים'!V66</f>
        <v>252.666666666667</v>
      </c>
      <c r="X2" s="37">
        <f>'הזנת נתונים'!W66</f>
        <v>263.66666666666703</v>
      </c>
      <c r="Y2" s="37">
        <f>'הזנת נתונים'!X66</f>
        <v>274.66666666666703</v>
      </c>
      <c r="Z2" s="37">
        <f>'הזנת נתונים'!Y66</f>
        <v>285.66666666666799</v>
      </c>
      <c r="AA2" s="37">
        <f>'הזנת נתונים'!Z66</f>
        <v>296.66666666666799</v>
      </c>
      <c r="AB2" s="37">
        <f>'הזנת נתונים'!AA66</f>
        <v>307.66666666666799</v>
      </c>
      <c r="AC2" s="37">
        <f>'הזנת נתונים'!AB66</f>
        <v>318.66666666666799</v>
      </c>
      <c r="AD2" s="37">
        <f>'הזנת נתונים'!AC66</f>
        <v>329.66666666666799</v>
      </c>
      <c r="AE2" s="37">
        <f>'הזנת נתונים'!AD66</f>
        <v>340.66666666666799</v>
      </c>
      <c r="AF2" s="37">
        <f>'הזנת נתונים'!AE66</f>
        <v>351.66666666666799</v>
      </c>
      <c r="AG2" s="37">
        <f>'הזנת נתונים'!AF66</f>
        <v>362.66666666666799</v>
      </c>
      <c r="AH2" s="37">
        <f>'הזנת נתונים'!AG66</f>
        <v>373.66666666666799</v>
      </c>
      <c r="AI2" s="37">
        <f>'הזנת נתונים'!AH66</f>
        <v>384.66666666666799</v>
      </c>
      <c r="AJ2" s="37">
        <f>'הזנת נתונים'!AI66</f>
        <v>395.66666666666799</v>
      </c>
      <c r="AK2" s="37">
        <f>'הזנת נתונים'!AJ66</f>
        <v>406.66666666666799</v>
      </c>
      <c r="AL2" s="37">
        <f>'הזנת נתונים'!AK66</f>
        <v>417.66666666666799</v>
      </c>
      <c r="AM2" s="37">
        <f>'הזנת נתונים'!AL66</f>
        <v>428.66666666666902</v>
      </c>
      <c r="AN2" s="37">
        <f>'הזנת נתונים'!AM66</f>
        <v>439.66666666666902</v>
      </c>
      <c r="AO2" s="37">
        <f>'הזנת נתונים'!AN66</f>
        <v>450.66666666666902</v>
      </c>
      <c r="AP2" s="37">
        <f>'הזנת נתונים'!AO66</f>
        <v>461.66666666666902</v>
      </c>
      <c r="AQ2" s="37">
        <f>'הזנת נתונים'!AP66</f>
        <v>472.66666666666902</v>
      </c>
      <c r="AR2" s="37">
        <f>'הזנת נתונים'!AQ66</f>
        <v>483.66666666666902</v>
      </c>
      <c r="AS2" s="37">
        <f>'הזנת נתונים'!AR66</f>
        <v>494.66666666666902</v>
      </c>
      <c r="AT2" s="37">
        <f>'הזנת נתונים'!AS66</f>
        <v>505.66666666666799</v>
      </c>
      <c r="AU2" s="37">
        <f>'הזנת נתונים'!AT66</f>
        <v>516.66666666666902</v>
      </c>
      <c r="AV2" s="37">
        <f>'הזנת נתונים'!AU66</f>
        <v>527.66666666666902</v>
      </c>
      <c r="AW2" s="37">
        <f>'הזנת נתונים'!AV66</f>
        <v>538.66666666666902</v>
      </c>
      <c r="AX2" s="37">
        <f>'הזנת נתונים'!AW66</f>
        <v>549.66666666666902</v>
      </c>
      <c r="AY2" s="37">
        <f>'הזנת נתונים'!AX66</f>
        <v>560.66666666666902</v>
      </c>
      <c r="AZ2" s="37">
        <f>'הזנת נתונים'!AY66</f>
        <v>571.66666666666902</v>
      </c>
      <c r="BA2" s="37">
        <f>'הזנת נתונים'!AZ66</f>
        <v>582.66666666666902</v>
      </c>
      <c r="BB2" s="37">
        <f>'הזנת נתונים'!BA66</f>
        <v>593.66666666666902</v>
      </c>
      <c r="BC2" s="37">
        <f>'הזנת נתונים'!BB66</f>
        <v>604.66666666666902</v>
      </c>
      <c r="BD2" s="37">
        <f>'הזנת נתונים'!BC66</f>
        <v>615.66666666666902</v>
      </c>
      <c r="BE2" s="37">
        <f>'הזנת נתונים'!BD66</f>
        <v>626.66666666666902</v>
      </c>
      <c r="BF2" s="37">
        <f>'הזנת נתונים'!BE66</f>
        <v>637.66666666666902</v>
      </c>
      <c r="BG2" s="37">
        <f>'הזנת נתונים'!BF66</f>
        <v>648.66666666666902</v>
      </c>
      <c r="BH2" s="37">
        <f>'הזנת נתונים'!BG66</f>
        <v>659.66666666666902</v>
      </c>
      <c r="BI2" s="37">
        <f>'הזנת נתונים'!BH66</f>
        <v>670.66666666666902</v>
      </c>
    </row>
    <row r="3" spans="1:63" x14ac:dyDescent="0.25">
      <c r="A3" s="13" t="s">
        <v>2</v>
      </c>
      <c r="B3" s="39" t="e">
        <v>#N/A</v>
      </c>
      <c r="C3" s="39" t="e">
        <v>#N/A</v>
      </c>
      <c r="D3" s="39" t="e">
        <v>#N/A</v>
      </c>
      <c r="E3" s="39" t="e">
        <v>#N/A</v>
      </c>
      <c r="F3" s="7">
        <f t="shared" ref="F3:AK3" si="0">AVERAGE(B2:F2)</f>
        <v>45.6</v>
      </c>
      <c r="G3" s="7">
        <f t="shared" si="0"/>
        <v>55</v>
      </c>
      <c r="H3" s="7">
        <f t="shared" si="0"/>
        <v>65.533333333333331</v>
      </c>
      <c r="I3" s="7">
        <f t="shared" si="0"/>
        <v>77.26666666666668</v>
      </c>
      <c r="J3" s="7">
        <f t="shared" si="0"/>
        <v>88.200000000000074</v>
      </c>
      <c r="K3" s="7">
        <f t="shared" si="0"/>
        <v>98.333333333333456</v>
      </c>
      <c r="L3" s="7">
        <f t="shared" si="0"/>
        <v>109.66666666666688</v>
      </c>
      <c r="M3" s="7">
        <f t="shared" si="0"/>
        <v>120.66666666666693</v>
      </c>
      <c r="N3" s="7">
        <f t="shared" si="0"/>
        <v>131.666666666667</v>
      </c>
      <c r="O3" s="7">
        <f t="shared" si="0"/>
        <v>142.666666666667</v>
      </c>
      <c r="P3" s="7">
        <f t="shared" si="0"/>
        <v>153.666666666667</v>
      </c>
      <c r="Q3" s="7">
        <f t="shared" si="0"/>
        <v>164.666666666667</v>
      </c>
      <c r="R3" s="7">
        <f t="shared" si="0"/>
        <v>175.666666666667</v>
      </c>
      <c r="S3" s="7">
        <f t="shared" si="0"/>
        <v>186.666666666667</v>
      </c>
      <c r="T3" s="7">
        <f t="shared" si="0"/>
        <v>197.666666666667</v>
      </c>
      <c r="U3" s="7">
        <f t="shared" si="0"/>
        <v>208.66666666666703</v>
      </c>
      <c r="V3" s="7">
        <f t="shared" si="0"/>
        <v>219.66666666666703</v>
      </c>
      <c r="W3" s="7">
        <f t="shared" si="0"/>
        <v>230.66666666666703</v>
      </c>
      <c r="X3" s="7">
        <f t="shared" si="0"/>
        <v>241.66666666666703</v>
      </c>
      <c r="Y3" s="7">
        <f t="shared" si="0"/>
        <v>252.66666666666703</v>
      </c>
      <c r="Z3" s="7">
        <f t="shared" si="0"/>
        <v>263.66666666666725</v>
      </c>
      <c r="AA3" s="7">
        <f t="shared" si="0"/>
        <v>274.66666666666742</v>
      </c>
      <c r="AB3" s="7">
        <f t="shared" si="0"/>
        <v>285.6666666666676</v>
      </c>
      <c r="AC3" s="7">
        <f t="shared" si="0"/>
        <v>296.66666666666777</v>
      </c>
      <c r="AD3" s="7">
        <f t="shared" si="0"/>
        <v>307.66666666666799</v>
      </c>
      <c r="AE3" s="7">
        <f t="shared" si="0"/>
        <v>318.66666666666799</v>
      </c>
      <c r="AF3" s="7">
        <f t="shared" si="0"/>
        <v>329.66666666666799</v>
      </c>
      <c r="AG3" s="7">
        <f t="shared" si="0"/>
        <v>340.66666666666799</v>
      </c>
      <c r="AH3" s="7">
        <f t="shared" si="0"/>
        <v>351.66666666666799</v>
      </c>
      <c r="AI3" s="7">
        <f t="shared" si="0"/>
        <v>362.66666666666799</v>
      </c>
      <c r="AJ3" s="7">
        <f t="shared" si="0"/>
        <v>373.66666666666799</v>
      </c>
      <c r="AK3" s="7">
        <f t="shared" si="0"/>
        <v>384.66666666666799</v>
      </c>
      <c r="AL3" s="7">
        <f t="shared" ref="AL3:BI3" si="1">AVERAGE(AH2:AL2)</f>
        <v>395.66666666666799</v>
      </c>
      <c r="AM3" s="7">
        <f t="shared" si="1"/>
        <v>406.66666666666822</v>
      </c>
      <c r="AN3" s="7">
        <f t="shared" si="1"/>
        <v>417.66666666666845</v>
      </c>
      <c r="AO3" s="7">
        <f t="shared" si="1"/>
        <v>428.66666666666862</v>
      </c>
      <c r="AP3" s="7">
        <f t="shared" si="1"/>
        <v>439.66666666666879</v>
      </c>
      <c r="AQ3" s="7">
        <f t="shared" si="1"/>
        <v>450.66666666666896</v>
      </c>
      <c r="AR3" s="7">
        <f t="shared" si="1"/>
        <v>461.66666666666896</v>
      </c>
      <c r="AS3" s="7">
        <f t="shared" si="1"/>
        <v>472.66666666666896</v>
      </c>
      <c r="AT3" s="7">
        <f t="shared" si="1"/>
        <v>483.66666666666879</v>
      </c>
      <c r="AU3" s="7">
        <f t="shared" si="1"/>
        <v>494.66666666666879</v>
      </c>
      <c r="AV3" s="7">
        <f t="shared" si="1"/>
        <v>505.66666666666879</v>
      </c>
      <c r="AW3" s="7">
        <f t="shared" si="1"/>
        <v>516.66666666666879</v>
      </c>
      <c r="AX3" s="7">
        <f t="shared" si="1"/>
        <v>527.66666666666879</v>
      </c>
      <c r="AY3" s="7">
        <f t="shared" si="1"/>
        <v>538.66666666666902</v>
      </c>
      <c r="AZ3" s="7">
        <f t="shared" si="1"/>
        <v>549.66666666666902</v>
      </c>
      <c r="BA3" s="7">
        <f t="shared" si="1"/>
        <v>560.66666666666902</v>
      </c>
      <c r="BB3" s="7">
        <f t="shared" si="1"/>
        <v>571.66666666666902</v>
      </c>
      <c r="BC3" s="7">
        <f t="shared" si="1"/>
        <v>582.66666666666902</v>
      </c>
      <c r="BD3" s="7">
        <f t="shared" si="1"/>
        <v>593.66666666666902</v>
      </c>
      <c r="BE3" s="7">
        <f t="shared" si="1"/>
        <v>604.66666666666902</v>
      </c>
      <c r="BF3" s="7">
        <f t="shared" si="1"/>
        <v>615.66666666666902</v>
      </c>
      <c r="BG3" s="7">
        <f t="shared" si="1"/>
        <v>626.66666666666902</v>
      </c>
      <c r="BH3" s="7">
        <f t="shared" si="1"/>
        <v>637.66666666666902</v>
      </c>
      <c r="BI3" s="7">
        <f t="shared" si="1"/>
        <v>648.66666666666902</v>
      </c>
    </row>
    <row r="4" spans="1:63" x14ac:dyDescent="0.25">
      <c r="A4" s="13" t="s">
        <v>9</v>
      </c>
      <c r="B4" s="7"/>
      <c r="C4" s="7"/>
      <c r="D4" s="7"/>
      <c r="E4" s="7"/>
      <c r="F4" s="7"/>
      <c r="G4" s="7">
        <f>F3</f>
        <v>45.6</v>
      </c>
      <c r="H4" s="7">
        <f t="shared" ref="H4:BI4" si="2">G3</f>
        <v>55</v>
      </c>
      <c r="I4" s="7">
        <f t="shared" si="2"/>
        <v>65.533333333333331</v>
      </c>
      <c r="J4" s="7">
        <f t="shared" si="2"/>
        <v>77.26666666666668</v>
      </c>
      <c r="K4" s="7">
        <f t="shared" si="2"/>
        <v>88.200000000000074</v>
      </c>
      <c r="L4" s="7">
        <f t="shared" si="2"/>
        <v>98.333333333333456</v>
      </c>
      <c r="M4" s="7">
        <f t="shared" si="2"/>
        <v>109.66666666666688</v>
      </c>
      <c r="N4" s="7">
        <f t="shared" si="2"/>
        <v>120.66666666666693</v>
      </c>
      <c r="O4" s="7">
        <f t="shared" si="2"/>
        <v>131.666666666667</v>
      </c>
      <c r="P4" s="7">
        <f t="shared" si="2"/>
        <v>142.666666666667</v>
      </c>
      <c r="Q4" s="7">
        <f t="shared" si="2"/>
        <v>153.666666666667</v>
      </c>
      <c r="R4" s="7">
        <f t="shared" si="2"/>
        <v>164.666666666667</v>
      </c>
      <c r="S4" s="7">
        <f t="shared" si="2"/>
        <v>175.666666666667</v>
      </c>
      <c r="T4" s="7">
        <f t="shared" si="2"/>
        <v>186.666666666667</v>
      </c>
      <c r="U4" s="7">
        <f t="shared" si="2"/>
        <v>197.666666666667</v>
      </c>
      <c r="V4" s="7">
        <f t="shared" si="2"/>
        <v>208.66666666666703</v>
      </c>
      <c r="W4" s="7">
        <f t="shared" si="2"/>
        <v>219.66666666666703</v>
      </c>
      <c r="X4" s="7">
        <f t="shared" si="2"/>
        <v>230.66666666666703</v>
      </c>
      <c r="Y4" s="7">
        <f t="shared" si="2"/>
        <v>241.66666666666703</v>
      </c>
      <c r="Z4" s="7">
        <f t="shared" si="2"/>
        <v>252.66666666666703</v>
      </c>
      <c r="AA4" s="7">
        <f t="shared" si="2"/>
        <v>263.66666666666725</v>
      </c>
      <c r="AB4" s="7">
        <f t="shared" si="2"/>
        <v>274.66666666666742</v>
      </c>
      <c r="AC4" s="7">
        <f t="shared" si="2"/>
        <v>285.6666666666676</v>
      </c>
      <c r="AD4" s="7">
        <f t="shared" si="2"/>
        <v>296.66666666666777</v>
      </c>
      <c r="AE4" s="7">
        <f t="shared" si="2"/>
        <v>307.66666666666799</v>
      </c>
      <c r="AF4" s="7">
        <f t="shared" si="2"/>
        <v>318.66666666666799</v>
      </c>
      <c r="AG4" s="7">
        <f t="shared" si="2"/>
        <v>329.66666666666799</v>
      </c>
      <c r="AH4" s="7">
        <f t="shared" si="2"/>
        <v>340.66666666666799</v>
      </c>
      <c r="AI4" s="7">
        <f t="shared" si="2"/>
        <v>351.66666666666799</v>
      </c>
      <c r="AJ4" s="7">
        <f t="shared" si="2"/>
        <v>362.66666666666799</v>
      </c>
      <c r="AK4" s="7">
        <f t="shared" si="2"/>
        <v>373.66666666666799</v>
      </c>
      <c r="AL4" s="7">
        <f t="shared" si="2"/>
        <v>384.66666666666799</v>
      </c>
      <c r="AM4" s="7">
        <f t="shared" si="2"/>
        <v>395.66666666666799</v>
      </c>
      <c r="AN4" s="7">
        <f t="shared" si="2"/>
        <v>406.66666666666822</v>
      </c>
      <c r="AO4" s="7">
        <f t="shared" si="2"/>
        <v>417.66666666666845</v>
      </c>
      <c r="AP4" s="7">
        <f t="shared" si="2"/>
        <v>428.66666666666862</v>
      </c>
      <c r="AQ4" s="7">
        <f t="shared" si="2"/>
        <v>439.66666666666879</v>
      </c>
      <c r="AR4" s="7">
        <f t="shared" si="2"/>
        <v>450.66666666666896</v>
      </c>
      <c r="AS4" s="7">
        <f t="shared" si="2"/>
        <v>461.66666666666896</v>
      </c>
      <c r="AT4" s="7">
        <f t="shared" si="2"/>
        <v>472.66666666666896</v>
      </c>
      <c r="AU4" s="7">
        <f t="shared" si="2"/>
        <v>483.66666666666879</v>
      </c>
      <c r="AV4" s="7">
        <f t="shared" si="2"/>
        <v>494.66666666666879</v>
      </c>
      <c r="AW4" s="7">
        <f t="shared" si="2"/>
        <v>505.66666666666879</v>
      </c>
      <c r="AX4" s="7">
        <f t="shared" si="2"/>
        <v>516.66666666666879</v>
      </c>
      <c r="AY4" s="7">
        <f t="shared" si="2"/>
        <v>527.66666666666879</v>
      </c>
      <c r="AZ4" s="7">
        <f t="shared" si="2"/>
        <v>538.66666666666902</v>
      </c>
      <c r="BA4" s="7">
        <f t="shared" si="2"/>
        <v>549.66666666666902</v>
      </c>
      <c r="BB4" s="7">
        <f t="shared" si="2"/>
        <v>560.66666666666902</v>
      </c>
      <c r="BC4" s="7">
        <f t="shared" si="2"/>
        <v>571.66666666666902</v>
      </c>
      <c r="BD4" s="7">
        <f t="shared" si="2"/>
        <v>582.66666666666902</v>
      </c>
      <c r="BE4" s="7">
        <f t="shared" si="2"/>
        <v>593.66666666666902</v>
      </c>
      <c r="BF4" s="7">
        <f t="shared" si="2"/>
        <v>604.66666666666902</v>
      </c>
      <c r="BG4" s="7">
        <f t="shared" si="2"/>
        <v>615.66666666666902</v>
      </c>
      <c r="BH4" s="7">
        <f t="shared" si="2"/>
        <v>626.66666666666902</v>
      </c>
      <c r="BI4" s="7">
        <f t="shared" si="2"/>
        <v>637.66666666666902</v>
      </c>
    </row>
    <row r="5" spans="1:63" x14ac:dyDescent="0.25">
      <c r="A5" s="13" t="s">
        <v>4</v>
      </c>
      <c r="B5" s="7"/>
      <c r="C5" s="7"/>
      <c r="D5" s="7"/>
      <c r="E5" s="7"/>
      <c r="F5" s="7"/>
      <c r="G5" s="7">
        <f>G4-G2</f>
        <v>-29.4</v>
      </c>
      <c r="H5" s="7">
        <f t="shared" ref="H5:BI5" si="3">H4-H2</f>
        <v>-32.6666666666667</v>
      </c>
      <c r="I5" s="7">
        <f t="shared" si="3"/>
        <v>-33.133333333333368</v>
      </c>
      <c r="J5" s="7">
        <f t="shared" si="3"/>
        <v>-32.400000000000318</v>
      </c>
      <c r="K5" s="7">
        <f t="shared" si="3"/>
        <v>-32.466666666666924</v>
      </c>
      <c r="L5" s="7">
        <f t="shared" si="3"/>
        <v>-33.333333333333542</v>
      </c>
      <c r="M5" s="7">
        <f t="shared" si="3"/>
        <v>-33.000000000000114</v>
      </c>
      <c r="N5" s="7">
        <f t="shared" si="3"/>
        <v>-33.000000000000071</v>
      </c>
      <c r="O5" s="7">
        <f t="shared" si="3"/>
        <v>-33</v>
      </c>
      <c r="P5" s="7">
        <f t="shared" si="3"/>
        <v>-33</v>
      </c>
      <c r="Q5" s="7">
        <f t="shared" si="3"/>
        <v>-33</v>
      </c>
      <c r="R5" s="7">
        <f t="shared" si="3"/>
        <v>-33</v>
      </c>
      <c r="S5" s="7">
        <f t="shared" si="3"/>
        <v>-33</v>
      </c>
      <c r="T5" s="7">
        <f t="shared" si="3"/>
        <v>-33</v>
      </c>
      <c r="U5" s="7">
        <f t="shared" si="3"/>
        <v>-33</v>
      </c>
      <c r="V5" s="7">
        <f t="shared" si="3"/>
        <v>-32.999999999999972</v>
      </c>
      <c r="W5" s="7">
        <f t="shared" si="3"/>
        <v>-32.999999999999972</v>
      </c>
      <c r="X5" s="7">
        <f t="shared" si="3"/>
        <v>-33</v>
      </c>
      <c r="Y5" s="7">
        <f t="shared" si="3"/>
        <v>-33</v>
      </c>
      <c r="Z5" s="7">
        <f t="shared" si="3"/>
        <v>-33.000000000000966</v>
      </c>
      <c r="AA5" s="7">
        <f t="shared" si="3"/>
        <v>-33.000000000000739</v>
      </c>
      <c r="AB5" s="7">
        <f t="shared" si="3"/>
        <v>-33.000000000000568</v>
      </c>
      <c r="AC5" s="7">
        <f t="shared" si="3"/>
        <v>-33.000000000000398</v>
      </c>
      <c r="AD5" s="7">
        <f t="shared" si="3"/>
        <v>-33.000000000000227</v>
      </c>
      <c r="AE5" s="7">
        <f t="shared" si="3"/>
        <v>-33</v>
      </c>
      <c r="AF5" s="7">
        <f t="shared" si="3"/>
        <v>-33</v>
      </c>
      <c r="AG5" s="7">
        <f t="shared" si="3"/>
        <v>-33</v>
      </c>
      <c r="AH5" s="7">
        <f t="shared" si="3"/>
        <v>-33</v>
      </c>
      <c r="AI5" s="7">
        <f t="shared" si="3"/>
        <v>-33</v>
      </c>
      <c r="AJ5" s="7">
        <f t="shared" si="3"/>
        <v>-33</v>
      </c>
      <c r="AK5" s="7">
        <f t="shared" si="3"/>
        <v>-33</v>
      </c>
      <c r="AL5" s="7">
        <f t="shared" si="3"/>
        <v>-33</v>
      </c>
      <c r="AM5" s="7">
        <f t="shared" si="3"/>
        <v>-33.000000000001023</v>
      </c>
      <c r="AN5" s="7">
        <f t="shared" si="3"/>
        <v>-33.000000000000796</v>
      </c>
      <c r="AO5" s="7">
        <f t="shared" si="3"/>
        <v>-33.000000000000568</v>
      </c>
      <c r="AP5" s="7">
        <f t="shared" si="3"/>
        <v>-33.000000000000398</v>
      </c>
      <c r="AQ5" s="7">
        <f t="shared" si="3"/>
        <v>-33.000000000000227</v>
      </c>
      <c r="AR5" s="7">
        <f t="shared" si="3"/>
        <v>-33.000000000000057</v>
      </c>
      <c r="AS5" s="7">
        <f t="shared" si="3"/>
        <v>-33.000000000000057</v>
      </c>
      <c r="AT5" s="7">
        <f t="shared" si="3"/>
        <v>-32.999999999999034</v>
      </c>
      <c r="AU5" s="7">
        <f t="shared" si="3"/>
        <v>-33.000000000000227</v>
      </c>
      <c r="AV5" s="7">
        <f t="shared" si="3"/>
        <v>-33.000000000000227</v>
      </c>
      <c r="AW5" s="7">
        <f t="shared" si="3"/>
        <v>-33.000000000000227</v>
      </c>
      <c r="AX5" s="7">
        <f t="shared" si="3"/>
        <v>-33.000000000000227</v>
      </c>
      <c r="AY5" s="7">
        <f t="shared" si="3"/>
        <v>-33.000000000000227</v>
      </c>
      <c r="AZ5" s="7">
        <f t="shared" si="3"/>
        <v>-33</v>
      </c>
      <c r="BA5" s="7">
        <f t="shared" si="3"/>
        <v>-33</v>
      </c>
      <c r="BB5" s="7">
        <f t="shared" si="3"/>
        <v>-33</v>
      </c>
      <c r="BC5" s="7">
        <f t="shared" si="3"/>
        <v>-33</v>
      </c>
      <c r="BD5" s="7">
        <f t="shared" si="3"/>
        <v>-33</v>
      </c>
      <c r="BE5" s="7">
        <f t="shared" si="3"/>
        <v>-33</v>
      </c>
      <c r="BF5" s="7">
        <f t="shared" si="3"/>
        <v>-33</v>
      </c>
      <c r="BG5" s="7">
        <f t="shared" si="3"/>
        <v>-33</v>
      </c>
      <c r="BH5" s="7">
        <f t="shared" si="3"/>
        <v>-33</v>
      </c>
      <c r="BI5" s="7">
        <f t="shared" si="3"/>
        <v>-33</v>
      </c>
    </row>
    <row r="6" spans="1:63" x14ac:dyDescent="0.25">
      <c r="A6" s="13" t="s">
        <v>12</v>
      </c>
      <c r="B6" s="7"/>
      <c r="C6" s="7"/>
      <c r="D6" s="7"/>
      <c r="E6" s="7"/>
      <c r="F6" s="7"/>
      <c r="G6" s="7">
        <f>(G5)^2</f>
        <v>864.3599999999999</v>
      </c>
      <c r="H6" s="7">
        <f t="shared" ref="H6:BI6" si="4">(H5)^2</f>
        <v>1067.1111111111134</v>
      </c>
      <c r="I6" s="7">
        <f t="shared" si="4"/>
        <v>1097.8177777777801</v>
      </c>
      <c r="J6" s="7">
        <f t="shared" si="4"/>
        <v>1049.7600000000207</v>
      </c>
      <c r="K6" s="7">
        <f t="shared" si="4"/>
        <v>1054.0844444444613</v>
      </c>
      <c r="L6" s="7">
        <f t="shared" si="4"/>
        <v>1111.111111111125</v>
      </c>
      <c r="M6" s="7">
        <f t="shared" si="4"/>
        <v>1089.0000000000075</v>
      </c>
      <c r="N6" s="7">
        <f t="shared" si="4"/>
        <v>1089.0000000000048</v>
      </c>
      <c r="O6" s="7">
        <f t="shared" si="4"/>
        <v>1089</v>
      </c>
      <c r="P6" s="7">
        <f t="shared" si="4"/>
        <v>1089</v>
      </c>
      <c r="Q6" s="7">
        <f t="shared" si="4"/>
        <v>1089</v>
      </c>
      <c r="R6" s="7">
        <f t="shared" si="4"/>
        <v>1089</v>
      </c>
      <c r="S6" s="7">
        <f t="shared" si="4"/>
        <v>1089</v>
      </c>
      <c r="T6" s="7">
        <f t="shared" si="4"/>
        <v>1089</v>
      </c>
      <c r="U6" s="7">
        <f t="shared" si="4"/>
        <v>1089</v>
      </c>
      <c r="V6" s="7">
        <f t="shared" si="4"/>
        <v>1088.9999999999982</v>
      </c>
      <c r="W6" s="7">
        <f t="shared" si="4"/>
        <v>1088.9999999999982</v>
      </c>
      <c r="X6" s="7">
        <f t="shared" si="4"/>
        <v>1089</v>
      </c>
      <c r="Y6" s="7">
        <f t="shared" si="4"/>
        <v>1089</v>
      </c>
      <c r="Z6" s="7">
        <f t="shared" si="4"/>
        <v>1089.0000000000637</v>
      </c>
      <c r="AA6" s="7">
        <f t="shared" si="4"/>
        <v>1089.0000000000487</v>
      </c>
      <c r="AB6" s="7">
        <f t="shared" si="4"/>
        <v>1089.0000000000375</v>
      </c>
      <c r="AC6" s="7">
        <f t="shared" si="4"/>
        <v>1089.0000000000264</v>
      </c>
      <c r="AD6" s="7">
        <f t="shared" si="4"/>
        <v>1089.000000000015</v>
      </c>
      <c r="AE6" s="7">
        <f t="shared" si="4"/>
        <v>1089</v>
      </c>
      <c r="AF6" s="7">
        <f t="shared" si="4"/>
        <v>1089</v>
      </c>
      <c r="AG6" s="7">
        <f t="shared" si="4"/>
        <v>1089</v>
      </c>
      <c r="AH6" s="7">
        <f t="shared" si="4"/>
        <v>1089</v>
      </c>
      <c r="AI6" s="7">
        <f t="shared" si="4"/>
        <v>1089</v>
      </c>
      <c r="AJ6" s="7">
        <f t="shared" si="4"/>
        <v>1089</v>
      </c>
      <c r="AK6" s="7">
        <f t="shared" si="4"/>
        <v>1089</v>
      </c>
      <c r="AL6" s="7">
        <f t="shared" si="4"/>
        <v>1089</v>
      </c>
      <c r="AM6" s="7">
        <f t="shared" si="4"/>
        <v>1089.0000000000675</v>
      </c>
      <c r="AN6" s="7">
        <f t="shared" si="4"/>
        <v>1089.0000000000525</v>
      </c>
      <c r="AO6" s="7">
        <f t="shared" si="4"/>
        <v>1089.0000000000375</v>
      </c>
      <c r="AP6" s="7">
        <f t="shared" si="4"/>
        <v>1089.0000000000264</v>
      </c>
      <c r="AQ6" s="7">
        <f t="shared" si="4"/>
        <v>1089.000000000015</v>
      </c>
      <c r="AR6" s="7">
        <f t="shared" si="4"/>
        <v>1089.0000000000036</v>
      </c>
      <c r="AS6" s="7">
        <f t="shared" si="4"/>
        <v>1089.0000000000036</v>
      </c>
      <c r="AT6" s="7">
        <f t="shared" si="4"/>
        <v>1088.9999999999363</v>
      </c>
      <c r="AU6" s="7">
        <f t="shared" si="4"/>
        <v>1089.000000000015</v>
      </c>
      <c r="AV6" s="7">
        <f t="shared" si="4"/>
        <v>1089.000000000015</v>
      </c>
      <c r="AW6" s="7">
        <f t="shared" si="4"/>
        <v>1089.000000000015</v>
      </c>
      <c r="AX6" s="7">
        <f t="shared" si="4"/>
        <v>1089.000000000015</v>
      </c>
      <c r="AY6" s="7">
        <f t="shared" si="4"/>
        <v>1089.000000000015</v>
      </c>
      <c r="AZ6" s="7">
        <f t="shared" si="4"/>
        <v>1089</v>
      </c>
      <c r="BA6" s="7">
        <f t="shared" si="4"/>
        <v>1089</v>
      </c>
      <c r="BB6" s="7">
        <f t="shared" si="4"/>
        <v>1089</v>
      </c>
      <c r="BC6" s="7">
        <f t="shared" si="4"/>
        <v>1089</v>
      </c>
      <c r="BD6" s="7">
        <f t="shared" si="4"/>
        <v>1089</v>
      </c>
      <c r="BE6" s="7">
        <f t="shared" si="4"/>
        <v>1089</v>
      </c>
      <c r="BF6" s="7">
        <f t="shared" si="4"/>
        <v>1089</v>
      </c>
      <c r="BG6" s="7">
        <f t="shared" si="4"/>
        <v>1089</v>
      </c>
      <c r="BH6" s="7">
        <f t="shared" si="4"/>
        <v>1089</v>
      </c>
      <c r="BI6" s="7">
        <f t="shared" si="4"/>
        <v>1089</v>
      </c>
    </row>
    <row r="7" spans="1:63" x14ac:dyDescent="0.25">
      <c r="A7" s="38" t="s">
        <v>11</v>
      </c>
      <c r="B7" s="38">
        <v>5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63" x14ac:dyDescent="0.25">
      <c r="A8" s="8" t="s">
        <v>5</v>
      </c>
      <c r="B8" s="8">
        <f>AVERAGE(G6:BI6)</f>
        <v>1083.7317171717254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63" x14ac:dyDescent="0.25">
      <c r="A9" s="7" t="s">
        <v>7</v>
      </c>
      <c r="B9" s="7">
        <f>SUM(BE2:BI2)/B7</f>
        <v>648.66666666666902</v>
      </c>
    </row>
    <row r="10" spans="1:63" x14ac:dyDescent="0.25">
      <c r="A10" s="31" t="s">
        <v>6</v>
      </c>
      <c r="B10" s="7" t="s">
        <v>62</v>
      </c>
      <c r="C10" s="7">
        <v>61</v>
      </c>
      <c r="D10" s="7">
        <v>62</v>
      </c>
      <c r="E10" s="7">
        <v>63</v>
      </c>
      <c r="F10" s="7">
        <v>64</v>
      </c>
      <c r="G10" s="7">
        <v>65</v>
      </c>
      <c r="H10" s="7">
        <v>66</v>
      </c>
      <c r="I10" s="7">
        <v>67</v>
      </c>
      <c r="J10" s="7">
        <v>68</v>
      </c>
      <c r="K10" s="7">
        <v>69</v>
      </c>
      <c r="L10" s="7">
        <v>70</v>
      </c>
      <c r="M10" s="7">
        <v>71</v>
      </c>
      <c r="N10" s="7">
        <v>72</v>
      </c>
    </row>
    <row r="11" spans="1:63" x14ac:dyDescent="0.25">
      <c r="C11" s="7">
        <f>$B$9</f>
        <v>648.66666666666902</v>
      </c>
      <c r="D11" s="7">
        <f t="shared" ref="D11:N11" si="5">$B$9</f>
        <v>648.66666666666902</v>
      </c>
      <c r="E11" s="7">
        <f t="shared" si="5"/>
        <v>648.66666666666902</v>
      </c>
      <c r="F11" s="7">
        <f t="shared" si="5"/>
        <v>648.66666666666902</v>
      </c>
      <c r="G11" s="7">
        <f t="shared" si="5"/>
        <v>648.66666666666902</v>
      </c>
      <c r="H11" s="7">
        <f t="shared" si="5"/>
        <v>648.66666666666902</v>
      </c>
      <c r="I11" s="7">
        <f t="shared" si="5"/>
        <v>648.66666666666902</v>
      </c>
      <c r="J11" s="7">
        <f t="shared" si="5"/>
        <v>648.66666666666902</v>
      </c>
      <c r="K11" s="7">
        <f t="shared" si="5"/>
        <v>648.66666666666902</v>
      </c>
      <c r="L11" s="7">
        <f t="shared" si="5"/>
        <v>648.66666666666902</v>
      </c>
      <c r="M11" s="7">
        <f t="shared" si="5"/>
        <v>648.66666666666902</v>
      </c>
      <c r="N11" s="7">
        <f t="shared" si="5"/>
        <v>648.66666666666902</v>
      </c>
    </row>
    <row r="13" spans="1:63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</row>
    <row r="15" spans="1:63" x14ac:dyDescent="0.25">
      <c r="A15" s="13" t="s">
        <v>1</v>
      </c>
      <c r="B15" s="13">
        <v>1</v>
      </c>
      <c r="C15" s="13">
        <v>2</v>
      </c>
      <c r="D15" s="13">
        <v>3</v>
      </c>
      <c r="E15" s="13">
        <v>4</v>
      </c>
      <c r="F15" s="13">
        <v>5</v>
      </c>
      <c r="G15" s="13">
        <v>6</v>
      </c>
      <c r="H15" s="13">
        <v>7</v>
      </c>
      <c r="I15" s="13">
        <v>8</v>
      </c>
      <c r="J15" s="13">
        <v>9</v>
      </c>
      <c r="K15" s="13">
        <v>10</v>
      </c>
      <c r="L15" s="13">
        <v>11</v>
      </c>
      <c r="M15" s="13">
        <v>12</v>
      </c>
      <c r="N15" s="13">
        <v>13</v>
      </c>
      <c r="O15" s="13">
        <v>14</v>
      </c>
      <c r="P15" s="13">
        <v>15</v>
      </c>
      <c r="Q15" s="13">
        <v>16</v>
      </c>
      <c r="R15" s="13">
        <v>17</v>
      </c>
      <c r="S15" s="13">
        <v>18</v>
      </c>
      <c r="T15" s="13">
        <v>19</v>
      </c>
      <c r="U15" s="13">
        <v>20</v>
      </c>
      <c r="V15" s="13">
        <v>21</v>
      </c>
      <c r="W15" s="13">
        <v>22</v>
      </c>
      <c r="X15" s="13">
        <v>23</v>
      </c>
      <c r="Y15" s="13">
        <v>24</v>
      </c>
      <c r="Z15" s="13">
        <v>25</v>
      </c>
      <c r="AA15" s="13">
        <v>26</v>
      </c>
      <c r="AB15" s="13">
        <v>27</v>
      </c>
      <c r="AC15" s="13">
        <v>28</v>
      </c>
      <c r="AD15" s="13">
        <v>29</v>
      </c>
      <c r="AE15" s="13">
        <v>30</v>
      </c>
      <c r="AF15" s="13">
        <v>31</v>
      </c>
      <c r="AG15" s="13">
        <v>32</v>
      </c>
      <c r="AH15" s="13">
        <v>33</v>
      </c>
      <c r="AI15" s="13">
        <v>34</v>
      </c>
      <c r="AJ15" s="13">
        <v>35</v>
      </c>
      <c r="AK15" s="13">
        <v>36</v>
      </c>
      <c r="AL15" s="13">
        <v>37</v>
      </c>
      <c r="AM15" s="13">
        <v>38</v>
      </c>
      <c r="AN15" s="13">
        <v>39</v>
      </c>
      <c r="AO15" s="13">
        <v>40</v>
      </c>
      <c r="AP15" s="13">
        <v>41</v>
      </c>
      <c r="AQ15" s="13">
        <v>42</v>
      </c>
      <c r="AR15" s="13">
        <v>43</v>
      </c>
      <c r="AS15" s="13">
        <v>44</v>
      </c>
      <c r="AT15" s="13">
        <v>45</v>
      </c>
      <c r="AU15" s="13">
        <v>46</v>
      </c>
      <c r="AV15" s="13">
        <v>47</v>
      </c>
      <c r="AW15" s="13">
        <v>48</v>
      </c>
      <c r="AX15" s="13">
        <v>49</v>
      </c>
      <c r="AY15" s="13">
        <v>50</v>
      </c>
      <c r="AZ15" s="13">
        <v>51</v>
      </c>
      <c r="BA15" s="13">
        <v>52</v>
      </c>
      <c r="BB15" s="13">
        <v>53</v>
      </c>
      <c r="BC15" s="13">
        <v>54</v>
      </c>
      <c r="BD15" s="13">
        <v>55</v>
      </c>
      <c r="BE15" s="13">
        <v>56</v>
      </c>
      <c r="BF15" s="13">
        <v>57</v>
      </c>
      <c r="BG15" s="13">
        <v>58</v>
      </c>
      <c r="BH15" s="13">
        <v>59</v>
      </c>
      <c r="BI15" s="13">
        <v>60</v>
      </c>
    </row>
    <row r="16" spans="1:63" x14ac:dyDescent="0.25">
      <c r="A16" s="13" t="s">
        <v>0</v>
      </c>
      <c r="B16" s="37">
        <f>'הזנת נתונים'!A66</f>
        <v>28</v>
      </c>
      <c r="C16" s="37">
        <f>'הזנת נתונים'!B66</f>
        <v>35</v>
      </c>
      <c r="D16" s="37">
        <f>'הזנת נתונים'!C66</f>
        <v>40</v>
      </c>
      <c r="E16" s="37">
        <f>'הזנת נתונים'!D66</f>
        <v>55</v>
      </c>
      <c r="F16" s="37">
        <f>'הזנת נתונים'!E66</f>
        <v>70</v>
      </c>
      <c r="G16" s="37">
        <f>'הזנת נתונים'!F66</f>
        <v>75</v>
      </c>
      <c r="H16" s="37">
        <f>'הזנת נתונים'!G66</f>
        <v>87.6666666666667</v>
      </c>
      <c r="I16" s="37">
        <f>'הזנת נתונים'!H66</f>
        <v>98.6666666666667</v>
      </c>
      <c r="J16" s="37">
        <f>'הזנת נתונים'!I66</f>
        <v>109.666666666667</v>
      </c>
      <c r="K16" s="37">
        <f>'הזנת נתונים'!J66</f>
        <v>120.666666666667</v>
      </c>
      <c r="L16" s="37">
        <f>'הזנת נתונים'!K66</f>
        <v>131.666666666667</v>
      </c>
      <c r="M16" s="37">
        <f>'הזנת נתונים'!L66</f>
        <v>142.666666666667</v>
      </c>
      <c r="N16" s="37">
        <f>'הזנת נתונים'!M66</f>
        <v>153.666666666667</v>
      </c>
      <c r="O16" s="37">
        <f>'הזנת נתונים'!N66</f>
        <v>164.666666666667</v>
      </c>
      <c r="P16" s="37">
        <f>'הזנת נתונים'!O66</f>
        <v>175.666666666667</v>
      </c>
      <c r="Q16" s="37">
        <f>'הזנת נתונים'!P66</f>
        <v>186.666666666667</v>
      </c>
      <c r="R16" s="37">
        <f>'הזנת נתונים'!Q66</f>
        <v>197.666666666667</v>
      </c>
      <c r="S16" s="37">
        <f>'הזנת נתונים'!R66</f>
        <v>208.666666666667</v>
      </c>
      <c r="T16" s="37">
        <f>'הזנת נתונים'!S66</f>
        <v>219.666666666667</v>
      </c>
      <c r="U16" s="37">
        <f>'הזנת נתונים'!T66</f>
        <v>230.666666666667</v>
      </c>
      <c r="V16" s="37">
        <f>'הזנת נתונים'!U66</f>
        <v>241.666666666667</v>
      </c>
      <c r="W16" s="37">
        <f>'הזנת נתונים'!V66</f>
        <v>252.666666666667</v>
      </c>
      <c r="X16" s="37">
        <f>'הזנת נתונים'!W66</f>
        <v>263.66666666666703</v>
      </c>
      <c r="Y16" s="37">
        <f>'הזנת נתונים'!X66</f>
        <v>274.66666666666703</v>
      </c>
      <c r="Z16" s="37">
        <f>'הזנת נתונים'!Y66</f>
        <v>285.66666666666799</v>
      </c>
      <c r="AA16" s="37">
        <f>'הזנת נתונים'!Z66</f>
        <v>296.66666666666799</v>
      </c>
      <c r="AB16" s="37">
        <f>'הזנת נתונים'!AA66</f>
        <v>307.66666666666799</v>
      </c>
      <c r="AC16" s="37">
        <f>'הזנת נתונים'!AB66</f>
        <v>318.66666666666799</v>
      </c>
      <c r="AD16" s="37">
        <f>'הזנת נתונים'!AC66</f>
        <v>329.66666666666799</v>
      </c>
      <c r="AE16" s="37">
        <f>'הזנת נתונים'!AD66</f>
        <v>340.66666666666799</v>
      </c>
      <c r="AF16" s="37">
        <f>'הזנת נתונים'!AE66</f>
        <v>351.66666666666799</v>
      </c>
      <c r="AG16" s="37">
        <f>'הזנת נתונים'!AF66</f>
        <v>362.66666666666799</v>
      </c>
      <c r="AH16" s="37">
        <f>'הזנת נתונים'!AG66</f>
        <v>373.66666666666799</v>
      </c>
      <c r="AI16" s="37">
        <f>'הזנת נתונים'!AH66</f>
        <v>384.66666666666799</v>
      </c>
      <c r="AJ16" s="37">
        <f>'הזנת נתונים'!AI66</f>
        <v>395.66666666666799</v>
      </c>
      <c r="AK16" s="37">
        <f>'הזנת נתונים'!AJ66</f>
        <v>406.66666666666799</v>
      </c>
      <c r="AL16" s="37">
        <f>'הזנת נתונים'!AK66</f>
        <v>417.66666666666799</v>
      </c>
      <c r="AM16" s="37">
        <f>'הזנת נתונים'!AL66</f>
        <v>428.66666666666902</v>
      </c>
      <c r="AN16" s="37">
        <f>'הזנת נתונים'!AM66</f>
        <v>439.66666666666902</v>
      </c>
      <c r="AO16" s="37">
        <f>'הזנת נתונים'!AN66</f>
        <v>450.66666666666902</v>
      </c>
      <c r="AP16" s="37">
        <f>'הזנת נתונים'!AO66</f>
        <v>461.66666666666902</v>
      </c>
      <c r="AQ16" s="37">
        <f>'הזנת נתונים'!AP66</f>
        <v>472.66666666666902</v>
      </c>
      <c r="AR16" s="37">
        <f>'הזנת נתונים'!AQ66</f>
        <v>483.66666666666902</v>
      </c>
      <c r="AS16" s="37">
        <f>'הזנת נתונים'!AR66</f>
        <v>494.66666666666902</v>
      </c>
      <c r="AT16" s="37">
        <f>'הזנת נתונים'!AS66</f>
        <v>505.66666666666799</v>
      </c>
      <c r="AU16" s="37">
        <f>'הזנת נתונים'!AT66</f>
        <v>516.66666666666902</v>
      </c>
      <c r="AV16" s="37">
        <f>'הזנת נתונים'!AU66</f>
        <v>527.66666666666902</v>
      </c>
      <c r="AW16" s="37">
        <f>'הזנת נתונים'!AV66</f>
        <v>538.66666666666902</v>
      </c>
      <c r="AX16" s="37">
        <f>'הזנת נתונים'!AW66</f>
        <v>549.66666666666902</v>
      </c>
      <c r="AY16" s="37">
        <f>'הזנת נתונים'!AX66</f>
        <v>560.66666666666902</v>
      </c>
      <c r="AZ16" s="37">
        <f>'הזנת נתונים'!AY66</f>
        <v>571.66666666666902</v>
      </c>
      <c r="BA16" s="37">
        <f>'הזנת נתונים'!AZ66</f>
        <v>582.66666666666902</v>
      </c>
      <c r="BB16" s="37">
        <f>'הזנת נתונים'!BA66</f>
        <v>593.66666666666902</v>
      </c>
      <c r="BC16" s="37">
        <f>'הזנת נתונים'!BB66</f>
        <v>604.66666666666902</v>
      </c>
      <c r="BD16" s="37">
        <f>'הזנת נתונים'!BC66</f>
        <v>615.66666666666902</v>
      </c>
      <c r="BE16" s="37">
        <f>'הזנת נתונים'!BD66</f>
        <v>626.66666666666902</v>
      </c>
      <c r="BF16" s="37">
        <f>'הזנת נתונים'!BE66</f>
        <v>637.66666666666902</v>
      </c>
      <c r="BG16" s="37">
        <f>'הזנת נתונים'!BF66</f>
        <v>648.66666666666902</v>
      </c>
      <c r="BH16" s="37">
        <f>'הזנת נתונים'!BG66</f>
        <v>659.66666666666902</v>
      </c>
      <c r="BI16" s="37">
        <f>'הזנת נתונים'!BH66</f>
        <v>670.66666666666902</v>
      </c>
    </row>
    <row r="17" spans="1:63" x14ac:dyDescent="0.25">
      <c r="A17" s="13" t="s">
        <v>2</v>
      </c>
      <c r="B17" t="e">
        <v>#N/A</v>
      </c>
      <c r="C17">
        <f t="shared" ref="C17:AH17" si="6">AVERAGE(B16:C16)</f>
        <v>31.5</v>
      </c>
      <c r="D17">
        <f t="shared" si="6"/>
        <v>37.5</v>
      </c>
      <c r="E17">
        <f t="shared" si="6"/>
        <v>47.5</v>
      </c>
      <c r="F17">
        <f t="shared" si="6"/>
        <v>62.5</v>
      </c>
      <c r="G17">
        <f t="shared" si="6"/>
        <v>72.5</v>
      </c>
      <c r="H17">
        <f t="shared" si="6"/>
        <v>81.333333333333343</v>
      </c>
      <c r="I17">
        <f t="shared" si="6"/>
        <v>93.1666666666667</v>
      </c>
      <c r="J17">
        <f t="shared" si="6"/>
        <v>104.16666666666686</v>
      </c>
      <c r="K17">
        <f t="shared" si="6"/>
        <v>115.166666666667</v>
      </c>
      <c r="L17">
        <f t="shared" si="6"/>
        <v>126.166666666667</v>
      </c>
      <c r="M17">
        <f t="shared" si="6"/>
        <v>137.166666666667</v>
      </c>
      <c r="N17">
        <f t="shared" si="6"/>
        <v>148.166666666667</v>
      </c>
      <c r="O17">
        <f t="shared" si="6"/>
        <v>159.166666666667</v>
      </c>
      <c r="P17">
        <f t="shared" si="6"/>
        <v>170.166666666667</v>
      </c>
      <c r="Q17">
        <f t="shared" si="6"/>
        <v>181.166666666667</v>
      </c>
      <c r="R17">
        <f t="shared" si="6"/>
        <v>192.166666666667</v>
      </c>
      <c r="S17">
        <f t="shared" si="6"/>
        <v>203.166666666667</v>
      </c>
      <c r="T17">
        <f t="shared" si="6"/>
        <v>214.166666666667</v>
      </c>
      <c r="U17">
        <f t="shared" si="6"/>
        <v>225.166666666667</v>
      </c>
      <c r="V17">
        <f t="shared" si="6"/>
        <v>236.166666666667</v>
      </c>
      <c r="W17">
        <f t="shared" si="6"/>
        <v>247.166666666667</v>
      </c>
      <c r="X17">
        <f t="shared" si="6"/>
        <v>258.16666666666703</v>
      </c>
      <c r="Y17">
        <f t="shared" si="6"/>
        <v>269.16666666666703</v>
      </c>
      <c r="Z17">
        <f t="shared" si="6"/>
        <v>280.16666666666754</v>
      </c>
      <c r="AA17">
        <f t="shared" si="6"/>
        <v>291.16666666666799</v>
      </c>
      <c r="AB17">
        <f t="shared" si="6"/>
        <v>302.16666666666799</v>
      </c>
      <c r="AC17">
        <f t="shared" si="6"/>
        <v>313.16666666666799</v>
      </c>
      <c r="AD17">
        <f t="shared" si="6"/>
        <v>324.16666666666799</v>
      </c>
      <c r="AE17">
        <f t="shared" si="6"/>
        <v>335.16666666666799</v>
      </c>
      <c r="AF17">
        <f t="shared" si="6"/>
        <v>346.16666666666799</v>
      </c>
      <c r="AG17">
        <f t="shared" si="6"/>
        <v>357.16666666666799</v>
      </c>
      <c r="AH17">
        <f t="shared" si="6"/>
        <v>368.16666666666799</v>
      </c>
      <c r="AI17">
        <f t="shared" ref="AI17:BI17" si="7">AVERAGE(AH16:AI16)</f>
        <v>379.16666666666799</v>
      </c>
      <c r="AJ17">
        <f t="shared" si="7"/>
        <v>390.16666666666799</v>
      </c>
      <c r="AK17">
        <f t="shared" si="7"/>
        <v>401.16666666666799</v>
      </c>
      <c r="AL17">
        <f t="shared" si="7"/>
        <v>412.16666666666799</v>
      </c>
      <c r="AM17">
        <f t="shared" si="7"/>
        <v>423.1666666666685</v>
      </c>
      <c r="AN17">
        <f t="shared" si="7"/>
        <v>434.16666666666902</v>
      </c>
      <c r="AO17">
        <f t="shared" si="7"/>
        <v>445.16666666666902</v>
      </c>
      <c r="AP17">
        <f t="shared" si="7"/>
        <v>456.16666666666902</v>
      </c>
      <c r="AQ17">
        <f t="shared" si="7"/>
        <v>467.16666666666902</v>
      </c>
      <c r="AR17">
        <f t="shared" si="7"/>
        <v>478.16666666666902</v>
      </c>
      <c r="AS17">
        <f t="shared" si="7"/>
        <v>489.16666666666902</v>
      </c>
      <c r="AT17">
        <f t="shared" si="7"/>
        <v>500.1666666666685</v>
      </c>
      <c r="AU17">
        <f t="shared" si="7"/>
        <v>511.1666666666685</v>
      </c>
      <c r="AV17">
        <f t="shared" si="7"/>
        <v>522.16666666666902</v>
      </c>
      <c r="AW17">
        <f t="shared" si="7"/>
        <v>533.16666666666902</v>
      </c>
      <c r="AX17">
        <f t="shared" si="7"/>
        <v>544.16666666666902</v>
      </c>
      <c r="AY17">
        <f t="shared" si="7"/>
        <v>555.16666666666902</v>
      </c>
      <c r="AZ17">
        <f t="shared" si="7"/>
        <v>566.16666666666902</v>
      </c>
      <c r="BA17">
        <f t="shared" si="7"/>
        <v>577.16666666666902</v>
      </c>
      <c r="BB17">
        <f t="shared" si="7"/>
        <v>588.16666666666902</v>
      </c>
      <c r="BC17">
        <f t="shared" si="7"/>
        <v>599.16666666666902</v>
      </c>
      <c r="BD17">
        <f t="shared" si="7"/>
        <v>610.16666666666902</v>
      </c>
      <c r="BE17">
        <f t="shared" si="7"/>
        <v>621.16666666666902</v>
      </c>
      <c r="BF17">
        <f t="shared" si="7"/>
        <v>632.16666666666902</v>
      </c>
      <c r="BG17">
        <f t="shared" si="7"/>
        <v>643.16666666666902</v>
      </c>
      <c r="BH17">
        <f t="shared" si="7"/>
        <v>654.16666666666902</v>
      </c>
      <c r="BI17">
        <f t="shared" si="7"/>
        <v>665.16666666666902</v>
      </c>
    </row>
    <row r="18" spans="1:63" x14ac:dyDescent="0.25">
      <c r="A18" s="13" t="s">
        <v>9</v>
      </c>
      <c r="D18">
        <f>C17</f>
        <v>31.5</v>
      </c>
      <c r="E18">
        <f t="shared" ref="E18:BI18" si="8">D17</f>
        <v>37.5</v>
      </c>
      <c r="F18">
        <f t="shared" si="8"/>
        <v>47.5</v>
      </c>
      <c r="G18">
        <f t="shared" si="8"/>
        <v>62.5</v>
      </c>
      <c r="H18">
        <f t="shared" si="8"/>
        <v>72.5</v>
      </c>
      <c r="I18">
        <f t="shared" si="8"/>
        <v>81.333333333333343</v>
      </c>
      <c r="J18">
        <f t="shared" si="8"/>
        <v>93.1666666666667</v>
      </c>
      <c r="K18">
        <f t="shared" si="8"/>
        <v>104.16666666666686</v>
      </c>
      <c r="L18">
        <f t="shared" si="8"/>
        <v>115.166666666667</v>
      </c>
      <c r="M18">
        <f t="shared" si="8"/>
        <v>126.166666666667</v>
      </c>
      <c r="N18">
        <f t="shared" si="8"/>
        <v>137.166666666667</v>
      </c>
      <c r="O18">
        <f t="shared" si="8"/>
        <v>148.166666666667</v>
      </c>
      <c r="P18">
        <f t="shared" si="8"/>
        <v>159.166666666667</v>
      </c>
      <c r="Q18">
        <f t="shared" si="8"/>
        <v>170.166666666667</v>
      </c>
      <c r="R18">
        <f t="shared" si="8"/>
        <v>181.166666666667</v>
      </c>
      <c r="S18">
        <f t="shared" si="8"/>
        <v>192.166666666667</v>
      </c>
      <c r="T18">
        <f t="shared" si="8"/>
        <v>203.166666666667</v>
      </c>
      <c r="U18">
        <f t="shared" si="8"/>
        <v>214.166666666667</v>
      </c>
      <c r="V18">
        <f t="shared" si="8"/>
        <v>225.166666666667</v>
      </c>
      <c r="W18">
        <f t="shared" si="8"/>
        <v>236.166666666667</v>
      </c>
      <c r="X18">
        <f t="shared" si="8"/>
        <v>247.166666666667</v>
      </c>
      <c r="Y18">
        <f t="shared" si="8"/>
        <v>258.16666666666703</v>
      </c>
      <c r="Z18">
        <f t="shared" si="8"/>
        <v>269.16666666666703</v>
      </c>
      <c r="AA18">
        <f t="shared" si="8"/>
        <v>280.16666666666754</v>
      </c>
      <c r="AB18">
        <f t="shared" si="8"/>
        <v>291.16666666666799</v>
      </c>
      <c r="AC18">
        <f t="shared" si="8"/>
        <v>302.16666666666799</v>
      </c>
      <c r="AD18">
        <f t="shared" si="8"/>
        <v>313.16666666666799</v>
      </c>
      <c r="AE18">
        <f t="shared" si="8"/>
        <v>324.16666666666799</v>
      </c>
      <c r="AF18">
        <f t="shared" si="8"/>
        <v>335.16666666666799</v>
      </c>
      <c r="AG18">
        <f t="shared" si="8"/>
        <v>346.16666666666799</v>
      </c>
      <c r="AH18">
        <f t="shared" si="8"/>
        <v>357.16666666666799</v>
      </c>
      <c r="AI18">
        <f t="shared" si="8"/>
        <v>368.16666666666799</v>
      </c>
      <c r="AJ18">
        <f t="shared" si="8"/>
        <v>379.16666666666799</v>
      </c>
      <c r="AK18">
        <f t="shared" si="8"/>
        <v>390.16666666666799</v>
      </c>
      <c r="AL18">
        <f t="shared" si="8"/>
        <v>401.16666666666799</v>
      </c>
      <c r="AM18">
        <f t="shared" si="8"/>
        <v>412.16666666666799</v>
      </c>
      <c r="AN18">
        <f t="shared" si="8"/>
        <v>423.1666666666685</v>
      </c>
      <c r="AO18">
        <f t="shared" si="8"/>
        <v>434.16666666666902</v>
      </c>
      <c r="AP18">
        <f t="shared" si="8"/>
        <v>445.16666666666902</v>
      </c>
      <c r="AQ18">
        <f t="shared" si="8"/>
        <v>456.16666666666902</v>
      </c>
      <c r="AR18">
        <f t="shared" si="8"/>
        <v>467.16666666666902</v>
      </c>
      <c r="AS18">
        <f t="shared" si="8"/>
        <v>478.16666666666902</v>
      </c>
      <c r="AT18">
        <f t="shared" si="8"/>
        <v>489.16666666666902</v>
      </c>
      <c r="AU18">
        <f t="shared" si="8"/>
        <v>500.1666666666685</v>
      </c>
      <c r="AV18">
        <f t="shared" si="8"/>
        <v>511.1666666666685</v>
      </c>
      <c r="AW18">
        <f t="shared" si="8"/>
        <v>522.16666666666902</v>
      </c>
      <c r="AX18">
        <f t="shared" si="8"/>
        <v>533.16666666666902</v>
      </c>
      <c r="AY18">
        <f t="shared" si="8"/>
        <v>544.16666666666902</v>
      </c>
      <c r="AZ18">
        <f t="shared" si="8"/>
        <v>555.16666666666902</v>
      </c>
      <c r="BA18">
        <f t="shared" si="8"/>
        <v>566.16666666666902</v>
      </c>
      <c r="BB18">
        <f t="shared" si="8"/>
        <v>577.16666666666902</v>
      </c>
      <c r="BC18">
        <f t="shared" si="8"/>
        <v>588.16666666666902</v>
      </c>
      <c r="BD18">
        <f t="shared" si="8"/>
        <v>599.16666666666902</v>
      </c>
      <c r="BE18">
        <f t="shared" si="8"/>
        <v>610.16666666666902</v>
      </c>
      <c r="BF18">
        <f t="shared" si="8"/>
        <v>621.16666666666902</v>
      </c>
      <c r="BG18">
        <f t="shared" si="8"/>
        <v>632.16666666666902</v>
      </c>
      <c r="BH18">
        <f t="shared" si="8"/>
        <v>643.16666666666902</v>
      </c>
      <c r="BI18">
        <f t="shared" si="8"/>
        <v>654.16666666666902</v>
      </c>
    </row>
    <row r="19" spans="1:63" x14ac:dyDescent="0.25">
      <c r="A19" s="13" t="s">
        <v>4</v>
      </c>
      <c r="B19" s="7"/>
      <c r="C19" s="7"/>
      <c r="D19" s="7">
        <f>D18-D16</f>
        <v>-8.5</v>
      </c>
      <c r="E19" s="7">
        <f t="shared" ref="E19:BI19" si="9">E18-E16</f>
        <v>-17.5</v>
      </c>
      <c r="F19" s="7">
        <f t="shared" si="9"/>
        <v>-22.5</v>
      </c>
      <c r="G19" s="7">
        <f t="shared" si="9"/>
        <v>-12.5</v>
      </c>
      <c r="H19" s="7">
        <f t="shared" si="9"/>
        <v>-15.1666666666667</v>
      </c>
      <c r="I19" s="7">
        <f t="shared" si="9"/>
        <v>-17.333333333333357</v>
      </c>
      <c r="J19" s="7">
        <f t="shared" si="9"/>
        <v>-16.500000000000298</v>
      </c>
      <c r="K19" s="7">
        <f t="shared" si="9"/>
        <v>-16.500000000000142</v>
      </c>
      <c r="L19" s="7">
        <f t="shared" si="9"/>
        <v>-16.5</v>
      </c>
      <c r="M19" s="7">
        <f t="shared" si="9"/>
        <v>-16.5</v>
      </c>
      <c r="N19" s="7">
        <f t="shared" si="9"/>
        <v>-16.5</v>
      </c>
      <c r="O19" s="7">
        <f t="shared" si="9"/>
        <v>-16.5</v>
      </c>
      <c r="P19" s="7">
        <f t="shared" si="9"/>
        <v>-16.5</v>
      </c>
      <c r="Q19" s="7">
        <f t="shared" si="9"/>
        <v>-16.5</v>
      </c>
      <c r="R19" s="7">
        <f t="shared" si="9"/>
        <v>-16.5</v>
      </c>
      <c r="S19" s="7">
        <f t="shared" si="9"/>
        <v>-16.5</v>
      </c>
      <c r="T19" s="7">
        <f t="shared" si="9"/>
        <v>-16.5</v>
      </c>
      <c r="U19" s="7">
        <f t="shared" si="9"/>
        <v>-16.5</v>
      </c>
      <c r="V19" s="7">
        <f t="shared" si="9"/>
        <v>-16.5</v>
      </c>
      <c r="W19" s="7">
        <f t="shared" si="9"/>
        <v>-16.5</v>
      </c>
      <c r="X19" s="7">
        <f t="shared" si="9"/>
        <v>-16.500000000000028</v>
      </c>
      <c r="Y19" s="7">
        <f t="shared" si="9"/>
        <v>-16.5</v>
      </c>
      <c r="Z19" s="7">
        <f t="shared" si="9"/>
        <v>-16.500000000000966</v>
      </c>
      <c r="AA19" s="7">
        <f t="shared" si="9"/>
        <v>-16.500000000000455</v>
      </c>
      <c r="AB19" s="7">
        <f t="shared" si="9"/>
        <v>-16.5</v>
      </c>
      <c r="AC19" s="7">
        <f t="shared" si="9"/>
        <v>-16.5</v>
      </c>
      <c r="AD19" s="7">
        <f t="shared" si="9"/>
        <v>-16.5</v>
      </c>
      <c r="AE19" s="7">
        <f t="shared" si="9"/>
        <v>-16.5</v>
      </c>
      <c r="AF19" s="7">
        <f t="shared" si="9"/>
        <v>-16.5</v>
      </c>
      <c r="AG19" s="7">
        <f t="shared" si="9"/>
        <v>-16.5</v>
      </c>
      <c r="AH19" s="7">
        <f t="shared" si="9"/>
        <v>-16.5</v>
      </c>
      <c r="AI19" s="7">
        <f t="shared" si="9"/>
        <v>-16.5</v>
      </c>
      <c r="AJ19" s="7">
        <f t="shared" si="9"/>
        <v>-16.5</v>
      </c>
      <c r="AK19" s="7">
        <f t="shared" si="9"/>
        <v>-16.5</v>
      </c>
      <c r="AL19" s="7">
        <f t="shared" si="9"/>
        <v>-16.5</v>
      </c>
      <c r="AM19" s="7">
        <f t="shared" si="9"/>
        <v>-16.500000000001023</v>
      </c>
      <c r="AN19" s="7">
        <f t="shared" si="9"/>
        <v>-16.500000000000512</v>
      </c>
      <c r="AO19" s="7">
        <f t="shared" si="9"/>
        <v>-16.5</v>
      </c>
      <c r="AP19" s="7">
        <f t="shared" si="9"/>
        <v>-16.5</v>
      </c>
      <c r="AQ19" s="7">
        <f t="shared" si="9"/>
        <v>-16.5</v>
      </c>
      <c r="AR19" s="7">
        <f t="shared" si="9"/>
        <v>-16.5</v>
      </c>
      <c r="AS19" s="7">
        <f t="shared" si="9"/>
        <v>-16.5</v>
      </c>
      <c r="AT19" s="7">
        <f t="shared" si="9"/>
        <v>-16.499999999998977</v>
      </c>
      <c r="AU19" s="7">
        <f t="shared" si="9"/>
        <v>-16.500000000000512</v>
      </c>
      <c r="AV19" s="7">
        <f t="shared" si="9"/>
        <v>-16.500000000000512</v>
      </c>
      <c r="AW19" s="7">
        <f t="shared" si="9"/>
        <v>-16.5</v>
      </c>
      <c r="AX19" s="7">
        <f t="shared" si="9"/>
        <v>-16.5</v>
      </c>
      <c r="AY19" s="7">
        <f t="shared" si="9"/>
        <v>-16.5</v>
      </c>
      <c r="AZ19" s="7">
        <f t="shared" si="9"/>
        <v>-16.5</v>
      </c>
      <c r="BA19" s="7">
        <f t="shared" si="9"/>
        <v>-16.5</v>
      </c>
      <c r="BB19" s="7">
        <f t="shared" si="9"/>
        <v>-16.5</v>
      </c>
      <c r="BC19" s="7">
        <f t="shared" si="9"/>
        <v>-16.5</v>
      </c>
      <c r="BD19" s="7">
        <f t="shared" si="9"/>
        <v>-16.5</v>
      </c>
      <c r="BE19" s="7">
        <f t="shared" si="9"/>
        <v>-16.5</v>
      </c>
      <c r="BF19" s="7">
        <f t="shared" si="9"/>
        <v>-16.5</v>
      </c>
      <c r="BG19" s="7">
        <f t="shared" si="9"/>
        <v>-16.5</v>
      </c>
      <c r="BH19" s="7">
        <f t="shared" si="9"/>
        <v>-16.5</v>
      </c>
      <c r="BI19" s="7">
        <f t="shared" si="9"/>
        <v>-16.5</v>
      </c>
    </row>
    <row r="20" spans="1:63" x14ac:dyDescent="0.25">
      <c r="A20" s="13" t="s">
        <v>12</v>
      </c>
      <c r="B20" s="7"/>
      <c r="C20" s="7"/>
      <c r="D20" s="7">
        <f>D19^2</f>
        <v>72.25</v>
      </c>
      <c r="E20" s="7">
        <f t="shared" ref="E20:BI20" si="10">E19^2</f>
        <v>306.25</v>
      </c>
      <c r="F20" s="7">
        <f t="shared" si="10"/>
        <v>506.25</v>
      </c>
      <c r="G20" s="7">
        <f t="shared" si="10"/>
        <v>156.25</v>
      </c>
      <c r="H20" s="7">
        <f t="shared" si="10"/>
        <v>230.02777777777879</v>
      </c>
      <c r="I20" s="7">
        <f t="shared" si="10"/>
        <v>300.44444444444525</v>
      </c>
      <c r="J20" s="7">
        <f t="shared" si="10"/>
        <v>272.25000000000983</v>
      </c>
      <c r="K20" s="7">
        <f t="shared" si="10"/>
        <v>272.25000000000466</v>
      </c>
      <c r="L20" s="7">
        <f t="shared" si="10"/>
        <v>272.25</v>
      </c>
      <c r="M20" s="7">
        <f t="shared" si="10"/>
        <v>272.25</v>
      </c>
      <c r="N20" s="7">
        <f t="shared" si="10"/>
        <v>272.25</v>
      </c>
      <c r="O20" s="7">
        <f t="shared" si="10"/>
        <v>272.25</v>
      </c>
      <c r="P20" s="7">
        <f t="shared" si="10"/>
        <v>272.25</v>
      </c>
      <c r="Q20" s="7">
        <f t="shared" si="10"/>
        <v>272.25</v>
      </c>
      <c r="R20" s="7">
        <f t="shared" si="10"/>
        <v>272.25</v>
      </c>
      <c r="S20" s="7">
        <f t="shared" si="10"/>
        <v>272.25</v>
      </c>
      <c r="T20" s="7">
        <f t="shared" si="10"/>
        <v>272.25</v>
      </c>
      <c r="U20" s="7">
        <f t="shared" si="10"/>
        <v>272.25</v>
      </c>
      <c r="V20" s="7">
        <f t="shared" si="10"/>
        <v>272.25</v>
      </c>
      <c r="W20" s="7">
        <f t="shared" si="10"/>
        <v>272.25</v>
      </c>
      <c r="X20" s="7">
        <f t="shared" si="10"/>
        <v>272.25000000000091</v>
      </c>
      <c r="Y20" s="7">
        <f t="shared" si="10"/>
        <v>272.25</v>
      </c>
      <c r="Z20" s="7">
        <f t="shared" si="10"/>
        <v>272.25000000003189</v>
      </c>
      <c r="AA20" s="7">
        <f t="shared" si="10"/>
        <v>272.25000000001501</v>
      </c>
      <c r="AB20" s="7">
        <f t="shared" si="10"/>
        <v>272.25</v>
      </c>
      <c r="AC20" s="7">
        <f t="shared" si="10"/>
        <v>272.25</v>
      </c>
      <c r="AD20" s="7">
        <f t="shared" si="10"/>
        <v>272.25</v>
      </c>
      <c r="AE20" s="7">
        <f t="shared" si="10"/>
        <v>272.25</v>
      </c>
      <c r="AF20" s="7">
        <f t="shared" si="10"/>
        <v>272.25</v>
      </c>
      <c r="AG20" s="7">
        <f t="shared" si="10"/>
        <v>272.25</v>
      </c>
      <c r="AH20" s="7">
        <f t="shared" si="10"/>
        <v>272.25</v>
      </c>
      <c r="AI20" s="7">
        <f t="shared" si="10"/>
        <v>272.25</v>
      </c>
      <c r="AJ20" s="7">
        <f t="shared" si="10"/>
        <v>272.25</v>
      </c>
      <c r="AK20" s="7">
        <f t="shared" si="10"/>
        <v>272.25</v>
      </c>
      <c r="AL20" s="7">
        <f t="shared" si="10"/>
        <v>272.25</v>
      </c>
      <c r="AM20" s="7">
        <f t="shared" si="10"/>
        <v>272.25000000003376</v>
      </c>
      <c r="AN20" s="7">
        <f t="shared" si="10"/>
        <v>272.25000000001688</v>
      </c>
      <c r="AO20" s="7">
        <f t="shared" si="10"/>
        <v>272.25</v>
      </c>
      <c r="AP20" s="7">
        <f t="shared" si="10"/>
        <v>272.25</v>
      </c>
      <c r="AQ20" s="7">
        <f t="shared" si="10"/>
        <v>272.25</v>
      </c>
      <c r="AR20" s="7">
        <f t="shared" si="10"/>
        <v>272.25</v>
      </c>
      <c r="AS20" s="7">
        <f t="shared" si="10"/>
        <v>272.25</v>
      </c>
      <c r="AT20" s="7">
        <f t="shared" si="10"/>
        <v>272.24999999996624</v>
      </c>
      <c r="AU20" s="7">
        <f t="shared" si="10"/>
        <v>272.25000000001688</v>
      </c>
      <c r="AV20" s="7">
        <f t="shared" si="10"/>
        <v>272.25000000001688</v>
      </c>
      <c r="AW20" s="7">
        <f t="shared" si="10"/>
        <v>272.25</v>
      </c>
      <c r="AX20" s="7">
        <f t="shared" si="10"/>
        <v>272.25</v>
      </c>
      <c r="AY20" s="7">
        <f t="shared" si="10"/>
        <v>272.25</v>
      </c>
      <c r="AZ20" s="7">
        <f t="shared" si="10"/>
        <v>272.25</v>
      </c>
      <c r="BA20" s="7">
        <f t="shared" si="10"/>
        <v>272.25</v>
      </c>
      <c r="BB20" s="7">
        <f t="shared" si="10"/>
        <v>272.25</v>
      </c>
      <c r="BC20" s="7">
        <f t="shared" si="10"/>
        <v>272.25</v>
      </c>
      <c r="BD20" s="7">
        <f t="shared" si="10"/>
        <v>272.25</v>
      </c>
      <c r="BE20" s="7">
        <f t="shared" si="10"/>
        <v>272.25</v>
      </c>
      <c r="BF20" s="7">
        <f t="shared" si="10"/>
        <v>272.25</v>
      </c>
      <c r="BG20" s="7">
        <f t="shared" si="10"/>
        <v>272.25</v>
      </c>
      <c r="BH20" s="7">
        <f t="shared" si="10"/>
        <v>272.25</v>
      </c>
      <c r="BI20" s="7">
        <f t="shared" si="10"/>
        <v>272.25</v>
      </c>
    </row>
    <row r="21" spans="1:63" x14ac:dyDescent="0.25">
      <c r="A21" s="38" t="s">
        <v>11</v>
      </c>
      <c r="B21" s="38">
        <v>2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3" x14ac:dyDescent="0.25">
      <c r="A22" s="8" t="s">
        <v>5</v>
      </c>
      <c r="B22" s="8">
        <f>AVERAGE(D20:BI20)</f>
        <v>271.18055555555753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3" x14ac:dyDescent="0.25">
      <c r="A23" s="7" t="s">
        <v>7</v>
      </c>
      <c r="B23" s="7">
        <f>SUM(BH16:BI16)/B21</f>
        <v>665.16666666666902</v>
      </c>
    </row>
    <row r="24" spans="1:63" x14ac:dyDescent="0.25">
      <c r="A24" s="31" t="s">
        <v>6</v>
      </c>
      <c r="B24" s="7" t="s">
        <v>62</v>
      </c>
      <c r="C24" s="7">
        <v>61</v>
      </c>
      <c r="D24" s="7">
        <v>62</v>
      </c>
      <c r="E24" s="7">
        <v>63</v>
      </c>
      <c r="F24" s="7">
        <v>64</v>
      </c>
      <c r="G24" s="7">
        <v>65</v>
      </c>
      <c r="H24" s="7">
        <v>66</v>
      </c>
      <c r="I24" s="7">
        <v>67</v>
      </c>
      <c r="J24" s="7">
        <v>68</v>
      </c>
      <c r="K24" s="7">
        <v>69</v>
      </c>
      <c r="L24" s="7">
        <v>70</v>
      </c>
      <c r="M24" s="7">
        <v>71</v>
      </c>
      <c r="N24" s="7">
        <v>72</v>
      </c>
    </row>
    <row r="25" spans="1:63" x14ac:dyDescent="0.25">
      <c r="C25" s="7">
        <f>$B$23</f>
        <v>665.16666666666902</v>
      </c>
      <c r="D25" s="7">
        <f t="shared" ref="D25:N25" si="11">$B$23</f>
        <v>665.16666666666902</v>
      </c>
      <c r="E25" s="7">
        <f t="shared" si="11"/>
        <v>665.16666666666902</v>
      </c>
      <c r="F25" s="7">
        <f t="shared" si="11"/>
        <v>665.16666666666902</v>
      </c>
      <c r="G25" s="7">
        <f t="shared" si="11"/>
        <v>665.16666666666902</v>
      </c>
      <c r="H25" s="7">
        <f t="shared" si="11"/>
        <v>665.16666666666902</v>
      </c>
      <c r="I25" s="7">
        <f t="shared" si="11"/>
        <v>665.16666666666902</v>
      </c>
      <c r="J25" s="7">
        <f t="shared" si="11"/>
        <v>665.16666666666902</v>
      </c>
      <c r="K25" s="7">
        <f t="shared" si="11"/>
        <v>665.16666666666902</v>
      </c>
      <c r="L25" s="7">
        <f t="shared" si="11"/>
        <v>665.16666666666902</v>
      </c>
      <c r="M25" s="7">
        <f t="shared" si="11"/>
        <v>665.16666666666902</v>
      </c>
      <c r="N25" s="7">
        <f t="shared" si="11"/>
        <v>665.16666666666902</v>
      </c>
    </row>
    <row r="28" spans="1:63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</row>
    <row r="30" spans="1:63" x14ac:dyDescent="0.25">
      <c r="A30" s="13" t="s">
        <v>1</v>
      </c>
      <c r="B30" s="13">
        <v>1</v>
      </c>
      <c r="C30" s="13">
        <v>2</v>
      </c>
      <c r="D30" s="13">
        <v>3</v>
      </c>
      <c r="E30" s="13">
        <v>4</v>
      </c>
      <c r="F30" s="13">
        <v>5</v>
      </c>
      <c r="G30" s="13">
        <v>6</v>
      </c>
      <c r="H30" s="13">
        <v>7</v>
      </c>
      <c r="I30" s="13">
        <v>8</v>
      </c>
      <c r="J30" s="13">
        <v>9</v>
      </c>
      <c r="K30" s="13">
        <v>10</v>
      </c>
      <c r="L30" s="13">
        <v>11</v>
      </c>
      <c r="M30" s="13">
        <v>12</v>
      </c>
      <c r="N30" s="13">
        <v>13</v>
      </c>
      <c r="O30" s="13">
        <v>14</v>
      </c>
      <c r="P30" s="13">
        <v>15</v>
      </c>
      <c r="Q30" s="13">
        <v>16</v>
      </c>
      <c r="R30" s="13">
        <v>17</v>
      </c>
      <c r="S30" s="13">
        <v>18</v>
      </c>
      <c r="T30" s="13">
        <v>19</v>
      </c>
      <c r="U30" s="13">
        <v>20</v>
      </c>
      <c r="V30" s="13">
        <v>21</v>
      </c>
      <c r="W30" s="13">
        <v>22</v>
      </c>
      <c r="X30" s="13">
        <v>23</v>
      </c>
      <c r="Y30" s="13">
        <v>24</v>
      </c>
      <c r="Z30" s="13">
        <v>25</v>
      </c>
      <c r="AA30" s="13">
        <v>26</v>
      </c>
      <c r="AB30" s="13">
        <v>27</v>
      </c>
      <c r="AC30" s="13">
        <v>28</v>
      </c>
      <c r="AD30" s="13">
        <v>29</v>
      </c>
      <c r="AE30" s="13">
        <v>30</v>
      </c>
      <c r="AF30" s="13">
        <v>31</v>
      </c>
      <c r="AG30" s="13">
        <v>32</v>
      </c>
      <c r="AH30" s="13">
        <v>33</v>
      </c>
      <c r="AI30" s="13">
        <v>34</v>
      </c>
      <c r="AJ30" s="13">
        <v>35</v>
      </c>
      <c r="AK30" s="13">
        <v>36</v>
      </c>
      <c r="AL30" s="13">
        <v>37</v>
      </c>
      <c r="AM30" s="13">
        <v>38</v>
      </c>
      <c r="AN30" s="13">
        <v>39</v>
      </c>
      <c r="AO30" s="13">
        <v>40</v>
      </c>
      <c r="AP30" s="13">
        <v>41</v>
      </c>
      <c r="AQ30" s="13">
        <v>42</v>
      </c>
      <c r="AR30" s="13">
        <v>43</v>
      </c>
      <c r="AS30" s="13">
        <v>44</v>
      </c>
      <c r="AT30" s="13">
        <v>45</v>
      </c>
      <c r="AU30" s="13">
        <v>46</v>
      </c>
      <c r="AV30" s="13">
        <v>47</v>
      </c>
      <c r="AW30" s="13">
        <v>48</v>
      </c>
      <c r="AX30" s="13">
        <v>49</v>
      </c>
      <c r="AY30" s="13">
        <v>50</v>
      </c>
      <c r="AZ30" s="13">
        <v>51</v>
      </c>
      <c r="BA30" s="13">
        <v>52</v>
      </c>
      <c r="BB30" s="13">
        <v>53</v>
      </c>
      <c r="BC30" s="13">
        <v>54</v>
      </c>
      <c r="BD30" s="13">
        <v>55</v>
      </c>
      <c r="BE30" s="13">
        <v>56</v>
      </c>
      <c r="BF30" s="13">
        <v>57</v>
      </c>
      <c r="BG30" s="13">
        <v>58</v>
      </c>
      <c r="BH30" s="13">
        <v>59</v>
      </c>
      <c r="BI30" s="13">
        <v>60</v>
      </c>
    </row>
    <row r="31" spans="1:63" x14ac:dyDescent="0.25">
      <c r="A31" s="13" t="s">
        <v>0</v>
      </c>
      <c r="B31" s="37">
        <f>'הזנת נתונים'!A66</f>
        <v>28</v>
      </c>
      <c r="C31" s="37">
        <f>'הזנת נתונים'!B66</f>
        <v>35</v>
      </c>
      <c r="D31" s="37">
        <f>'הזנת נתונים'!C66</f>
        <v>40</v>
      </c>
      <c r="E31" s="37">
        <f>'הזנת נתונים'!D66</f>
        <v>55</v>
      </c>
      <c r="F31" s="37">
        <f>'הזנת נתונים'!E66</f>
        <v>70</v>
      </c>
      <c r="G31" s="37">
        <f>'הזנת נתונים'!F66</f>
        <v>75</v>
      </c>
      <c r="H31" s="37">
        <f>'הזנת נתונים'!G66</f>
        <v>87.6666666666667</v>
      </c>
      <c r="I31" s="37">
        <f>'הזנת נתונים'!H66</f>
        <v>98.6666666666667</v>
      </c>
      <c r="J31" s="37">
        <f>'הזנת נתונים'!I66</f>
        <v>109.666666666667</v>
      </c>
      <c r="K31" s="37">
        <f>'הזנת נתונים'!J66</f>
        <v>120.666666666667</v>
      </c>
      <c r="L31" s="37">
        <f>'הזנת נתונים'!K66</f>
        <v>131.666666666667</v>
      </c>
      <c r="M31" s="37">
        <f>'הזנת נתונים'!L66</f>
        <v>142.666666666667</v>
      </c>
      <c r="N31" s="37">
        <f>'הזנת נתונים'!M66</f>
        <v>153.666666666667</v>
      </c>
      <c r="O31" s="37">
        <f>'הזנת נתונים'!N66</f>
        <v>164.666666666667</v>
      </c>
      <c r="P31" s="37">
        <f>'הזנת נתונים'!O66</f>
        <v>175.666666666667</v>
      </c>
      <c r="Q31" s="37">
        <f>'הזנת נתונים'!P66</f>
        <v>186.666666666667</v>
      </c>
      <c r="R31" s="37">
        <f>'הזנת נתונים'!Q66</f>
        <v>197.666666666667</v>
      </c>
      <c r="S31" s="37">
        <f>'הזנת נתונים'!R66</f>
        <v>208.666666666667</v>
      </c>
      <c r="T31" s="37">
        <f>'הזנת נתונים'!S66</f>
        <v>219.666666666667</v>
      </c>
      <c r="U31" s="37">
        <f>'הזנת נתונים'!T66</f>
        <v>230.666666666667</v>
      </c>
      <c r="V31" s="37">
        <f>'הזנת נתונים'!U66</f>
        <v>241.666666666667</v>
      </c>
      <c r="W31" s="37">
        <f>'הזנת נתונים'!V66</f>
        <v>252.666666666667</v>
      </c>
      <c r="X31" s="37">
        <f>'הזנת נתונים'!W66</f>
        <v>263.66666666666703</v>
      </c>
      <c r="Y31" s="37">
        <f>'הזנת נתונים'!X66</f>
        <v>274.66666666666703</v>
      </c>
      <c r="Z31" s="37">
        <f>'הזנת נתונים'!Y66</f>
        <v>285.66666666666799</v>
      </c>
      <c r="AA31" s="37">
        <f>'הזנת נתונים'!Z66</f>
        <v>296.66666666666799</v>
      </c>
      <c r="AB31" s="37">
        <f>'הזנת נתונים'!AA66</f>
        <v>307.66666666666799</v>
      </c>
      <c r="AC31" s="37">
        <f>'הזנת נתונים'!AB66</f>
        <v>318.66666666666799</v>
      </c>
      <c r="AD31" s="37">
        <f>'הזנת נתונים'!AC66</f>
        <v>329.66666666666799</v>
      </c>
      <c r="AE31" s="37">
        <f>'הזנת נתונים'!AD66</f>
        <v>340.66666666666799</v>
      </c>
      <c r="AF31" s="37">
        <f>'הזנת נתונים'!AE66</f>
        <v>351.66666666666799</v>
      </c>
      <c r="AG31" s="37">
        <f>'הזנת נתונים'!AF66</f>
        <v>362.66666666666799</v>
      </c>
      <c r="AH31" s="37">
        <f>'הזנת נתונים'!AG66</f>
        <v>373.66666666666799</v>
      </c>
      <c r="AI31" s="37">
        <f>'הזנת נתונים'!AH66</f>
        <v>384.66666666666799</v>
      </c>
      <c r="AJ31" s="37">
        <f>'הזנת נתונים'!AI66</f>
        <v>395.66666666666799</v>
      </c>
      <c r="AK31" s="37">
        <f>'הזנת נתונים'!AJ66</f>
        <v>406.66666666666799</v>
      </c>
      <c r="AL31" s="37">
        <f>'הזנת נתונים'!AK66</f>
        <v>417.66666666666799</v>
      </c>
      <c r="AM31" s="37">
        <f>'הזנת נתונים'!AL66</f>
        <v>428.66666666666902</v>
      </c>
      <c r="AN31" s="37">
        <f>'הזנת נתונים'!AM66</f>
        <v>439.66666666666902</v>
      </c>
      <c r="AO31" s="37">
        <f>'הזנת נתונים'!AN66</f>
        <v>450.66666666666902</v>
      </c>
      <c r="AP31" s="37">
        <f>'הזנת נתונים'!AO66</f>
        <v>461.66666666666902</v>
      </c>
      <c r="AQ31" s="37">
        <f>'הזנת נתונים'!AP66</f>
        <v>472.66666666666902</v>
      </c>
      <c r="AR31" s="37">
        <f>'הזנת נתונים'!AQ66</f>
        <v>483.66666666666902</v>
      </c>
      <c r="AS31" s="37">
        <f>'הזנת נתונים'!AR66</f>
        <v>494.66666666666902</v>
      </c>
      <c r="AT31" s="37">
        <f>'הזנת נתונים'!AS66</f>
        <v>505.66666666666799</v>
      </c>
      <c r="AU31" s="37">
        <f>'הזנת נתונים'!AT66</f>
        <v>516.66666666666902</v>
      </c>
      <c r="AV31" s="37">
        <f>'הזנת נתונים'!AU66</f>
        <v>527.66666666666902</v>
      </c>
      <c r="AW31" s="37">
        <f>'הזנת נתונים'!AV66</f>
        <v>538.66666666666902</v>
      </c>
      <c r="AX31" s="37">
        <f>'הזנת נתונים'!AW66</f>
        <v>549.66666666666902</v>
      </c>
      <c r="AY31" s="37">
        <f>'הזנת נתונים'!AX66</f>
        <v>560.66666666666902</v>
      </c>
      <c r="AZ31" s="37">
        <f>'הזנת נתונים'!AY66</f>
        <v>571.66666666666902</v>
      </c>
      <c r="BA31" s="37">
        <f>'הזנת נתונים'!AZ66</f>
        <v>582.66666666666902</v>
      </c>
      <c r="BB31" s="37">
        <f>'הזנת נתונים'!BA66</f>
        <v>593.66666666666902</v>
      </c>
      <c r="BC31" s="37">
        <f>'הזנת נתונים'!BB66</f>
        <v>604.66666666666902</v>
      </c>
      <c r="BD31" s="37">
        <f>'הזנת נתונים'!BC66</f>
        <v>615.66666666666902</v>
      </c>
      <c r="BE31" s="37">
        <f>'הזנת נתונים'!BD66</f>
        <v>626.66666666666902</v>
      </c>
      <c r="BF31" s="37">
        <f>'הזנת נתונים'!BE66</f>
        <v>637.66666666666902</v>
      </c>
      <c r="BG31" s="37">
        <f>'הזנת נתונים'!BF66</f>
        <v>648.66666666666902</v>
      </c>
      <c r="BH31" s="37">
        <f>'הזנת נתונים'!BG66</f>
        <v>659.66666666666902</v>
      </c>
      <c r="BI31" s="37">
        <f>'הזנת נתונים'!BH66</f>
        <v>670.66666666666902</v>
      </c>
    </row>
    <row r="32" spans="1:63" x14ac:dyDescent="0.25">
      <c r="A32" s="13" t="s">
        <v>2</v>
      </c>
      <c r="B32" t="e">
        <v>#N/A</v>
      </c>
      <c r="C32" t="e">
        <v>#N/A</v>
      </c>
      <c r="D32">
        <f t="shared" ref="D32:AI32" si="12">AVERAGE(B31:D31)</f>
        <v>34.333333333333336</v>
      </c>
      <c r="E32">
        <f t="shared" si="12"/>
        <v>43.333333333333336</v>
      </c>
      <c r="F32">
        <f t="shared" si="12"/>
        <v>55</v>
      </c>
      <c r="G32">
        <f t="shared" si="12"/>
        <v>66.666666666666671</v>
      </c>
      <c r="H32">
        <f t="shared" si="12"/>
        <v>77.555555555555557</v>
      </c>
      <c r="I32">
        <f t="shared" si="12"/>
        <v>87.111111111111128</v>
      </c>
      <c r="J32">
        <f t="shared" si="12"/>
        <v>98.666666666666799</v>
      </c>
      <c r="K32">
        <f t="shared" si="12"/>
        <v>109.6666666666669</v>
      </c>
      <c r="L32">
        <f t="shared" si="12"/>
        <v>120.66666666666701</v>
      </c>
      <c r="M32">
        <f t="shared" si="12"/>
        <v>131.666666666667</v>
      </c>
      <c r="N32">
        <f t="shared" si="12"/>
        <v>142.666666666667</v>
      </c>
      <c r="O32">
        <f t="shared" si="12"/>
        <v>153.666666666667</v>
      </c>
      <c r="P32">
        <f t="shared" si="12"/>
        <v>164.666666666667</v>
      </c>
      <c r="Q32">
        <f t="shared" si="12"/>
        <v>175.666666666667</v>
      </c>
      <c r="R32">
        <f t="shared" si="12"/>
        <v>186.666666666667</v>
      </c>
      <c r="S32">
        <f t="shared" si="12"/>
        <v>197.666666666667</v>
      </c>
      <c r="T32">
        <f t="shared" si="12"/>
        <v>208.666666666667</v>
      </c>
      <c r="U32">
        <f t="shared" si="12"/>
        <v>219.666666666667</v>
      </c>
      <c r="V32">
        <f t="shared" si="12"/>
        <v>230.666666666667</v>
      </c>
      <c r="W32">
        <f t="shared" si="12"/>
        <v>241.666666666667</v>
      </c>
      <c r="X32">
        <f t="shared" si="12"/>
        <v>252.666666666667</v>
      </c>
      <c r="Y32">
        <f t="shared" si="12"/>
        <v>263.66666666666703</v>
      </c>
      <c r="Z32">
        <f t="shared" si="12"/>
        <v>274.66666666666737</v>
      </c>
      <c r="AA32">
        <f t="shared" si="12"/>
        <v>285.66666666666771</v>
      </c>
      <c r="AB32">
        <f t="shared" si="12"/>
        <v>296.66666666666799</v>
      </c>
      <c r="AC32">
        <f t="shared" si="12"/>
        <v>307.66666666666799</v>
      </c>
      <c r="AD32">
        <f t="shared" si="12"/>
        <v>318.66666666666799</v>
      </c>
      <c r="AE32">
        <f t="shared" si="12"/>
        <v>329.66666666666799</v>
      </c>
      <c r="AF32">
        <f t="shared" si="12"/>
        <v>340.66666666666799</v>
      </c>
      <c r="AG32">
        <f t="shared" si="12"/>
        <v>351.66666666666805</v>
      </c>
      <c r="AH32">
        <f t="shared" si="12"/>
        <v>362.66666666666805</v>
      </c>
      <c r="AI32">
        <f t="shared" si="12"/>
        <v>373.66666666666805</v>
      </c>
      <c r="AJ32">
        <f t="shared" ref="AJ32:BI32" si="13">AVERAGE(AH31:AJ31)</f>
        <v>384.66666666666805</v>
      </c>
      <c r="AK32">
        <f t="shared" si="13"/>
        <v>395.66666666666805</v>
      </c>
      <c r="AL32">
        <f t="shared" si="13"/>
        <v>406.66666666666805</v>
      </c>
      <c r="AM32">
        <f t="shared" si="13"/>
        <v>417.66666666666833</v>
      </c>
      <c r="AN32">
        <f t="shared" si="13"/>
        <v>428.66666666666862</v>
      </c>
      <c r="AO32">
        <f t="shared" si="13"/>
        <v>439.66666666666902</v>
      </c>
      <c r="AP32">
        <f t="shared" si="13"/>
        <v>450.66666666666902</v>
      </c>
      <c r="AQ32">
        <f t="shared" si="13"/>
        <v>461.66666666666902</v>
      </c>
      <c r="AR32">
        <f t="shared" si="13"/>
        <v>472.66666666666902</v>
      </c>
      <c r="AS32">
        <f t="shared" si="13"/>
        <v>483.66666666666902</v>
      </c>
      <c r="AT32">
        <f t="shared" si="13"/>
        <v>494.66666666666862</v>
      </c>
      <c r="AU32">
        <f t="shared" si="13"/>
        <v>505.66666666666862</v>
      </c>
      <c r="AV32">
        <f t="shared" si="13"/>
        <v>516.66666666666868</v>
      </c>
      <c r="AW32">
        <f t="shared" si="13"/>
        <v>527.66666666666902</v>
      </c>
      <c r="AX32">
        <f t="shared" si="13"/>
        <v>538.66666666666902</v>
      </c>
      <c r="AY32">
        <f t="shared" si="13"/>
        <v>549.66666666666902</v>
      </c>
      <c r="AZ32">
        <f t="shared" si="13"/>
        <v>560.66666666666902</v>
      </c>
      <c r="BA32">
        <f t="shared" si="13"/>
        <v>571.66666666666902</v>
      </c>
      <c r="BB32">
        <f t="shared" si="13"/>
        <v>582.66666666666902</v>
      </c>
      <c r="BC32">
        <f t="shared" si="13"/>
        <v>593.66666666666902</v>
      </c>
      <c r="BD32">
        <f t="shared" si="13"/>
        <v>604.66666666666902</v>
      </c>
      <c r="BE32">
        <f t="shared" si="13"/>
        <v>615.66666666666902</v>
      </c>
      <c r="BF32">
        <f t="shared" si="13"/>
        <v>626.66666666666902</v>
      </c>
      <c r="BG32">
        <f t="shared" si="13"/>
        <v>637.66666666666902</v>
      </c>
      <c r="BH32">
        <f t="shared" si="13"/>
        <v>648.66666666666902</v>
      </c>
      <c r="BI32">
        <f t="shared" si="13"/>
        <v>659.66666666666902</v>
      </c>
    </row>
    <row r="33" spans="1:63" x14ac:dyDescent="0.25">
      <c r="A33" s="13" t="s">
        <v>9</v>
      </c>
      <c r="B33" s="7"/>
      <c r="C33" s="7"/>
      <c r="D33" s="7"/>
      <c r="E33" s="7">
        <f>D32</f>
        <v>34.333333333333336</v>
      </c>
      <c r="F33" s="7">
        <f t="shared" ref="F33:BI33" si="14">E32</f>
        <v>43.333333333333336</v>
      </c>
      <c r="G33" s="7">
        <f t="shared" si="14"/>
        <v>55</v>
      </c>
      <c r="H33" s="7">
        <f t="shared" si="14"/>
        <v>66.666666666666671</v>
      </c>
      <c r="I33" s="7">
        <f t="shared" si="14"/>
        <v>77.555555555555557</v>
      </c>
      <c r="J33" s="7">
        <f t="shared" si="14"/>
        <v>87.111111111111128</v>
      </c>
      <c r="K33" s="7">
        <f t="shared" si="14"/>
        <v>98.666666666666799</v>
      </c>
      <c r="L33" s="7">
        <f t="shared" si="14"/>
        <v>109.6666666666669</v>
      </c>
      <c r="M33" s="7">
        <f t="shared" si="14"/>
        <v>120.66666666666701</v>
      </c>
      <c r="N33" s="7">
        <f t="shared" si="14"/>
        <v>131.666666666667</v>
      </c>
      <c r="O33" s="7">
        <f t="shared" si="14"/>
        <v>142.666666666667</v>
      </c>
      <c r="P33" s="7">
        <f t="shared" si="14"/>
        <v>153.666666666667</v>
      </c>
      <c r="Q33" s="7">
        <f t="shared" si="14"/>
        <v>164.666666666667</v>
      </c>
      <c r="R33" s="7">
        <f t="shared" si="14"/>
        <v>175.666666666667</v>
      </c>
      <c r="S33" s="7">
        <f t="shared" si="14"/>
        <v>186.666666666667</v>
      </c>
      <c r="T33" s="7">
        <f t="shared" si="14"/>
        <v>197.666666666667</v>
      </c>
      <c r="U33" s="7">
        <f t="shared" si="14"/>
        <v>208.666666666667</v>
      </c>
      <c r="V33" s="7">
        <f t="shared" si="14"/>
        <v>219.666666666667</v>
      </c>
      <c r="W33" s="7">
        <f t="shared" si="14"/>
        <v>230.666666666667</v>
      </c>
      <c r="X33" s="7">
        <f t="shared" si="14"/>
        <v>241.666666666667</v>
      </c>
      <c r="Y33" s="7">
        <f t="shared" si="14"/>
        <v>252.666666666667</v>
      </c>
      <c r="Z33" s="7">
        <f t="shared" si="14"/>
        <v>263.66666666666703</v>
      </c>
      <c r="AA33" s="7">
        <f t="shared" si="14"/>
        <v>274.66666666666737</v>
      </c>
      <c r="AB33" s="7">
        <f t="shared" si="14"/>
        <v>285.66666666666771</v>
      </c>
      <c r="AC33" s="7">
        <f t="shared" si="14"/>
        <v>296.66666666666799</v>
      </c>
      <c r="AD33" s="7">
        <f t="shared" si="14"/>
        <v>307.66666666666799</v>
      </c>
      <c r="AE33" s="7">
        <f t="shared" si="14"/>
        <v>318.66666666666799</v>
      </c>
      <c r="AF33" s="7">
        <f t="shared" si="14"/>
        <v>329.66666666666799</v>
      </c>
      <c r="AG33" s="7">
        <f t="shared" si="14"/>
        <v>340.66666666666799</v>
      </c>
      <c r="AH33" s="7">
        <f t="shared" si="14"/>
        <v>351.66666666666805</v>
      </c>
      <c r="AI33" s="7">
        <f t="shared" si="14"/>
        <v>362.66666666666805</v>
      </c>
      <c r="AJ33" s="7">
        <f t="shared" si="14"/>
        <v>373.66666666666805</v>
      </c>
      <c r="AK33" s="7">
        <f t="shared" si="14"/>
        <v>384.66666666666805</v>
      </c>
      <c r="AL33" s="7">
        <f t="shared" si="14"/>
        <v>395.66666666666805</v>
      </c>
      <c r="AM33" s="7">
        <f t="shared" si="14"/>
        <v>406.66666666666805</v>
      </c>
      <c r="AN33" s="7">
        <f t="shared" si="14"/>
        <v>417.66666666666833</v>
      </c>
      <c r="AO33" s="7">
        <f t="shared" si="14"/>
        <v>428.66666666666862</v>
      </c>
      <c r="AP33" s="7">
        <f t="shared" si="14"/>
        <v>439.66666666666902</v>
      </c>
      <c r="AQ33" s="7">
        <f t="shared" si="14"/>
        <v>450.66666666666902</v>
      </c>
      <c r="AR33" s="7">
        <f t="shared" si="14"/>
        <v>461.66666666666902</v>
      </c>
      <c r="AS33" s="7">
        <f t="shared" si="14"/>
        <v>472.66666666666902</v>
      </c>
      <c r="AT33" s="7">
        <f t="shared" si="14"/>
        <v>483.66666666666902</v>
      </c>
      <c r="AU33" s="7">
        <f t="shared" si="14"/>
        <v>494.66666666666862</v>
      </c>
      <c r="AV33" s="7">
        <f t="shared" si="14"/>
        <v>505.66666666666862</v>
      </c>
      <c r="AW33" s="7">
        <f t="shared" si="14"/>
        <v>516.66666666666868</v>
      </c>
      <c r="AX33" s="7">
        <f t="shared" si="14"/>
        <v>527.66666666666902</v>
      </c>
      <c r="AY33" s="7">
        <f t="shared" si="14"/>
        <v>538.66666666666902</v>
      </c>
      <c r="AZ33" s="7">
        <f t="shared" si="14"/>
        <v>549.66666666666902</v>
      </c>
      <c r="BA33" s="7">
        <f t="shared" si="14"/>
        <v>560.66666666666902</v>
      </c>
      <c r="BB33" s="7">
        <f t="shared" si="14"/>
        <v>571.66666666666902</v>
      </c>
      <c r="BC33" s="7">
        <f t="shared" si="14"/>
        <v>582.66666666666902</v>
      </c>
      <c r="BD33" s="7">
        <f t="shared" si="14"/>
        <v>593.66666666666902</v>
      </c>
      <c r="BE33" s="7">
        <f t="shared" si="14"/>
        <v>604.66666666666902</v>
      </c>
      <c r="BF33" s="7">
        <f t="shared" si="14"/>
        <v>615.66666666666902</v>
      </c>
      <c r="BG33" s="7">
        <f t="shared" si="14"/>
        <v>626.66666666666902</v>
      </c>
      <c r="BH33" s="7">
        <f t="shared" si="14"/>
        <v>637.66666666666902</v>
      </c>
      <c r="BI33" s="7">
        <f t="shared" si="14"/>
        <v>648.66666666666902</v>
      </c>
    </row>
    <row r="34" spans="1:63" x14ac:dyDescent="0.25">
      <c r="A34" s="13" t="s">
        <v>4</v>
      </c>
      <c r="B34" s="7"/>
      <c r="C34" s="7"/>
      <c r="D34" s="7"/>
      <c r="E34" s="7">
        <f>E33-E31</f>
        <v>-20.666666666666664</v>
      </c>
      <c r="F34" s="7">
        <f t="shared" ref="F34:BI34" si="15">F33-F31</f>
        <v>-26.666666666666664</v>
      </c>
      <c r="G34" s="7">
        <f t="shared" si="15"/>
        <v>-20</v>
      </c>
      <c r="H34" s="7">
        <f t="shared" si="15"/>
        <v>-21.000000000000028</v>
      </c>
      <c r="I34" s="7">
        <f t="shared" si="15"/>
        <v>-21.111111111111143</v>
      </c>
      <c r="J34" s="7">
        <f t="shared" si="15"/>
        <v>-22.55555555555587</v>
      </c>
      <c r="K34" s="7">
        <f t="shared" si="15"/>
        <v>-22.000000000000199</v>
      </c>
      <c r="L34" s="7">
        <f t="shared" si="15"/>
        <v>-22.000000000000099</v>
      </c>
      <c r="M34" s="7">
        <f t="shared" si="15"/>
        <v>-21.999999999999986</v>
      </c>
      <c r="N34" s="7">
        <f t="shared" si="15"/>
        <v>-22</v>
      </c>
      <c r="O34" s="7">
        <f t="shared" si="15"/>
        <v>-22</v>
      </c>
      <c r="P34" s="7">
        <f t="shared" si="15"/>
        <v>-22</v>
      </c>
      <c r="Q34" s="7">
        <f t="shared" si="15"/>
        <v>-22</v>
      </c>
      <c r="R34" s="7">
        <f t="shared" si="15"/>
        <v>-22</v>
      </c>
      <c r="S34" s="7">
        <f t="shared" si="15"/>
        <v>-22</v>
      </c>
      <c r="T34" s="7">
        <f t="shared" si="15"/>
        <v>-22</v>
      </c>
      <c r="U34" s="7">
        <f t="shared" si="15"/>
        <v>-22</v>
      </c>
      <c r="V34" s="7">
        <f t="shared" si="15"/>
        <v>-22</v>
      </c>
      <c r="W34" s="7">
        <f t="shared" si="15"/>
        <v>-22</v>
      </c>
      <c r="X34" s="7">
        <f t="shared" si="15"/>
        <v>-22.000000000000028</v>
      </c>
      <c r="Y34" s="7">
        <f t="shared" si="15"/>
        <v>-22.000000000000028</v>
      </c>
      <c r="Z34" s="7">
        <f t="shared" si="15"/>
        <v>-22.000000000000966</v>
      </c>
      <c r="AA34" s="7">
        <f t="shared" si="15"/>
        <v>-22.000000000000625</v>
      </c>
      <c r="AB34" s="7">
        <f t="shared" si="15"/>
        <v>-22.000000000000284</v>
      </c>
      <c r="AC34" s="7">
        <f t="shared" si="15"/>
        <v>-22</v>
      </c>
      <c r="AD34" s="7">
        <f t="shared" si="15"/>
        <v>-22</v>
      </c>
      <c r="AE34" s="7">
        <f t="shared" si="15"/>
        <v>-22</v>
      </c>
      <c r="AF34" s="7">
        <f t="shared" si="15"/>
        <v>-22</v>
      </c>
      <c r="AG34" s="7">
        <f t="shared" si="15"/>
        <v>-22</v>
      </c>
      <c r="AH34" s="7">
        <f t="shared" si="15"/>
        <v>-21.999999999999943</v>
      </c>
      <c r="AI34" s="7">
        <f t="shared" si="15"/>
        <v>-21.999999999999943</v>
      </c>
      <c r="AJ34" s="7">
        <f t="shared" si="15"/>
        <v>-21.999999999999943</v>
      </c>
      <c r="AK34" s="7">
        <f t="shared" si="15"/>
        <v>-21.999999999999943</v>
      </c>
      <c r="AL34" s="7">
        <f t="shared" si="15"/>
        <v>-21.999999999999943</v>
      </c>
      <c r="AM34" s="7">
        <f t="shared" si="15"/>
        <v>-22.000000000000966</v>
      </c>
      <c r="AN34" s="7">
        <f t="shared" si="15"/>
        <v>-22.000000000000682</v>
      </c>
      <c r="AO34" s="7">
        <f t="shared" si="15"/>
        <v>-22.000000000000398</v>
      </c>
      <c r="AP34" s="7">
        <f t="shared" si="15"/>
        <v>-22</v>
      </c>
      <c r="AQ34" s="7">
        <f t="shared" si="15"/>
        <v>-22</v>
      </c>
      <c r="AR34" s="7">
        <f t="shared" si="15"/>
        <v>-22</v>
      </c>
      <c r="AS34" s="7">
        <f t="shared" si="15"/>
        <v>-22</v>
      </c>
      <c r="AT34" s="7">
        <f t="shared" si="15"/>
        <v>-21.999999999998977</v>
      </c>
      <c r="AU34" s="7">
        <f t="shared" si="15"/>
        <v>-22.000000000000398</v>
      </c>
      <c r="AV34" s="7">
        <f t="shared" si="15"/>
        <v>-22.000000000000398</v>
      </c>
      <c r="AW34" s="7">
        <f t="shared" si="15"/>
        <v>-22.000000000000341</v>
      </c>
      <c r="AX34" s="7">
        <f t="shared" si="15"/>
        <v>-22</v>
      </c>
      <c r="AY34" s="7">
        <f t="shared" si="15"/>
        <v>-22</v>
      </c>
      <c r="AZ34" s="7">
        <f t="shared" si="15"/>
        <v>-22</v>
      </c>
      <c r="BA34" s="7">
        <f t="shared" si="15"/>
        <v>-22</v>
      </c>
      <c r="BB34" s="7">
        <f t="shared" si="15"/>
        <v>-22</v>
      </c>
      <c r="BC34" s="7">
        <f t="shared" si="15"/>
        <v>-22</v>
      </c>
      <c r="BD34" s="7">
        <f t="shared" si="15"/>
        <v>-22</v>
      </c>
      <c r="BE34" s="7">
        <f t="shared" si="15"/>
        <v>-22</v>
      </c>
      <c r="BF34" s="7">
        <f t="shared" si="15"/>
        <v>-22</v>
      </c>
      <c r="BG34" s="7">
        <f t="shared" si="15"/>
        <v>-22</v>
      </c>
      <c r="BH34" s="7">
        <f t="shared" si="15"/>
        <v>-22</v>
      </c>
      <c r="BI34" s="7">
        <f t="shared" si="15"/>
        <v>-22</v>
      </c>
    </row>
    <row r="35" spans="1:63" x14ac:dyDescent="0.25">
      <c r="A35" s="13" t="s">
        <v>12</v>
      </c>
      <c r="B35" s="7"/>
      <c r="C35" s="7"/>
      <c r="D35" s="7"/>
      <c r="E35" s="7">
        <f>E34^2</f>
        <v>427.11111111111103</v>
      </c>
      <c r="F35" s="7">
        <f t="shared" ref="F35:BI35" si="16">F34^2</f>
        <v>711.11111111111097</v>
      </c>
      <c r="G35" s="7">
        <f t="shared" si="16"/>
        <v>400</v>
      </c>
      <c r="H35" s="7">
        <f t="shared" si="16"/>
        <v>441.00000000000119</v>
      </c>
      <c r="I35" s="7">
        <f t="shared" si="16"/>
        <v>445.67901234568035</v>
      </c>
      <c r="J35" s="7">
        <f t="shared" si="16"/>
        <v>508.75308641976727</v>
      </c>
      <c r="K35" s="7">
        <f t="shared" si="16"/>
        <v>484.00000000000875</v>
      </c>
      <c r="L35" s="7">
        <f t="shared" si="16"/>
        <v>484.00000000000438</v>
      </c>
      <c r="M35" s="7">
        <f t="shared" si="16"/>
        <v>483.99999999999937</v>
      </c>
      <c r="N35" s="7">
        <f t="shared" si="16"/>
        <v>484</v>
      </c>
      <c r="O35" s="7">
        <f t="shared" si="16"/>
        <v>484</v>
      </c>
      <c r="P35" s="7">
        <f t="shared" si="16"/>
        <v>484</v>
      </c>
      <c r="Q35" s="7">
        <f t="shared" si="16"/>
        <v>484</v>
      </c>
      <c r="R35" s="7">
        <f t="shared" si="16"/>
        <v>484</v>
      </c>
      <c r="S35" s="7">
        <f t="shared" si="16"/>
        <v>484</v>
      </c>
      <c r="T35" s="7">
        <f t="shared" si="16"/>
        <v>484</v>
      </c>
      <c r="U35" s="7">
        <f t="shared" si="16"/>
        <v>484</v>
      </c>
      <c r="V35" s="7">
        <f t="shared" si="16"/>
        <v>484</v>
      </c>
      <c r="W35" s="7">
        <f t="shared" si="16"/>
        <v>484</v>
      </c>
      <c r="X35" s="7">
        <f t="shared" si="16"/>
        <v>484.00000000000125</v>
      </c>
      <c r="Y35" s="7">
        <f t="shared" si="16"/>
        <v>484.00000000000125</v>
      </c>
      <c r="Z35" s="7">
        <f t="shared" si="16"/>
        <v>484.00000000004252</v>
      </c>
      <c r="AA35" s="7">
        <f t="shared" si="16"/>
        <v>484.00000000002751</v>
      </c>
      <c r="AB35" s="7">
        <f t="shared" si="16"/>
        <v>484.00000000001251</v>
      </c>
      <c r="AC35" s="7">
        <f t="shared" si="16"/>
        <v>484</v>
      </c>
      <c r="AD35" s="7">
        <f t="shared" si="16"/>
        <v>484</v>
      </c>
      <c r="AE35" s="7">
        <f t="shared" si="16"/>
        <v>484</v>
      </c>
      <c r="AF35" s="7">
        <f t="shared" si="16"/>
        <v>484</v>
      </c>
      <c r="AG35" s="7">
        <f t="shared" si="16"/>
        <v>484</v>
      </c>
      <c r="AH35" s="7">
        <f t="shared" si="16"/>
        <v>483.9999999999975</v>
      </c>
      <c r="AI35" s="7">
        <f t="shared" si="16"/>
        <v>483.9999999999975</v>
      </c>
      <c r="AJ35" s="7">
        <f t="shared" si="16"/>
        <v>483.9999999999975</v>
      </c>
      <c r="AK35" s="7">
        <f t="shared" si="16"/>
        <v>483.9999999999975</v>
      </c>
      <c r="AL35" s="7">
        <f t="shared" si="16"/>
        <v>483.9999999999975</v>
      </c>
      <c r="AM35" s="7">
        <f t="shared" si="16"/>
        <v>484.00000000004252</v>
      </c>
      <c r="AN35" s="7">
        <f t="shared" si="16"/>
        <v>484.00000000003001</v>
      </c>
      <c r="AO35" s="7">
        <f t="shared" si="16"/>
        <v>484.00000000001751</v>
      </c>
      <c r="AP35" s="7">
        <f t="shared" si="16"/>
        <v>484</v>
      </c>
      <c r="AQ35" s="7">
        <f t="shared" si="16"/>
        <v>484</v>
      </c>
      <c r="AR35" s="7">
        <f t="shared" si="16"/>
        <v>484</v>
      </c>
      <c r="AS35" s="7">
        <f t="shared" si="16"/>
        <v>484</v>
      </c>
      <c r="AT35" s="7">
        <f t="shared" si="16"/>
        <v>483.99999999995498</v>
      </c>
      <c r="AU35" s="7">
        <f t="shared" si="16"/>
        <v>484.00000000001751</v>
      </c>
      <c r="AV35" s="7">
        <f t="shared" si="16"/>
        <v>484.00000000001751</v>
      </c>
      <c r="AW35" s="7">
        <f t="shared" si="16"/>
        <v>484.00000000001501</v>
      </c>
      <c r="AX35" s="7">
        <f t="shared" si="16"/>
        <v>484</v>
      </c>
      <c r="AY35" s="7">
        <f t="shared" si="16"/>
        <v>484</v>
      </c>
      <c r="AZ35" s="7">
        <f t="shared" si="16"/>
        <v>484</v>
      </c>
      <c r="BA35" s="7">
        <f t="shared" si="16"/>
        <v>484</v>
      </c>
      <c r="BB35" s="7">
        <f t="shared" si="16"/>
        <v>484</v>
      </c>
      <c r="BC35" s="7">
        <f t="shared" si="16"/>
        <v>484</v>
      </c>
      <c r="BD35" s="7">
        <f t="shared" si="16"/>
        <v>484</v>
      </c>
      <c r="BE35" s="7">
        <f t="shared" si="16"/>
        <v>484</v>
      </c>
      <c r="BF35" s="7">
        <f t="shared" si="16"/>
        <v>484</v>
      </c>
      <c r="BG35" s="7">
        <f t="shared" si="16"/>
        <v>484</v>
      </c>
      <c r="BH35" s="7">
        <f t="shared" si="16"/>
        <v>484</v>
      </c>
      <c r="BI35" s="7">
        <f t="shared" si="16"/>
        <v>484</v>
      </c>
    </row>
    <row r="36" spans="1:63" x14ac:dyDescent="0.25">
      <c r="A36" s="38" t="s">
        <v>11</v>
      </c>
      <c r="B36" s="38">
        <v>3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3" x14ac:dyDescent="0.25">
      <c r="A37" s="8" t="s">
        <v>5</v>
      </c>
      <c r="B37" s="8">
        <f>AVERAGE(E35:BI35)</f>
        <v>484.52025124540103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3" x14ac:dyDescent="0.25">
      <c r="A38" s="7" t="s">
        <v>7</v>
      </c>
      <c r="B38" s="7">
        <f>SUM(BG31:BI31)/B36</f>
        <v>659.66666666666902</v>
      </c>
    </row>
    <row r="39" spans="1:63" x14ac:dyDescent="0.25">
      <c r="A39" s="31" t="s">
        <v>6</v>
      </c>
      <c r="B39" s="7" t="s">
        <v>62</v>
      </c>
      <c r="C39" s="7">
        <v>61</v>
      </c>
      <c r="D39" s="7">
        <v>62</v>
      </c>
      <c r="E39" s="7">
        <v>63</v>
      </c>
      <c r="F39" s="7">
        <v>64</v>
      </c>
      <c r="G39" s="7">
        <v>65</v>
      </c>
      <c r="H39" s="7">
        <v>66</v>
      </c>
      <c r="I39" s="7">
        <v>67</v>
      </c>
      <c r="J39" s="7">
        <v>68</v>
      </c>
      <c r="K39" s="7">
        <v>69</v>
      </c>
      <c r="L39" s="7">
        <v>70</v>
      </c>
      <c r="M39" s="7">
        <v>71</v>
      </c>
      <c r="N39" s="7">
        <v>72</v>
      </c>
    </row>
    <row r="40" spans="1:63" x14ac:dyDescent="0.25">
      <c r="C40" s="7">
        <f>$B$38</f>
        <v>659.66666666666902</v>
      </c>
      <c r="D40" s="7">
        <f t="shared" ref="D40:N40" si="17">$B$38</f>
        <v>659.66666666666902</v>
      </c>
      <c r="E40" s="7">
        <f t="shared" si="17"/>
        <v>659.66666666666902</v>
      </c>
      <c r="F40" s="7">
        <f t="shared" si="17"/>
        <v>659.66666666666902</v>
      </c>
      <c r="G40" s="7">
        <f t="shared" si="17"/>
        <v>659.66666666666902</v>
      </c>
      <c r="H40" s="7">
        <f t="shared" si="17"/>
        <v>659.66666666666902</v>
      </c>
      <c r="I40" s="7">
        <f t="shared" si="17"/>
        <v>659.66666666666902</v>
      </c>
      <c r="J40" s="7">
        <f t="shared" si="17"/>
        <v>659.66666666666902</v>
      </c>
      <c r="K40" s="7">
        <f t="shared" si="17"/>
        <v>659.66666666666902</v>
      </c>
      <c r="L40" s="7">
        <f t="shared" si="17"/>
        <v>659.66666666666902</v>
      </c>
      <c r="M40" s="7">
        <f t="shared" si="17"/>
        <v>659.66666666666902</v>
      </c>
      <c r="N40" s="7">
        <f t="shared" si="17"/>
        <v>659.66666666666902</v>
      </c>
    </row>
    <row r="42" spans="1:63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</row>
    <row r="44" spans="1:63" x14ac:dyDescent="0.25">
      <c r="A44" s="13" t="s">
        <v>1</v>
      </c>
      <c r="B44" s="13">
        <v>1</v>
      </c>
      <c r="C44" s="13">
        <v>2</v>
      </c>
      <c r="D44" s="13">
        <v>3</v>
      </c>
      <c r="E44" s="13">
        <v>4</v>
      </c>
      <c r="F44" s="13">
        <v>5</v>
      </c>
      <c r="G44" s="13">
        <v>6</v>
      </c>
      <c r="H44" s="13">
        <v>7</v>
      </c>
      <c r="I44" s="13">
        <v>8</v>
      </c>
      <c r="J44" s="13">
        <v>9</v>
      </c>
      <c r="K44" s="13">
        <v>10</v>
      </c>
      <c r="L44" s="13">
        <v>11</v>
      </c>
      <c r="M44" s="13">
        <v>12</v>
      </c>
      <c r="N44" s="13">
        <v>13</v>
      </c>
      <c r="O44" s="13">
        <v>14</v>
      </c>
      <c r="P44" s="13">
        <v>15</v>
      </c>
      <c r="Q44" s="13">
        <v>16</v>
      </c>
      <c r="R44" s="13">
        <v>17</v>
      </c>
      <c r="S44" s="13">
        <v>18</v>
      </c>
      <c r="T44" s="13">
        <v>19</v>
      </c>
      <c r="U44" s="13">
        <v>20</v>
      </c>
      <c r="V44" s="13">
        <v>21</v>
      </c>
      <c r="W44" s="13">
        <v>22</v>
      </c>
      <c r="X44" s="13">
        <v>23</v>
      </c>
      <c r="Y44" s="13">
        <v>24</v>
      </c>
      <c r="Z44" s="13">
        <v>25</v>
      </c>
      <c r="AA44" s="13">
        <v>26</v>
      </c>
      <c r="AB44" s="13">
        <v>27</v>
      </c>
      <c r="AC44" s="13">
        <v>28</v>
      </c>
      <c r="AD44" s="13">
        <v>29</v>
      </c>
      <c r="AE44" s="13">
        <v>30</v>
      </c>
      <c r="AF44" s="13">
        <v>31</v>
      </c>
      <c r="AG44" s="13">
        <v>32</v>
      </c>
      <c r="AH44" s="13">
        <v>33</v>
      </c>
      <c r="AI44" s="13">
        <v>34</v>
      </c>
      <c r="AJ44" s="13">
        <v>35</v>
      </c>
      <c r="AK44" s="13">
        <v>36</v>
      </c>
      <c r="AL44" s="13">
        <v>37</v>
      </c>
      <c r="AM44" s="13">
        <v>38</v>
      </c>
      <c r="AN44" s="13">
        <v>39</v>
      </c>
      <c r="AO44" s="13">
        <v>40</v>
      </c>
      <c r="AP44" s="13">
        <v>41</v>
      </c>
      <c r="AQ44" s="13">
        <v>42</v>
      </c>
      <c r="AR44" s="13">
        <v>43</v>
      </c>
      <c r="AS44" s="13">
        <v>44</v>
      </c>
      <c r="AT44" s="13">
        <v>45</v>
      </c>
      <c r="AU44" s="13">
        <v>46</v>
      </c>
      <c r="AV44" s="13">
        <v>47</v>
      </c>
      <c r="AW44" s="13">
        <v>48</v>
      </c>
      <c r="AX44" s="13">
        <v>49</v>
      </c>
      <c r="AY44" s="13">
        <v>50</v>
      </c>
      <c r="AZ44" s="13">
        <v>51</v>
      </c>
      <c r="BA44" s="13">
        <v>52</v>
      </c>
      <c r="BB44" s="13">
        <v>53</v>
      </c>
      <c r="BC44" s="13">
        <v>54</v>
      </c>
      <c r="BD44" s="13">
        <v>55</v>
      </c>
      <c r="BE44" s="13">
        <v>56</v>
      </c>
      <c r="BF44" s="13">
        <v>57</v>
      </c>
      <c r="BG44" s="13">
        <v>58</v>
      </c>
      <c r="BH44" s="13">
        <v>59</v>
      </c>
      <c r="BI44" s="13">
        <v>60</v>
      </c>
    </row>
    <row r="45" spans="1:63" x14ac:dyDescent="0.25">
      <c r="A45" s="13" t="s">
        <v>0</v>
      </c>
      <c r="B45" s="37">
        <f>'הזנת נתונים'!A66</f>
        <v>28</v>
      </c>
      <c r="C45" s="37">
        <f>'הזנת נתונים'!B66</f>
        <v>35</v>
      </c>
      <c r="D45" s="37">
        <f>'הזנת נתונים'!C66</f>
        <v>40</v>
      </c>
      <c r="E45" s="37">
        <f>'הזנת נתונים'!D66</f>
        <v>55</v>
      </c>
      <c r="F45" s="37">
        <f>'הזנת נתונים'!E66</f>
        <v>70</v>
      </c>
      <c r="G45" s="37">
        <f>'הזנת נתונים'!F66</f>
        <v>75</v>
      </c>
      <c r="H45" s="37">
        <f>'הזנת נתונים'!G66</f>
        <v>87.6666666666667</v>
      </c>
      <c r="I45" s="37">
        <f>'הזנת נתונים'!H66</f>
        <v>98.6666666666667</v>
      </c>
      <c r="J45" s="37">
        <f>'הזנת נתונים'!I66</f>
        <v>109.666666666667</v>
      </c>
      <c r="K45" s="37">
        <f>'הזנת נתונים'!J66</f>
        <v>120.666666666667</v>
      </c>
      <c r="L45" s="37">
        <f>'הזנת נתונים'!K66</f>
        <v>131.666666666667</v>
      </c>
      <c r="M45" s="37">
        <f>'הזנת נתונים'!L66</f>
        <v>142.666666666667</v>
      </c>
      <c r="N45" s="37">
        <f>'הזנת נתונים'!M66</f>
        <v>153.666666666667</v>
      </c>
      <c r="O45" s="37">
        <f>'הזנת נתונים'!N66</f>
        <v>164.666666666667</v>
      </c>
      <c r="P45" s="37">
        <f>'הזנת נתונים'!O66</f>
        <v>175.666666666667</v>
      </c>
      <c r="Q45" s="37">
        <f>'הזנת נתונים'!P66</f>
        <v>186.666666666667</v>
      </c>
      <c r="R45" s="37">
        <f>'הזנת נתונים'!Q66</f>
        <v>197.666666666667</v>
      </c>
      <c r="S45" s="37">
        <f>'הזנת נתונים'!R66</f>
        <v>208.666666666667</v>
      </c>
      <c r="T45" s="37">
        <f>'הזנת נתונים'!S66</f>
        <v>219.666666666667</v>
      </c>
      <c r="U45" s="37">
        <f>'הזנת נתונים'!T66</f>
        <v>230.666666666667</v>
      </c>
      <c r="V45" s="37">
        <f>'הזנת נתונים'!U66</f>
        <v>241.666666666667</v>
      </c>
      <c r="W45" s="37">
        <f>'הזנת נתונים'!V66</f>
        <v>252.666666666667</v>
      </c>
      <c r="X45" s="37">
        <f>'הזנת נתונים'!W66</f>
        <v>263.66666666666703</v>
      </c>
      <c r="Y45" s="37">
        <f>'הזנת נתונים'!X66</f>
        <v>274.66666666666703</v>
      </c>
      <c r="Z45" s="37">
        <f>'הזנת נתונים'!Y66</f>
        <v>285.66666666666799</v>
      </c>
      <c r="AA45" s="37">
        <f>'הזנת נתונים'!Z66</f>
        <v>296.66666666666799</v>
      </c>
      <c r="AB45" s="37">
        <f>'הזנת נתונים'!AA66</f>
        <v>307.66666666666799</v>
      </c>
      <c r="AC45" s="37">
        <f>'הזנת נתונים'!AB66</f>
        <v>318.66666666666799</v>
      </c>
      <c r="AD45" s="37">
        <f>'הזנת נתונים'!AC66</f>
        <v>329.66666666666799</v>
      </c>
      <c r="AE45" s="37">
        <f>'הזנת נתונים'!AD66</f>
        <v>340.66666666666799</v>
      </c>
      <c r="AF45" s="37">
        <f>'הזנת נתונים'!AE66</f>
        <v>351.66666666666799</v>
      </c>
      <c r="AG45" s="37">
        <f>'הזנת נתונים'!AF66</f>
        <v>362.66666666666799</v>
      </c>
      <c r="AH45" s="37">
        <f>'הזנת נתונים'!AG66</f>
        <v>373.66666666666799</v>
      </c>
      <c r="AI45" s="37">
        <f>'הזנת נתונים'!AH66</f>
        <v>384.66666666666799</v>
      </c>
      <c r="AJ45" s="37">
        <f>'הזנת נתונים'!AI66</f>
        <v>395.66666666666799</v>
      </c>
      <c r="AK45" s="37">
        <f>'הזנת נתונים'!AJ66</f>
        <v>406.66666666666799</v>
      </c>
      <c r="AL45" s="37">
        <f>'הזנת נתונים'!AK66</f>
        <v>417.66666666666799</v>
      </c>
      <c r="AM45" s="37">
        <f>'הזנת נתונים'!AL66</f>
        <v>428.66666666666902</v>
      </c>
      <c r="AN45" s="37">
        <f>'הזנת נתונים'!AM66</f>
        <v>439.66666666666902</v>
      </c>
      <c r="AO45" s="37">
        <f>'הזנת נתונים'!AN66</f>
        <v>450.66666666666902</v>
      </c>
      <c r="AP45" s="37">
        <f>'הזנת נתונים'!AO66</f>
        <v>461.66666666666902</v>
      </c>
      <c r="AQ45" s="37">
        <f>'הזנת נתונים'!AP66</f>
        <v>472.66666666666902</v>
      </c>
      <c r="AR45" s="37">
        <f>'הזנת נתונים'!AQ66</f>
        <v>483.66666666666902</v>
      </c>
      <c r="AS45" s="37">
        <f>'הזנת נתונים'!AR66</f>
        <v>494.66666666666902</v>
      </c>
      <c r="AT45" s="37">
        <f>'הזנת נתונים'!AS66</f>
        <v>505.66666666666799</v>
      </c>
      <c r="AU45" s="37">
        <f>'הזנת נתונים'!AT66</f>
        <v>516.66666666666902</v>
      </c>
      <c r="AV45" s="37">
        <f>'הזנת נתונים'!AU66</f>
        <v>527.66666666666902</v>
      </c>
      <c r="AW45" s="37">
        <f>'הזנת נתונים'!AV66</f>
        <v>538.66666666666902</v>
      </c>
      <c r="AX45" s="37">
        <f>'הזנת נתונים'!AW66</f>
        <v>549.66666666666902</v>
      </c>
      <c r="AY45" s="37">
        <f>'הזנת נתונים'!AX66</f>
        <v>560.66666666666902</v>
      </c>
      <c r="AZ45" s="37">
        <f>'הזנת נתונים'!AY66</f>
        <v>571.66666666666902</v>
      </c>
      <c r="BA45" s="37">
        <f>'הזנת נתונים'!AZ66</f>
        <v>582.66666666666902</v>
      </c>
      <c r="BB45" s="37">
        <f>'הזנת נתונים'!BA66</f>
        <v>593.66666666666902</v>
      </c>
      <c r="BC45" s="37">
        <f>'הזנת נתונים'!BB66</f>
        <v>604.66666666666902</v>
      </c>
      <c r="BD45" s="37">
        <f>'הזנת נתונים'!BC66</f>
        <v>615.66666666666902</v>
      </c>
      <c r="BE45" s="37">
        <f>'הזנת נתונים'!BD66</f>
        <v>626.66666666666902</v>
      </c>
      <c r="BF45" s="37">
        <f>'הזנת נתונים'!BE66</f>
        <v>637.66666666666902</v>
      </c>
      <c r="BG45" s="37">
        <f>'הזנת נתונים'!BF66</f>
        <v>648.66666666666902</v>
      </c>
      <c r="BH45" s="37">
        <f>'הזנת נתונים'!BG66</f>
        <v>659.66666666666902</v>
      </c>
      <c r="BI45" s="37">
        <f>'הזנת נתונים'!BH66</f>
        <v>670.66666666666902</v>
      </c>
    </row>
    <row r="46" spans="1:63" x14ac:dyDescent="0.25">
      <c r="A46" s="13" t="s">
        <v>2</v>
      </c>
      <c r="B46" t="e">
        <v>#N/A</v>
      </c>
      <c r="C46" t="e">
        <v>#N/A</v>
      </c>
      <c r="D46" t="e">
        <v>#N/A</v>
      </c>
      <c r="E46">
        <f t="shared" ref="E46:AJ46" si="18">AVERAGE(B45:E45)</f>
        <v>39.5</v>
      </c>
      <c r="F46">
        <f t="shared" si="18"/>
        <v>50</v>
      </c>
      <c r="G46">
        <f t="shared" si="18"/>
        <v>60</v>
      </c>
      <c r="H46">
        <f t="shared" si="18"/>
        <v>71.916666666666671</v>
      </c>
      <c r="I46">
        <f t="shared" si="18"/>
        <v>82.833333333333343</v>
      </c>
      <c r="J46">
        <f t="shared" si="18"/>
        <v>92.750000000000085</v>
      </c>
      <c r="K46">
        <f t="shared" si="18"/>
        <v>104.16666666666686</v>
      </c>
      <c r="L46">
        <f t="shared" si="18"/>
        <v>115.16666666666691</v>
      </c>
      <c r="M46">
        <f t="shared" si="18"/>
        <v>126.166666666667</v>
      </c>
      <c r="N46">
        <f t="shared" si="18"/>
        <v>137.166666666667</v>
      </c>
      <c r="O46">
        <f t="shared" si="18"/>
        <v>148.166666666667</v>
      </c>
      <c r="P46">
        <f t="shared" si="18"/>
        <v>159.166666666667</v>
      </c>
      <c r="Q46">
        <f t="shared" si="18"/>
        <v>170.166666666667</v>
      </c>
      <c r="R46">
        <f t="shared" si="18"/>
        <v>181.166666666667</v>
      </c>
      <c r="S46">
        <f t="shared" si="18"/>
        <v>192.166666666667</v>
      </c>
      <c r="T46">
        <f t="shared" si="18"/>
        <v>203.166666666667</v>
      </c>
      <c r="U46">
        <f t="shared" si="18"/>
        <v>214.166666666667</v>
      </c>
      <c r="V46">
        <f t="shared" si="18"/>
        <v>225.166666666667</v>
      </c>
      <c r="W46">
        <f t="shared" si="18"/>
        <v>236.166666666667</v>
      </c>
      <c r="X46">
        <f t="shared" si="18"/>
        <v>247.16666666666703</v>
      </c>
      <c r="Y46">
        <f t="shared" si="18"/>
        <v>258.16666666666703</v>
      </c>
      <c r="Z46">
        <f t="shared" si="18"/>
        <v>269.16666666666731</v>
      </c>
      <c r="AA46">
        <f t="shared" si="18"/>
        <v>280.16666666666754</v>
      </c>
      <c r="AB46">
        <f t="shared" si="18"/>
        <v>291.16666666666777</v>
      </c>
      <c r="AC46">
        <f t="shared" si="18"/>
        <v>302.16666666666799</v>
      </c>
      <c r="AD46">
        <f t="shared" si="18"/>
        <v>313.16666666666799</v>
      </c>
      <c r="AE46">
        <f t="shared" si="18"/>
        <v>324.16666666666799</v>
      </c>
      <c r="AF46">
        <f t="shared" si="18"/>
        <v>335.16666666666799</v>
      </c>
      <c r="AG46">
        <f t="shared" si="18"/>
        <v>346.16666666666799</v>
      </c>
      <c r="AH46">
        <f t="shared" si="18"/>
        <v>357.16666666666799</v>
      </c>
      <c r="AI46">
        <f t="shared" si="18"/>
        <v>368.16666666666799</v>
      </c>
      <c r="AJ46">
        <f t="shared" si="18"/>
        <v>379.16666666666799</v>
      </c>
      <c r="AK46">
        <f t="shared" ref="AK46:BI46" si="19">AVERAGE(AH45:AK45)</f>
        <v>390.16666666666799</v>
      </c>
      <c r="AL46">
        <f t="shared" si="19"/>
        <v>401.16666666666799</v>
      </c>
      <c r="AM46">
        <f t="shared" si="19"/>
        <v>412.16666666666828</v>
      </c>
      <c r="AN46">
        <f t="shared" si="19"/>
        <v>423.1666666666685</v>
      </c>
      <c r="AO46">
        <f t="shared" si="19"/>
        <v>434.16666666666873</v>
      </c>
      <c r="AP46">
        <f t="shared" si="19"/>
        <v>445.16666666666902</v>
      </c>
      <c r="AQ46">
        <f t="shared" si="19"/>
        <v>456.16666666666902</v>
      </c>
      <c r="AR46">
        <f t="shared" si="19"/>
        <v>467.16666666666902</v>
      </c>
      <c r="AS46">
        <f t="shared" si="19"/>
        <v>478.16666666666902</v>
      </c>
      <c r="AT46">
        <f t="shared" si="19"/>
        <v>489.16666666666879</v>
      </c>
      <c r="AU46">
        <f t="shared" si="19"/>
        <v>500.16666666666873</v>
      </c>
      <c r="AV46">
        <f t="shared" si="19"/>
        <v>511.16666666666873</v>
      </c>
      <c r="AW46">
        <f t="shared" si="19"/>
        <v>522.16666666666879</v>
      </c>
      <c r="AX46">
        <f t="shared" si="19"/>
        <v>533.16666666666902</v>
      </c>
      <c r="AY46">
        <f t="shared" si="19"/>
        <v>544.16666666666902</v>
      </c>
      <c r="AZ46">
        <f t="shared" si="19"/>
        <v>555.16666666666902</v>
      </c>
      <c r="BA46">
        <f t="shared" si="19"/>
        <v>566.16666666666902</v>
      </c>
      <c r="BB46">
        <f t="shared" si="19"/>
        <v>577.16666666666902</v>
      </c>
      <c r="BC46">
        <f t="shared" si="19"/>
        <v>588.16666666666902</v>
      </c>
      <c r="BD46">
        <f t="shared" si="19"/>
        <v>599.16666666666902</v>
      </c>
      <c r="BE46">
        <f t="shared" si="19"/>
        <v>610.16666666666902</v>
      </c>
      <c r="BF46">
        <f t="shared" si="19"/>
        <v>621.16666666666902</v>
      </c>
      <c r="BG46">
        <f t="shared" si="19"/>
        <v>632.16666666666902</v>
      </c>
      <c r="BH46">
        <f t="shared" si="19"/>
        <v>643.16666666666902</v>
      </c>
      <c r="BI46">
        <f t="shared" si="19"/>
        <v>654.16666666666902</v>
      </c>
    </row>
    <row r="47" spans="1:63" x14ac:dyDescent="0.25">
      <c r="A47" s="13" t="s">
        <v>9</v>
      </c>
      <c r="B47" s="7"/>
      <c r="C47" s="7"/>
      <c r="D47" s="7"/>
      <c r="E47" s="7"/>
      <c r="F47" s="7">
        <f>E46</f>
        <v>39.5</v>
      </c>
      <c r="G47" s="7">
        <f t="shared" ref="G47:BI47" si="20">F46</f>
        <v>50</v>
      </c>
      <c r="H47" s="7">
        <f t="shared" si="20"/>
        <v>60</v>
      </c>
      <c r="I47" s="7">
        <f t="shared" si="20"/>
        <v>71.916666666666671</v>
      </c>
      <c r="J47" s="7">
        <f t="shared" si="20"/>
        <v>82.833333333333343</v>
      </c>
      <c r="K47" s="7">
        <f t="shared" si="20"/>
        <v>92.750000000000085</v>
      </c>
      <c r="L47" s="7">
        <f t="shared" si="20"/>
        <v>104.16666666666686</v>
      </c>
      <c r="M47" s="7">
        <f t="shared" si="20"/>
        <v>115.16666666666691</v>
      </c>
      <c r="N47" s="7">
        <f t="shared" si="20"/>
        <v>126.166666666667</v>
      </c>
      <c r="O47" s="7">
        <f t="shared" si="20"/>
        <v>137.166666666667</v>
      </c>
      <c r="P47" s="7">
        <f t="shared" si="20"/>
        <v>148.166666666667</v>
      </c>
      <c r="Q47" s="7">
        <f t="shared" si="20"/>
        <v>159.166666666667</v>
      </c>
      <c r="R47" s="7">
        <f t="shared" si="20"/>
        <v>170.166666666667</v>
      </c>
      <c r="S47" s="7">
        <f t="shared" si="20"/>
        <v>181.166666666667</v>
      </c>
      <c r="T47" s="7">
        <f t="shared" si="20"/>
        <v>192.166666666667</v>
      </c>
      <c r="U47" s="7">
        <f t="shared" si="20"/>
        <v>203.166666666667</v>
      </c>
      <c r="V47" s="7">
        <f t="shared" si="20"/>
        <v>214.166666666667</v>
      </c>
      <c r="W47" s="7">
        <f t="shared" si="20"/>
        <v>225.166666666667</v>
      </c>
      <c r="X47" s="7">
        <f t="shared" si="20"/>
        <v>236.166666666667</v>
      </c>
      <c r="Y47" s="7">
        <f t="shared" si="20"/>
        <v>247.16666666666703</v>
      </c>
      <c r="Z47" s="7">
        <f t="shared" si="20"/>
        <v>258.16666666666703</v>
      </c>
      <c r="AA47" s="7">
        <f t="shared" si="20"/>
        <v>269.16666666666731</v>
      </c>
      <c r="AB47" s="7">
        <f t="shared" si="20"/>
        <v>280.16666666666754</v>
      </c>
      <c r="AC47" s="7">
        <f t="shared" si="20"/>
        <v>291.16666666666777</v>
      </c>
      <c r="AD47" s="7">
        <f t="shared" si="20"/>
        <v>302.16666666666799</v>
      </c>
      <c r="AE47" s="7">
        <f t="shared" si="20"/>
        <v>313.16666666666799</v>
      </c>
      <c r="AF47" s="7">
        <f t="shared" si="20"/>
        <v>324.16666666666799</v>
      </c>
      <c r="AG47" s="7">
        <f t="shared" si="20"/>
        <v>335.16666666666799</v>
      </c>
      <c r="AH47" s="7">
        <f t="shared" si="20"/>
        <v>346.16666666666799</v>
      </c>
      <c r="AI47" s="7">
        <f t="shared" si="20"/>
        <v>357.16666666666799</v>
      </c>
      <c r="AJ47" s="7">
        <f t="shared" si="20"/>
        <v>368.16666666666799</v>
      </c>
      <c r="AK47" s="7">
        <f t="shared" si="20"/>
        <v>379.16666666666799</v>
      </c>
      <c r="AL47" s="7">
        <f t="shared" si="20"/>
        <v>390.16666666666799</v>
      </c>
      <c r="AM47" s="7">
        <f t="shared" si="20"/>
        <v>401.16666666666799</v>
      </c>
      <c r="AN47" s="7">
        <f t="shared" si="20"/>
        <v>412.16666666666828</v>
      </c>
      <c r="AO47" s="7">
        <f t="shared" si="20"/>
        <v>423.1666666666685</v>
      </c>
      <c r="AP47" s="7">
        <f t="shared" si="20"/>
        <v>434.16666666666873</v>
      </c>
      <c r="AQ47" s="7">
        <f t="shared" si="20"/>
        <v>445.16666666666902</v>
      </c>
      <c r="AR47" s="7">
        <f t="shared" si="20"/>
        <v>456.16666666666902</v>
      </c>
      <c r="AS47" s="7">
        <f t="shared" si="20"/>
        <v>467.16666666666902</v>
      </c>
      <c r="AT47" s="7">
        <f t="shared" si="20"/>
        <v>478.16666666666902</v>
      </c>
      <c r="AU47" s="7">
        <f t="shared" si="20"/>
        <v>489.16666666666879</v>
      </c>
      <c r="AV47" s="7">
        <f t="shared" si="20"/>
        <v>500.16666666666873</v>
      </c>
      <c r="AW47" s="7">
        <f t="shared" si="20"/>
        <v>511.16666666666873</v>
      </c>
      <c r="AX47" s="7">
        <f t="shared" si="20"/>
        <v>522.16666666666879</v>
      </c>
      <c r="AY47" s="7">
        <f t="shared" si="20"/>
        <v>533.16666666666902</v>
      </c>
      <c r="AZ47" s="7">
        <f t="shared" si="20"/>
        <v>544.16666666666902</v>
      </c>
      <c r="BA47" s="7">
        <f t="shared" si="20"/>
        <v>555.16666666666902</v>
      </c>
      <c r="BB47" s="7">
        <f t="shared" si="20"/>
        <v>566.16666666666902</v>
      </c>
      <c r="BC47" s="7">
        <f t="shared" si="20"/>
        <v>577.16666666666902</v>
      </c>
      <c r="BD47" s="7">
        <f t="shared" si="20"/>
        <v>588.16666666666902</v>
      </c>
      <c r="BE47" s="7">
        <f t="shared" si="20"/>
        <v>599.16666666666902</v>
      </c>
      <c r="BF47" s="7">
        <f t="shared" si="20"/>
        <v>610.16666666666902</v>
      </c>
      <c r="BG47" s="7">
        <f t="shared" si="20"/>
        <v>621.16666666666902</v>
      </c>
      <c r="BH47" s="7">
        <f t="shared" si="20"/>
        <v>632.16666666666902</v>
      </c>
      <c r="BI47" s="7">
        <f t="shared" si="20"/>
        <v>643.16666666666902</v>
      </c>
    </row>
    <row r="48" spans="1:63" x14ac:dyDescent="0.25">
      <c r="A48" s="13" t="s">
        <v>4</v>
      </c>
      <c r="B48" s="7"/>
      <c r="C48" s="7"/>
      <c r="D48" s="7"/>
      <c r="E48" s="7"/>
      <c r="F48" s="7">
        <f>F47-F45</f>
        <v>-30.5</v>
      </c>
      <c r="G48" s="7">
        <f t="shared" ref="G48:BI48" si="21">G47-G45</f>
        <v>-25</v>
      </c>
      <c r="H48" s="7">
        <f t="shared" si="21"/>
        <v>-27.6666666666667</v>
      </c>
      <c r="I48" s="7">
        <f t="shared" si="21"/>
        <v>-26.750000000000028</v>
      </c>
      <c r="J48" s="7">
        <f t="shared" si="21"/>
        <v>-26.833333333333655</v>
      </c>
      <c r="K48" s="7">
        <f t="shared" si="21"/>
        <v>-27.916666666666913</v>
      </c>
      <c r="L48" s="7">
        <f t="shared" si="21"/>
        <v>-27.500000000000142</v>
      </c>
      <c r="M48" s="7">
        <f t="shared" si="21"/>
        <v>-27.500000000000085</v>
      </c>
      <c r="N48" s="7">
        <f t="shared" si="21"/>
        <v>-27.5</v>
      </c>
      <c r="O48" s="7">
        <f t="shared" si="21"/>
        <v>-27.5</v>
      </c>
      <c r="P48" s="7">
        <f t="shared" si="21"/>
        <v>-27.5</v>
      </c>
      <c r="Q48" s="7">
        <f t="shared" si="21"/>
        <v>-27.5</v>
      </c>
      <c r="R48" s="7">
        <f t="shared" si="21"/>
        <v>-27.5</v>
      </c>
      <c r="S48" s="7">
        <f t="shared" si="21"/>
        <v>-27.5</v>
      </c>
      <c r="T48" s="7">
        <f t="shared" si="21"/>
        <v>-27.5</v>
      </c>
      <c r="U48" s="7">
        <f t="shared" si="21"/>
        <v>-27.5</v>
      </c>
      <c r="V48" s="7">
        <f t="shared" si="21"/>
        <v>-27.5</v>
      </c>
      <c r="W48" s="7">
        <f t="shared" si="21"/>
        <v>-27.5</v>
      </c>
      <c r="X48" s="7">
        <f t="shared" si="21"/>
        <v>-27.500000000000028</v>
      </c>
      <c r="Y48" s="7">
        <f t="shared" si="21"/>
        <v>-27.5</v>
      </c>
      <c r="Z48" s="7">
        <f t="shared" si="21"/>
        <v>-27.500000000000966</v>
      </c>
      <c r="AA48" s="7">
        <f t="shared" si="21"/>
        <v>-27.500000000000682</v>
      </c>
      <c r="AB48" s="7">
        <f t="shared" si="21"/>
        <v>-27.500000000000455</v>
      </c>
      <c r="AC48" s="7">
        <f t="shared" si="21"/>
        <v>-27.500000000000227</v>
      </c>
      <c r="AD48" s="7">
        <f t="shared" si="21"/>
        <v>-27.5</v>
      </c>
      <c r="AE48" s="7">
        <f t="shared" si="21"/>
        <v>-27.5</v>
      </c>
      <c r="AF48" s="7">
        <f t="shared" si="21"/>
        <v>-27.5</v>
      </c>
      <c r="AG48" s="7">
        <f t="shared" si="21"/>
        <v>-27.5</v>
      </c>
      <c r="AH48" s="7">
        <f t="shared" si="21"/>
        <v>-27.5</v>
      </c>
      <c r="AI48" s="7">
        <f t="shared" si="21"/>
        <v>-27.5</v>
      </c>
      <c r="AJ48" s="7">
        <f t="shared" si="21"/>
        <v>-27.5</v>
      </c>
      <c r="AK48" s="7">
        <f t="shared" si="21"/>
        <v>-27.5</v>
      </c>
      <c r="AL48" s="7">
        <f t="shared" si="21"/>
        <v>-27.5</v>
      </c>
      <c r="AM48" s="7">
        <f t="shared" si="21"/>
        <v>-27.500000000001023</v>
      </c>
      <c r="AN48" s="7">
        <f t="shared" si="21"/>
        <v>-27.500000000000739</v>
      </c>
      <c r="AO48" s="7">
        <f t="shared" si="21"/>
        <v>-27.500000000000512</v>
      </c>
      <c r="AP48" s="7">
        <f t="shared" si="21"/>
        <v>-27.500000000000284</v>
      </c>
      <c r="AQ48" s="7">
        <f t="shared" si="21"/>
        <v>-27.5</v>
      </c>
      <c r="AR48" s="7">
        <f t="shared" si="21"/>
        <v>-27.5</v>
      </c>
      <c r="AS48" s="7">
        <f t="shared" si="21"/>
        <v>-27.5</v>
      </c>
      <c r="AT48" s="7">
        <f t="shared" si="21"/>
        <v>-27.499999999998977</v>
      </c>
      <c r="AU48" s="7">
        <f t="shared" si="21"/>
        <v>-27.500000000000227</v>
      </c>
      <c r="AV48" s="7">
        <f t="shared" si="21"/>
        <v>-27.500000000000284</v>
      </c>
      <c r="AW48" s="7">
        <f t="shared" si="21"/>
        <v>-27.500000000000284</v>
      </c>
      <c r="AX48" s="7">
        <f t="shared" si="21"/>
        <v>-27.500000000000227</v>
      </c>
      <c r="AY48" s="7">
        <f t="shared" si="21"/>
        <v>-27.5</v>
      </c>
      <c r="AZ48" s="7">
        <f t="shared" si="21"/>
        <v>-27.5</v>
      </c>
      <c r="BA48" s="7">
        <f t="shared" si="21"/>
        <v>-27.5</v>
      </c>
      <c r="BB48" s="7">
        <f t="shared" si="21"/>
        <v>-27.5</v>
      </c>
      <c r="BC48" s="7">
        <f t="shared" si="21"/>
        <v>-27.5</v>
      </c>
      <c r="BD48" s="7">
        <f t="shared" si="21"/>
        <v>-27.5</v>
      </c>
      <c r="BE48" s="7">
        <f t="shared" si="21"/>
        <v>-27.5</v>
      </c>
      <c r="BF48" s="7">
        <f t="shared" si="21"/>
        <v>-27.5</v>
      </c>
      <c r="BG48" s="7">
        <f t="shared" si="21"/>
        <v>-27.5</v>
      </c>
      <c r="BH48" s="7">
        <f t="shared" si="21"/>
        <v>-27.5</v>
      </c>
      <c r="BI48" s="7">
        <f t="shared" si="21"/>
        <v>-27.5</v>
      </c>
    </row>
    <row r="49" spans="1:63" x14ac:dyDescent="0.25">
      <c r="A49" s="13" t="s">
        <v>12</v>
      </c>
      <c r="B49" s="7"/>
      <c r="C49" s="7"/>
      <c r="D49" s="7"/>
      <c r="E49" s="7"/>
      <c r="F49" s="7">
        <f>F48^2</f>
        <v>930.25</v>
      </c>
      <c r="G49" s="7">
        <f t="shared" ref="G49:BI49" si="22">G48^2</f>
        <v>625</v>
      </c>
      <c r="H49" s="7">
        <f t="shared" si="22"/>
        <v>765.44444444444628</v>
      </c>
      <c r="I49" s="7">
        <f t="shared" si="22"/>
        <v>715.56250000000148</v>
      </c>
      <c r="J49" s="7">
        <f t="shared" si="22"/>
        <v>720.02777777779511</v>
      </c>
      <c r="K49" s="7">
        <f t="shared" si="22"/>
        <v>779.34027777779158</v>
      </c>
      <c r="L49" s="7">
        <f t="shared" si="22"/>
        <v>756.25000000000784</v>
      </c>
      <c r="M49" s="7">
        <f t="shared" si="22"/>
        <v>756.25000000000466</v>
      </c>
      <c r="N49" s="7">
        <f t="shared" si="22"/>
        <v>756.25</v>
      </c>
      <c r="O49" s="7">
        <f t="shared" si="22"/>
        <v>756.25</v>
      </c>
      <c r="P49" s="7">
        <f t="shared" si="22"/>
        <v>756.25</v>
      </c>
      <c r="Q49" s="7">
        <f t="shared" si="22"/>
        <v>756.25</v>
      </c>
      <c r="R49" s="7">
        <f t="shared" si="22"/>
        <v>756.25</v>
      </c>
      <c r="S49" s="7">
        <f t="shared" si="22"/>
        <v>756.25</v>
      </c>
      <c r="T49" s="7">
        <f t="shared" si="22"/>
        <v>756.25</v>
      </c>
      <c r="U49" s="7">
        <f t="shared" si="22"/>
        <v>756.25</v>
      </c>
      <c r="V49" s="7">
        <f t="shared" si="22"/>
        <v>756.25</v>
      </c>
      <c r="W49" s="7">
        <f t="shared" si="22"/>
        <v>756.25</v>
      </c>
      <c r="X49" s="7">
        <f t="shared" si="22"/>
        <v>756.25000000000159</v>
      </c>
      <c r="Y49" s="7">
        <f t="shared" si="22"/>
        <v>756.25</v>
      </c>
      <c r="Z49" s="7">
        <f t="shared" si="22"/>
        <v>756.25000000005321</v>
      </c>
      <c r="AA49" s="7">
        <f t="shared" si="22"/>
        <v>756.25000000003752</v>
      </c>
      <c r="AB49" s="7">
        <f t="shared" si="22"/>
        <v>756.25000000002501</v>
      </c>
      <c r="AC49" s="7">
        <f t="shared" si="22"/>
        <v>756.25000000001251</v>
      </c>
      <c r="AD49" s="7">
        <f t="shared" si="22"/>
        <v>756.25</v>
      </c>
      <c r="AE49" s="7">
        <f t="shared" si="22"/>
        <v>756.25</v>
      </c>
      <c r="AF49" s="7">
        <f t="shared" si="22"/>
        <v>756.25</v>
      </c>
      <c r="AG49" s="7">
        <f t="shared" si="22"/>
        <v>756.25</v>
      </c>
      <c r="AH49" s="7">
        <f t="shared" si="22"/>
        <v>756.25</v>
      </c>
      <c r="AI49" s="7">
        <f t="shared" si="22"/>
        <v>756.25</v>
      </c>
      <c r="AJ49" s="7">
        <f t="shared" si="22"/>
        <v>756.25</v>
      </c>
      <c r="AK49" s="7">
        <f t="shared" si="22"/>
        <v>756.25</v>
      </c>
      <c r="AL49" s="7">
        <f t="shared" si="22"/>
        <v>756.25</v>
      </c>
      <c r="AM49" s="7">
        <f t="shared" si="22"/>
        <v>756.25000000005627</v>
      </c>
      <c r="AN49" s="7">
        <f t="shared" si="22"/>
        <v>756.2500000000407</v>
      </c>
      <c r="AO49" s="7">
        <f t="shared" si="22"/>
        <v>756.25000000002819</v>
      </c>
      <c r="AP49" s="7">
        <f t="shared" si="22"/>
        <v>756.25000000001569</v>
      </c>
      <c r="AQ49" s="7">
        <f t="shared" si="22"/>
        <v>756.25</v>
      </c>
      <c r="AR49" s="7">
        <f t="shared" si="22"/>
        <v>756.25</v>
      </c>
      <c r="AS49" s="7">
        <f t="shared" si="22"/>
        <v>756.25</v>
      </c>
      <c r="AT49" s="7">
        <f t="shared" si="22"/>
        <v>756.24999999994373</v>
      </c>
      <c r="AU49" s="7">
        <f t="shared" si="22"/>
        <v>756.25000000001251</v>
      </c>
      <c r="AV49" s="7">
        <f t="shared" si="22"/>
        <v>756.25000000001569</v>
      </c>
      <c r="AW49" s="7">
        <f t="shared" si="22"/>
        <v>756.25000000001569</v>
      </c>
      <c r="AX49" s="7">
        <f t="shared" si="22"/>
        <v>756.25000000001251</v>
      </c>
      <c r="AY49" s="7">
        <f t="shared" si="22"/>
        <v>756.25</v>
      </c>
      <c r="AZ49" s="7">
        <f t="shared" si="22"/>
        <v>756.25</v>
      </c>
      <c r="BA49" s="7">
        <f t="shared" si="22"/>
        <v>756.25</v>
      </c>
      <c r="BB49" s="7">
        <f t="shared" si="22"/>
        <v>756.25</v>
      </c>
      <c r="BC49" s="7">
        <f t="shared" si="22"/>
        <v>756.25</v>
      </c>
      <c r="BD49" s="7">
        <f t="shared" si="22"/>
        <v>756.25</v>
      </c>
      <c r="BE49" s="7">
        <f t="shared" si="22"/>
        <v>756.25</v>
      </c>
      <c r="BF49" s="7">
        <f t="shared" si="22"/>
        <v>756.25</v>
      </c>
      <c r="BG49" s="7">
        <f t="shared" si="22"/>
        <v>756.25</v>
      </c>
      <c r="BH49" s="7">
        <f t="shared" si="22"/>
        <v>756.25</v>
      </c>
      <c r="BI49" s="7">
        <f t="shared" si="22"/>
        <v>756.25</v>
      </c>
    </row>
    <row r="50" spans="1:63" x14ac:dyDescent="0.25">
      <c r="A50" s="38" t="s">
        <v>11</v>
      </c>
      <c r="B50" s="38">
        <v>4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3" x14ac:dyDescent="0.25">
      <c r="A51" s="8" t="s">
        <v>5</v>
      </c>
      <c r="B51" s="8">
        <f>AVERAGE(F49:BI49)</f>
        <v>756.21651785714846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3" x14ac:dyDescent="0.25">
      <c r="A52" s="7" t="s">
        <v>7</v>
      </c>
      <c r="B52" s="7">
        <f>SUM(BF45:BI45)/B50</f>
        <v>654.16666666666902</v>
      </c>
    </row>
    <row r="53" spans="1:63" x14ac:dyDescent="0.25">
      <c r="A53" s="31" t="s">
        <v>6</v>
      </c>
      <c r="B53" s="7" t="s">
        <v>62</v>
      </c>
      <c r="C53" s="7">
        <v>61</v>
      </c>
      <c r="D53" s="7">
        <v>62</v>
      </c>
      <c r="E53" s="7">
        <v>63</v>
      </c>
      <c r="F53" s="7">
        <v>64</v>
      </c>
      <c r="G53" s="7">
        <v>65</v>
      </c>
      <c r="H53" s="7">
        <v>66</v>
      </c>
      <c r="I53" s="7">
        <v>67</v>
      </c>
      <c r="J53" s="7">
        <v>68</v>
      </c>
      <c r="K53" s="7">
        <v>69</v>
      </c>
      <c r="L53" s="7">
        <v>70</v>
      </c>
      <c r="M53" s="7">
        <v>71</v>
      </c>
      <c r="N53" s="7">
        <v>72</v>
      </c>
    </row>
    <row r="54" spans="1:63" x14ac:dyDescent="0.25">
      <c r="C54" s="7">
        <f>$B$52</f>
        <v>654.16666666666902</v>
      </c>
      <c r="D54" s="7">
        <f t="shared" ref="D54:N54" si="23">$B$52</f>
        <v>654.16666666666902</v>
      </c>
      <c r="E54" s="7">
        <f t="shared" si="23"/>
        <v>654.16666666666902</v>
      </c>
      <c r="F54" s="7">
        <f t="shared" si="23"/>
        <v>654.16666666666902</v>
      </c>
      <c r="G54" s="7">
        <f t="shared" si="23"/>
        <v>654.16666666666902</v>
      </c>
      <c r="H54" s="7">
        <f t="shared" si="23"/>
        <v>654.16666666666902</v>
      </c>
      <c r="I54" s="7">
        <f t="shared" si="23"/>
        <v>654.16666666666902</v>
      </c>
      <c r="J54" s="7">
        <f t="shared" si="23"/>
        <v>654.16666666666902</v>
      </c>
      <c r="K54" s="7">
        <f t="shared" si="23"/>
        <v>654.16666666666902</v>
      </c>
      <c r="L54" s="7">
        <f t="shared" si="23"/>
        <v>654.16666666666902</v>
      </c>
      <c r="M54" s="7">
        <f t="shared" si="23"/>
        <v>654.16666666666902</v>
      </c>
      <c r="N54" s="7">
        <f t="shared" si="23"/>
        <v>654.16666666666902</v>
      </c>
    </row>
    <row r="57" spans="1:63" x14ac:dyDescent="0.25">
      <c r="A57" s="40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</row>
    <row r="59" spans="1:63" x14ac:dyDescent="0.25">
      <c r="A59" s="13" t="s">
        <v>1</v>
      </c>
      <c r="B59" s="13">
        <v>1</v>
      </c>
      <c r="C59" s="13">
        <v>2</v>
      </c>
      <c r="D59" s="13">
        <v>3</v>
      </c>
      <c r="E59" s="13">
        <v>4</v>
      </c>
      <c r="F59" s="13">
        <v>5</v>
      </c>
      <c r="G59" s="13">
        <v>6</v>
      </c>
      <c r="H59" s="13">
        <v>7</v>
      </c>
      <c r="I59" s="13">
        <v>8</v>
      </c>
      <c r="J59" s="13">
        <v>9</v>
      </c>
      <c r="K59" s="13">
        <v>10</v>
      </c>
      <c r="L59" s="13">
        <v>11</v>
      </c>
      <c r="M59" s="13">
        <v>12</v>
      </c>
      <c r="N59" s="13">
        <v>13</v>
      </c>
      <c r="O59" s="13">
        <v>14</v>
      </c>
      <c r="P59" s="13">
        <v>15</v>
      </c>
      <c r="Q59" s="13">
        <v>16</v>
      </c>
      <c r="R59" s="13">
        <v>17</v>
      </c>
      <c r="S59" s="13">
        <v>18</v>
      </c>
      <c r="T59" s="13">
        <v>19</v>
      </c>
      <c r="U59" s="13">
        <v>20</v>
      </c>
      <c r="V59" s="13">
        <v>21</v>
      </c>
      <c r="W59" s="13">
        <v>22</v>
      </c>
      <c r="X59" s="13">
        <v>23</v>
      </c>
      <c r="Y59" s="13">
        <v>24</v>
      </c>
      <c r="Z59" s="13">
        <v>25</v>
      </c>
      <c r="AA59" s="13">
        <v>26</v>
      </c>
      <c r="AB59" s="13">
        <v>27</v>
      </c>
      <c r="AC59" s="13">
        <v>28</v>
      </c>
      <c r="AD59" s="13">
        <v>29</v>
      </c>
      <c r="AE59" s="13">
        <v>30</v>
      </c>
      <c r="AF59" s="13">
        <v>31</v>
      </c>
      <c r="AG59" s="13">
        <v>32</v>
      </c>
      <c r="AH59" s="13">
        <v>33</v>
      </c>
      <c r="AI59" s="13">
        <v>34</v>
      </c>
      <c r="AJ59" s="13">
        <v>35</v>
      </c>
      <c r="AK59" s="13">
        <v>36</v>
      </c>
      <c r="AL59" s="13">
        <v>37</v>
      </c>
      <c r="AM59" s="13">
        <v>38</v>
      </c>
      <c r="AN59" s="13">
        <v>39</v>
      </c>
      <c r="AO59" s="13">
        <v>40</v>
      </c>
      <c r="AP59" s="13">
        <v>41</v>
      </c>
      <c r="AQ59" s="13">
        <v>42</v>
      </c>
      <c r="AR59" s="13">
        <v>43</v>
      </c>
      <c r="AS59" s="13">
        <v>44</v>
      </c>
      <c r="AT59" s="13">
        <v>45</v>
      </c>
      <c r="AU59" s="13">
        <v>46</v>
      </c>
      <c r="AV59" s="13">
        <v>47</v>
      </c>
      <c r="AW59" s="13">
        <v>48</v>
      </c>
      <c r="AX59" s="13">
        <v>49</v>
      </c>
      <c r="AY59" s="13">
        <v>50</v>
      </c>
      <c r="AZ59" s="13">
        <v>51</v>
      </c>
      <c r="BA59" s="13">
        <v>52</v>
      </c>
      <c r="BB59" s="13">
        <v>53</v>
      </c>
      <c r="BC59" s="13">
        <v>54</v>
      </c>
      <c r="BD59" s="13">
        <v>55</v>
      </c>
      <c r="BE59" s="13">
        <v>56</v>
      </c>
      <c r="BF59" s="13">
        <v>57</v>
      </c>
      <c r="BG59" s="13">
        <v>58</v>
      </c>
      <c r="BH59" s="13">
        <v>59</v>
      </c>
      <c r="BI59" s="13">
        <v>60</v>
      </c>
    </row>
    <row r="60" spans="1:63" x14ac:dyDescent="0.25">
      <c r="A60" s="13" t="s">
        <v>0</v>
      </c>
      <c r="B60" s="37">
        <f>'הזנת נתונים'!A66</f>
        <v>28</v>
      </c>
      <c r="C60" s="37">
        <f>'הזנת נתונים'!B66</f>
        <v>35</v>
      </c>
      <c r="D60" s="37">
        <f>'הזנת נתונים'!C66</f>
        <v>40</v>
      </c>
      <c r="E60" s="37">
        <f>'הזנת נתונים'!D66</f>
        <v>55</v>
      </c>
      <c r="F60" s="37">
        <f>'הזנת נתונים'!E66</f>
        <v>70</v>
      </c>
      <c r="G60" s="37">
        <f>'הזנת נתונים'!F66</f>
        <v>75</v>
      </c>
      <c r="H60" s="37">
        <f>'הזנת נתונים'!G66</f>
        <v>87.6666666666667</v>
      </c>
      <c r="I60" s="37">
        <f>'הזנת נתונים'!H66</f>
        <v>98.6666666666667</v>
      </c>
      <c r="J60" s="37">
        <f>'הזנת נתונים'!I66</f>
        <v>109.666666666667</v>
      </c>
      <c r="K60" s="37">
        <f>'הזנת נתונים'!J66</f>
        <v>120.666666666667</v>
      </c>
      <c r="L60" s="37">
        <f>'הזנת נתונים'!K66</f>
        <v>131.666666666667</v>
      </c>
      <c r="M60" s="37">
        <f>'הזנת נתונים'!L66</f>
        <v>142.666666666667</v>
      </c>
      <c r="N60" s="37">
        <f>'הזנת נתונים'!M66</f>
        <v>153.666666666667</v>
      </c>
      <c r="O60" s="37">
        <f>'הזנת נתונים'!N66</f>
        <v>164.666666666667</v>
      </c>
      <c r="P60" s="37">
        <f>'הזנת נתונים'!O66</f>
        <v>175.666666666667</v>
      </c>
      <c r="Q60" s="37">
        <f>'הזנת נתונים'!P66</f>
        <v>186.666666666667</v>
      </c>
      <c r="R60" s="37">
        <f>'הזנת נתונים'!Q66</f>
        <v>197.666666666667</v>
      </c>
      <c r="S60" s="37">
        <f>'הזנת נתונים'!R66</f>
        <v>208.666666666667</v>
      </c>
      <c r="T60" s="37">
        <f>'הזנת נתונים'!S66</f>
        <v>219.666666666667</v>
      </c>
      <c r="U60" s="37">
        <f>'הזנת נתונים'!T66</f>
        <v>230.666666666667</v>
      </c>
      <c r="V60" s="37">
        <f>'הזנת נתונים'!U66</f>
        <v>241.666666666667</v>
      </c>
      <c r="W60" s="37">
        <f>'הזנת נתונים'!V66</f>
        <v>252.666666666667</v>
      </c>
      <c r="X60" s="37">
        <f>'הזנת נתונים'!W66</f>
        <v>263.66666666666703</v>
      </c>
      <c r="Y60" s="37">
        <f>'הזנת נתונים'!X66</f>
        <v>274.66666666666703</v>
      </c>
      <c r="Z60" s="37">
        <f>'הזנת נתונים'!Y66</f>
        <v>285.66666666666799</v>
      </c>
      <c r="AA60" s="37">
        <f>'הזנת נתונים'!Z66</f>
        <v>296.66666666666799</v>
      </c>
      <c r="AB60" s="37">
        <f>'הזנת נתונים'!AA66</f>
        <v>307.66666666666799</v>
      </c>
      <c r="AC60" s="37">
        <f>'הזנת נתונים'!AB66</f>
        <v>318.66666666666799</v>
      </c>
      <c r="AD60" s="37">
        <f>'הזנת נתונים'!AC66</f>
        <v>329.66666666666799</v>
      </c>
      <c r="AE60" s="37">
        <f>'הזנת נתונים'!AD66</f>
        <v>340.66666666666799</v>
      </c>
      <c r="AF60" s="37">
        <f>'הזנת נתונים'!AE66</f>
        <v>351.66666666666799</v>
      </c>
      <c r="AG60" s="37">
        <f>'הזנת נתונים'!AF66</f>
        <v>362.66666666666799</v>
      </c>
      <c r="AH60" s="37">
        <f>'הזנת נתונים'!AG66</f>
        <v>373.66666666666799</v>
      </c>
      <c r="AI60" s="37">
        <f>'הזנת נתונים'!AH66</f>
        <v>384.66666666666799</v>
      </c>
      <c r="AJ60" s="37">
        <f>'הזנת נתונים'!AI66</f>
        <v>395.66666666666799</v>
      </c>
      <c r="AK60" s="37">
        <f>'הזנת נתונים'!AJ66</f>
        <v>406.66666666666799</v>
      </c>
      <c r="AL60" s="37">
        <f>'הזנת נתונים'!AK66</f>
        <v>417.66666666666799</v>
      </c>
      <c r="AM60" s="37">
        <f>'הזנת נתונים'!AL66</f>
        <v>428.66666666666902</v>
      </c>
      <c r="AN60" s="37">
        <f>'הזנת נתונים'!AM66</f>
        <v>439.66666666666902</v>
      </c>
      <c r="AO60" s="37">
        <f>'הזנת נתונים'!AN66</f>
        <v>450.66666666666902</v>
      </c>
      <c r="AP60" s="37">
        <f>'הזנת נתונים'!AO66</f>
        <v>461.66666666666902</v>
      </c>
      <c r="AQ60" s="37">
        <f>'הזנת נתונים'!AP66</f>
        <v>472.66666666666902</v>
      </c>
      <c r="AR60" s="37">
        <f>'הזנת נתונים'!AQ66</f>
        <v>483.66666666666902</v>
      </c>
      <c r="AS60" s="37">
        <f>'הזנת נתונים'!AR66</f>
        <v>494.66666666666902</v>
      </c>
      <c r="AT60" s="37">
        <f>'הזנת נתונים'!AS66</f>
        <v>505.66666666666799</v>
      </c>
      <c r="AU60" s="37">
        <f>'הזנת נתונים'!AT66</f>
        <v>516.66666666666902</v>
      </c>
      <c r="AV60" s="37">
        <f>'הזנת נתונים'!AU66</f>
        <v>527.66666666666902</v>
      </c>
      <c r="AW60" s="37">
        <f>'הזנת נתונים'!AV66</f>
        <v>538.66666666666902</v>
      </c>
      <c r="AX60" s="37">
        <f>'הזנת נתונים'!AW66</f>
        <v>549.66666666666902</v>
      </c>
      <c r="AY60" s="37">
        <f>'הזנת נתונים'!AX66</f>
        <v>560.66666666666902</v>
      </c>
      <c r="AZ60" s="37">
        <f>'הזנת נתונים'!AY66</f>
        <v>571.66666666666902</v>
      </c>
      <c r="BA60" s="37">
        <f>'הזנת נתונים'!AZ66</f>
        <v>582.66666666666902</v>
      </c>
      <c r="BB60" s="37">
        <f>'הזנת נתונים'!BA66</f>
        <v>593.66666666666902</v>
      </c>
      <c r="BC60" s="37">
        <f>'הזנת נתונים'!BB66</f>
        <v>604.66666666666902</v>
      </c>
      <c r="BD60" s="37">
        <f>'הזנת נתונים'!BC66</f>
        <v>615.66666666666902</v>
      </c>
      <c r="BE60" s="37">
        <f>'הזנת נתונים'!BD66</f>
        <v>626.66666666666902</v>
      </c>
      <c r="BF60" s="37">
        <f>'הזנת נתונים'!BE66</f>
        <v>637.66666666666902</v>
      </c>
      <c r="BG60" s="37">
        <f>'הזנת נתונים'!BF66</f>
        <v>648.66666666666902</v>
      </c>
      <c r="BH60" s="37">
        <f>'הזנת נתונים'!BG66</f>
        <v>659.66666666666902</v>
      </c>
      <c r="BI60" s="37">
        <f>'הזנת נתונים'!BH66</f>
        <v>670.66666666666902</v>
      </c>
    </row>
    <row r="61" spans="1:63" x14ac:dyDescent="0.25">
      <c r="A61" s="13" t="s">
        <v>2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>
        <f t="shared" ref="G61:AL61" si="24">AVERAGE(B60:G60)</f>
        <v>50.5</v>
      </c>
      <c r="H61">
        <f t="shared" si="24"/>
        <v>60.44444444444445</v>
      </c>
      <c r="I61">
        <f t="shared" si="24"/>
        <v>71.055555555555557</v>
      </c>
      <c r="J61">
        <f t="shared" si="24"/>
        <v>82.666666666666728</v>
      </c>
      <c r="K61">
        <f t="shared" si="24"/>
        <v>93.611111111111214</v>
      </c>
      <c r="L61">
        <f t="shared" si="24"/>
        <v>103.88888888888904</v>
      </c>
      <c r="M61">
        <f t="shared" si="24"/>
        <v>115.1666666666669</v>
      </c>
      <c r="N61">
        <f t="shared" si="24"/>
        <v>126.16666666666693</v>
      </c>
      <c r="O61">
        <f t="shared" si="24"/>
        <v>137.166666666667</v>
      </c>
      <c r="P61">
        <f t="shared" si="24"/>
        <v>148.166666666667</v>
      </c>
      <c r="Q61">
        <f t="shared" si="24"/>
        <v>159.166666666667</v>
      </c>
      <c r="R61">
        <f t="shared" si="24"/>
        <v>170.166666666667</v>
      </c>
      <c r="S61">
        <f t="shared" si="24"/>
        <v>181.166666666667</v>
      </c>
      <c r="T61">
        <f t="shared" si="24"/>
        <v>192.166666666667</v>
      </c>
      <c r="U61">
        <f t="shared" si="24"/>
        <v>203.166666666667</v>
      </c>
      <c r="V61">
        <f t="shared" si="24"/>
        <v>214.166666666667</v>
      </c>
      <c r="W61">
        <f t="shared" si="24"/>
        <v>225.166666666667</v>
      </c>
      <c r="X61">
        <f t="shared" si="24"/>
        <v>236.166666666667</v>
      </c>
      <c r="Y61">
        <f t="shared" si="24"/>
        <v>247.166666666667</v>
      </c>
      <c r="Z61">
        <f t="shared" si="24"/>
        <v>258.1666666666672</v>
      </c>
      <c r="AA61">
        <f t="shared" si="24"/>
        <v>269.16666666666737</v>
      </c>
      <c r="AB61">
        <f t="shared" si="24"/>
        <v>280.16666666666748</v>
      </c>
      <c r="AC61">
        <f t="shared" si="24"/>
        <v>291.16666666666765</v>
      </c>
      <c r="AD61">
        <f t="shared" si="24"/>
        <v>302.16666666666782</v>
      </c>
      <c r="AE61">
        <f t="shared" si="24"/>
        <v>313.16666666666794</v>
      </c>
      <c r="AF61">
        <f t="shared" si="24"/>
        <v>324.16666666666794</v>
      </c>
      <c r="AG61">
        <f t="shared" si="24"/>
        <v>335.16666666666794</v>
      </c>
      <c r="AH61">
        <f t="shared" si="24"/>
        <v>346.16666666666794</v>
      </c>
      <c r="AI61">
        <f t="shared" si="24"/>
        <v>357.16666666666794</v>
      </c>
      <c r="AJ61">
        <f t="shared" si="24"/>
        <v>368.16666666666794</v>
      </c>
      <c r="AK61">
        <f t="shared" si="24"/>
        <v>379.16666666666794</v>
      </c>
      <c r="AL61">
        <f t="shared" si="24"/>
        <v>390.16666666666794</v>
      </c>
      <c r="AM61">
        <f t="shared" ref="AM61:BI61" si="25">AVERAGE(AH60:AM60)</f>
        <v>401.16666666666816</v>
      </c>
      <c r="AN61">
        <f t="shared" si="25"/>
        <v>412.16666666666833</v>
      </c>
      <c r="AO61">
        <f t="shared" si="25"/>
        <v>423.1666666666685</v>
      </c>
      <c r="AP61">
        <f t="shared" si="25"/>
        <v>434.16666666666862</v>
      </c>
      <c r="AQ61">
        <f t="shared" si="25"/>
        <v>445.16666666666879</v>
      </c>
      <c r="AR61">
        <f t="shared" si="25"/>
        <v>456.16666666666896</v>
      </c>
      <c r="AS61">
        <f t="shared" si="25"/>
        <v>467.16666666666896</v>
      </c>
      <c r="AT61">
        <f t="shared" si="25"/>
        <v>478.16666666666879</v>
      </c>
      <c r="AU61">
        <f t="shared" si="25"/>
        <v>489.16666666666879</v>
      </c>
      <c r="AV61">
        <f t="shared" si="25"/>
        <v>500.16666666666879</v>
      </c>
      <c r="AW61">
        <f t="shared" si="25"/>
        <v>511.16666666666879</v>
      </c>
      <c r="AX61">
        <f t="shared" si="25"/>
        <v>522.16666666666879</v>
      </c>
      <c r="AY61">
        <f t="shared" si="25"/>
        <v>533.16666666666879</v>
      </c>
      <c r="AZ61">
        <f t="shared" si="25"/>
        <v>544.1666666666689</v>
      </c>
      <c r="BA61">
        <f t="shared" si="25"/>
        <v>555.1666666666689</v>
      </c>
      <c r="BB61">
        <f t="shared" si="25"/>
        <v>566.1666666666689</v>
      </c>
      <c r="BC61">
        <f t="shared" si="25"/>
        <v>577.1666666666689</v>
      </c>
      <c r="BD61">
        <f t="shared" si="25"/>
        <v>588.1666666666689</v>
      </c>
      <c r="BE61">
        <f t="shared" si="25"/>
        <v>599.1666666666689</v>
      </c>
      <c r="BF61">
        <f t="shared" si="25"/>
        <v>610.1666666666689</v>
      </c>
      <c r="BG61">
        <f t="shared" si="25"/>
        <v>621.1666666666689</v>
      </c>
      <c r="BH61">
        <f t="shared" si="25"/>
        <v>632.1666666666689</v>
      </c>
      <c r="BI61">
        <f t="shared" si="25"/>
        <v>643.1666666666689</v>
      </c>
    </row>
    <row r="62" spans="1:63" x14ac:dyDescent="0.25">
      <c r="A62" s="13" t="s">
        <v>9</v>
      </c>
      <c r="B62" s="7"/>
      <c r="C62" s="7"/>
      <c r="D62" s="7"/>
      <c r="E62" s="7"/>
      <c r="F62" s="7"/>
      <c r="G62" s="7"/>
      <c r="H62" s="7">
        <f>G61</f>
        <v>50.5</v>
      </c>
      <c r="I62" s="7">
        <f t="shared" ref="I62:BI62" si="26">H61</f>
        <v>60.44444444444445</v>
      </c>
      <c r="J62" s="7">
        <f t="shared" si="26"/>
        <v>71.055555555555557</v>
      </c>
      <c r="K62" s="7">
        <f t="shared" si="26"/>
        <v>82.666666666666728</v>
      </c>
      <c r="L62" s="7">
        <f t="shared" si="26"/>
        <v>93.611111111111214</v>
      </c>
      <c r="M62" s="7">
        <f t="shared" si="26"/>
        <v>103.88888888888904</v>
      </c>
      <c r="N62" s="7">
        <f t="shared" si="26"/>
        <v>115.1666666666669</v>
      </c>
      <c r="O62" s="7">
        <f t="shared" si="26"/>
        <v>126.16666666666693</v>
      </c>
      <c r="P62" s="7">
        <f t="shared" si="26"/>
        <v>137.166666666667</v>
      </c>
      <c r="Q62" s="7">
        <f t="shared" si="26"/>
        <v>148.166666666667</v>
      </c>
      <c r="R62" s="7">
        <f t="shared" si="26"/>
        <v>159.166666666667</v>
      </c>
      <c r="S62" s="7">
        <f t="shared" si="26"/>
        <v>170.166666666667</v>
      </c>
      <c r="T62" s="7">
        <f t="shared" si="26"/>
        <v>181.166666666667</v>
      </c>
      <c r="U62" s="7">
        <f t="shared" si="26"/>
        <v>192.166666666667</v>
      </c>
      <c r="V62" s="7">
        <f t="shared" si="26"/>
        <v>203.166666666667</v>
      </c>
      <c r="W62" s="7">
        <f t="shared" si="26"/>
        <v>214.166666666667</v>
      </c>
      <c r="X62" s="7">
        <f t="shared" si="26"/>
        <v>225.166666666667</v>
      </c>
      <c r="Y62" s="7">
        <f t="shared" si="26"/>
        <v>236.166666666667</v>
      </c>
      <c r="Z62" s="7">
        <f t="shared" si="26"/>
        <v>247.166666666667</v>
      </c>
      <c r="AA62" s="7">
        <f t="shared" si="26"/>
        <v>258.1666666666672</v>
      </c>
      <c r="AB62" s="7">
        <f t="shared" si="26"/>
        <v>269.16666666666737</v>
      </c>
      <c r="AC62" s="7">
        <f t="shared" si="26"/>
        <v>280.16666666666748</v>
      </c>
      <c r="AD62" s="7">
        <f t="shared" si="26"/>
        <v>291.16666666666765</v>
      </c>
      <c r="AE62" s="7">
        <f t="shared" si="26"/>
        <v>302.16666666666782</v>
      </c>
      <c r="AF62" s="7">
        <f t="shared" si="26"/>
        <v>313.16666666666794</v>
      </c>
      <c r="AG62" s="7">
        <f t="shared" si="26"/>
        <v>324.16666666666794</v>
      </c>
      <c r="AH62" s="7">
        <f t="shared" si="26"/>
        <v>335.16666666666794</v>
      </c>
      <c r="AI62" s="7">
        <f t="shared" si="26"/>
        <v>346.16666666666794</v>
      </c>
      <c r="AJ62" s="7">
        <f t="shared" si="26"/>
        <v>357.16666666666794</v>
      </c>
      <c r="AK62" s="7">
        <f t="shared" si="26"/>
        <v>368.16666666666794</v>
      </c>
      <c r="AL62" s="7">
        <f t="shared" si="26"/>
        <v>379.16666666666794</v>
      </c>
      <c r="AM62" s="7">
        <f t="shared" si="26"/>
        <v>390.16666666666794</v>
      </c>
      <c r="AN62" s="7">
        <f t="shared" si="26"/>
        <v>401.16666666666816</v>
      </c>
      <c r="AO62" s="7">
        <f t="shared" si="26"/>
        <v>412.16666666666833</v>
      </c>
      <c r="AP62" s="7">
        <f t="shared" si="26"/>
        <v>423.1666666666685</v>
      </c>
      <c r="AQ62" s="7">
        <f t="shared" si="26"/>
        <v>434.16666666666862</v>
      </c>
      <c r="AR62" s="7">
        <f t="shared" si="26"/>
        <v>445.16666666666879</v>
      </c>
      <c r="AS62" s="7">
        <f t="shared" si="26"/>
        <v>456.16666666666896</v>
      </c>
      <c r="AT62" s="7">
        <f t="shared" si="26"/>
        <v>467.16666666666896</v>
      </c>
      <c r="AU62" s="7">
        <f t="shared" si="26"/>
        <v>478.16666666666879</v>
      </c>
      <c r="AV62" s="7">
        <f t="shared" si="26"/>
        <v>489.16666666666879</v>
      </c>
      <c r="AW62" s="7">
        <f t="shared" si="26"/>
        <v>500.16666666666879</v>
      </c>
      <c r="AX62" s="7">
        <f t="shared" si="26"/>
        <v>511.16666666666879</v>
      </c>
      <c r="AY62" s="7">
        <f t="shared" si="26"/>
        <v>522.16666666666879</v>
      </c>
      <c r="AZ62" s="7">
        <f t="shared" si="26"/>
        <v>533.16666666666879</v>
      </c>
      <c r="BA62" s="7">
        <f t="shared" si="26"/>
        <v>544.1666666666689</v>
      </c>
      <c r="BB62" s="7">
        <f t="shared" si="26"/>
        <v>555.1666666666689</v>
      </c>
      <c r="BC62" s="7">
        <f t="shared" si="26"/>
        <v>566.1666666666689</v>
      </c>
      <c r="BD62" s="7">
        <f t="shared" si="26"/>
        <v>577.1666666666689</v>
      </c>
      <c r="BE62" s="7">
        <f t="shared" si="26"/>
        <v>588.1666666666689</v>
      </c>
      <c r="BF62" s="7">
        <f t="shared" si="26"/>
        <v>599.1666666666689</v>
      </c>
      <c r="BG62" s="7">
        <f t="shared" si="26"/>
        <v>610.1666666666689</v>
      </c>
      <c r="BH62" s="7">
        <f t="shared" si="26"/>
        <v>621.1666666666689</v>
      </c>
      <c r="BI62" s="7">
        <f t="shared" si="26"/>
        <v>632.1666666666689</v>
      </c>
    </row>
    <row r="63" spans="1:63" x14ac:dyDescent="0.25">
      <c r="A63" s="13" t="s">
        <v>4</v>
      </c>
      <c r="B63" s="7"/>
      <c r="C63" s="7"/>
      <c r="D63" s="7"/>
      <c r="E63" s="7"/>
      <c r="F63" s="7"/>
      <c r="G63" s="7"/>
      <c r="H63" s="7">
        <f>H62-H60</f>
        <v>-37.1666666666667</v>
      </c>
      <c r="I63" s="7">
        <f t="shared" ref="I63:BI63" si="27">I62-I60</f>
        <v>-38.22222222222225</v>
      </c>
      <c r="J63" s="7">
        <f t="shared" si="27"/>
        <v>-38.611111111111441</v>
      </c>
      <c r="K63" s="7">
        <f t="shared" si="27"/>
        <v>-38.00000000000027</v>
      </c>
      <c r="L63" s="7">
        <f t="shared" si="27"/>
        <v>-38.055555555555785</v>
      </c>
      <c r="M63" s="7">
        <f t="shared" si="27"/>
        <v>-38.777777777777956</v>
      </c>
      <c r="N63" s="7">
        <f t="shared" si="27"/>
        <v>-38.500000000000099</v>
      </c>
      <c r="O63" s="7">
        <f t="shared" si="27"/>
        <v>-38.500000000000071</v>
      </c>
      <c r="P63" s="7">
        <f t="shared" si="27"/>
        <v>-38.5</v>
      </c>
      <c r="Q63" s="7">
        <f t="shared" si="27"/>
        <v>-38.5</v>
      </c>
      <c r="R63" s="7">
        <f t="shared" si="27"/>
        <v>-38.5</v>
      </c>
      <c r="S63" s="7">
        <f t="shared" si="27"/>
        <v>-38.5</v>
      </c>
      <c r="T63" s="7">
        <f t="shared" si="27"/>
        <v>-38.5</v>
      </c>
      <c r="U63" s="7">
        <f t="shared" si="27"/>
        <v>-38.5</v>
      </c>
      <c r="V63" s="7">
        <f t="shared" si="27"/>
        <v>-38.5</v>
      </c>
      <c r="W63" s="7">
        <f t="shared" si="27"/>
        <v>-38.5</v>
      </c>
      <c r="X63" s="7">
        <f t="shared" si="27"/>
        <v>-38.500000000000028</v>
      </c>
      <c r="Y63" s="7">
        <f t="shared" si="27"/>
        <v>-38.500000000000028</v>
      </c>
      <c r="Z63" s="7">
        <f t="shared" si="27"/>
        <v>-38.500000000000995</v>
      </c>
      <c r="AA63" s="7">
        <f t="shared" si="27"/>
        <v>-38.500000000000796</v>
      </c>
      <c r="AB63" s="7">
        <f t="shared" si="27"/>
        <v>-38.500000000000625</v>
      </c>
      <c r="AC63" s="7">
        <f t="shared" si="27"/>
        <v>-38.500000000000512</v>
      </c>
      <c r="AD63" s="7">
        <f t="shared" si="27"/>
        <v>-38.500000000000341</v>
      </c>
      <c r="AE63" s="7">
        <f t="shared" si="27"/>
        <v>-38.500000000000171</v>
      </c>
      <c r="AF63" s="7">
        <f t="shared" si="27"/>
        <v>-38.500000000000057</v>
      </c>
      <c r="AG63" s="7">
        <f t="shared" si="27"/>
        <v>-38.500000000000057</v>
      </c>
      <c r="AH63" s="7">
        <f t="shared" si="27"/>
        <v>-38.500000000000057</v>
      </c>
      <c r="AI63" s="7">
        <f t="shared" si="27"/>
        <v>-38.500000000000057</v>
      </c>
      <c r="AJ63" s="7">
        <f t="shared" si="27"/>
        <v>-38.500000000000057</v>
      </c>
      <c r="AK63" s="7">
        <f t="shared" si="27"/>
        <v>-38.500000000000057</v>
      </c>
      <c r="AL63" s="7">
        <f t="shared" si="27"/>
        <v>-38.500000000000057</v>
      </c>
      <c r="AM63" s="7">
        <f t="shared" si="27"/>
        <v>-38.50000000000108</v>
      </c>
      <c r="AN63" s="7">
        <f t="shared" si="27"/>
        <v>-38.500000000000853</v>
      </c>
      <c r="AO63" s="7">
        <f t="shared" si="27"/>
        <v>-38.500000000000682</v>
      </c>
      <c r="AP63" s="7">
        <f t="shared" si="27"/>
        <v>-38.500000000000512</v>
      </c>
      <c r="AQ63" s="7">
        <f t="shared" si="27"/>
        <v>-38.500000000000398</v>
      </c>
      <c r="AR63" s="7">
        <f t="shared" si="27"/>
        <v>-38.500000000000227</v>
      </c>
      <c r="AS63" s="7">
        <f t="shared" si="27"/>
        <v>-38.500000000000057</v>
      </c>
      <c r="AT63" s="7">
        <f t="shared" si="27"/>
        <v>-38.499999999999034</v>
      </c>
      <c r="AU63" s="7">
        <f t="shared" si="27"/>
        <v>-38.500000000000227</v>
      </c>
      <c r="AV63" s="7">
        <f t="shared" si="27"/>
        <v>-38.500000000000227</v>
      </c>
      <c r="AW63" s="7">
        <f t="shared" si="27"/>
        <v>-38.500000000000227</v>
      </c>
      <c r="AX63" s="7">
        <f t="shared" si="27"/>
        <v>-38.500000000000227</v>
      </c>
      <c r="AY63" s="7">
        <f t="shared" si="27"/>
        <v>-38.500000000000227</v>
      </c>
      <c r="AZ63" s="7">
        <f t="shared" si="27"/>
        <v>-38.500000000000227</v>
      </c>
      <c r="BA63" s="7">
        <f t="shared" si="27"/>
        <v>-38.500000000000114</v>
      </c>
      <c r="BB63" s="7">
        <f t="shared" si="27"/>
        <v>-38.500000000000114</v>
      </c>
      <c r="BC63" s="7">
        <f t="shared" si="27"/>
        <v>-38.500000000000114</v>
      </c>
      <c r="BD63" s="7">
        <f t="shared" si="27"/>
        <v>-38.500000000000114</v>
      </c>
      <c r="BE63" s="7">
        <f t="shared" si="27"/>
        <v>-38.500000000000114</v>
      </c>
      <c r="BF63" s="7">
        <f t="shared" si="27"/>
        <v>-38.500000000000114</v>
      </c>
      <c r="BG63" s="7">
        <f t="shared" si="27"/>
        <v>-38.500000000000114</v>
      </c>
      <c r="BH63" s="7">
        <f t="shared" si="27"/>
        <v>-38.500000000000114</v>
      </c>
      <c r="BI63" s="7">
        <f t="shared" si="27"/>
        <v>-38.500000000000114</v>
      </c>
    </row>
    <row r="64" spans="1:63" x14ac:dyDescent="0.25">
      <c r="A64" s="13" t="s">
        <v>12</v>
      </c>
      <c r="B64" s="7"/>
      <c r="C64" s="7"/>
      <c r="D64" s="7"/>
      <c r="E64" s="7"/>
      <c r="F64" s="7"/>
      <c r="G64" s="7"/>
      <c r="H64" s="7">
        <f>H63^2</f>
        <v>1381.3611111111136</v>
      </c>
      <c r="I64" s="7">
        <f t="shared" ref="I64:BI64" si="28">I63^2</f>
        <v>1460.9382716049404</v>
      </c>
      <c r="J64" s="7">
        <f t="shared" si="28"/>
        <v>1490.8179012345934</v>
      </c>
      <c r="K64" s="7">
        <f t="shared" si="28"/>
        <v>1444.0000000000205</v>
      </c>
      <c r="L64" s="7">
        <f t="shared" si="28"/>
        <v>1448.2253086419928</v>
      </c>
      <c r="M64" s="7">
        <f t="shared" si="28"/>
        <v>1503.7160493827298</v>
      </c>
      <c r="N64" s="7">
        <f t="shared" si="28"/>
        <v>1482.2500000000077</v>
      </c>
      <c r="O64" s="7">
        <f t="shared" si="28"/>
        <v>1482.2500000000055</v>
      </c>
      <c r="P64" s="7">
        <f t="shared" si="28"/>
        <v>1482.25</v>
      </c>
      <c r="Q64" s="7">
        <f t="shared" si="28"/>
        <v>1482.25</v>
      </c>
      <c r="R64" s="7">
        <f t="shared" si="28"/>
        <v>1482.25</v>
      </c>
      <c r="S64" s="7">
        <f t="shared" si="28"/>
        <v>1482.25</v>
      </c>
      <c r="T64" s="7">
        <f t="shared" si="28"/>
        <v>1482.25</v>
      </c>
      <c r="U64" s="7">
        <f t="shared" si="28"/>
        <v>1482.25</v>
      </c>
      <c r="V64" s="7">
        <f t="shared" si="28"/>
        <v>1482.25</v>
      </c>
      <c r="W64" s="7">
        <f t="shared" si="28"/>
        <v>1482.25</v>
      </c>
      <c r="X64" s="7">
        <f t="shared" si="28"/>
        <v>1482.2500000000023</v>
      </c>
      <c r="Y64" s="7">
        <f t="shared" si="28"/>
        <v>1482.2500000000023</v>
      </c>
      <c r="Z64" s="7">
        <f t="shared" si="28"/>
        <v>1482.2500000000766</v>
      </c>
      <c r="AA64" s="7">
        <f t="shared" si="28"/>
        <v>1482.2500000000614</v>
      </c>
      <c r="AB64" s="7">
        <f t="shared" si="28"/>
        <v>1482.2500000000482</v>
      </c>
      <c r="AC64" s="7">
        <f t="shared" si="28"/>
        <v>1482.2500000000393</v>
      </c>
      <c r="AD64" s="7">
        <f t="shared" si="28"/>
        <v>1482.2500000000264</v>
      </c>
      <c r="AE64" s="7">
        <f t="shared" si="28"/>
        <v>1482.2500000000132</v>
      </c>
      <c r="AF64" s="7">
        <f t="shared" si="28"/>
        <v>1482.2500000000043</v>
      </c>
      <c r="AG64" s="7">
        <f t="shared" si="28"/>
        <v>1482.2500000000043</v>
      </c>
      <c r="AH64" s="7">
        <f t="shared" si="28"/>
        <v>1482.2500000000043</v>
      </c>
      <c r="AI64" s="7">
        <f t="shared" si="28"/>
        <v>1482.2500000000043</v>
      </c>
      <c r="AJ64" s="7">
        <f t="shared" si="28"/>
        <v>1482.2500000000043</v>
      </c>
      <c r="AK64" s="7">
        <f t="shared" si="28"/>
        <v>1482.2500000000043</v>
      </c>
      <c r="AL64" s="7">
        <f t="shared" si="28"/>
        <v>1482.2500000000043</v>
      </c>
      <c r="AM64" s="7">
        <f t="shared" si="28"/>
        <v>1482.2500000000832</v>
      </c>
      <c r="AN64" s="7">
        <f t="shared" si="28"/>
        <v>1482.2500000000657</v>
      </c>
      <c r="AO64" s="7">
        <f t="shared" si="28"/>
        <v>1482.2500000000525</v>
      </c>
      <c r="AP64" s="7">
        <f t="shared" si="28"/>
        <v>1482.2500000000393</v>
      </c>
      <c r="AQ64" s="7">
        <f t="shared" si="28"/>
        <v>1482.2500000000307</v>
      </c>
      <c r="AR64" s="7">
        <f t="shared" si="28"/>
        <v>1482.2500000000175</v>
      </c>
      <c r="AS64" s="7">
        <f t="shared" si="28"/>
        <v>1482.2500000000043</v>
      </c>
      <c r="AT64" s="7">
        <f t="shared" si="28"/>
        <v>1482.2499999999256</v>
      </c>
      <c r="AU64" s="7">
        <f t="shared" si="28"/>
        <v>1482.2500000000175</v>
      </c>
      <c r="AV64" s="7">
        <f t="shared" si="28"/>
        <v>1482.2500000000175</v>
      </c>
      <c r="AW64" s="7">
        <f t="shared" si="28"/>
        <v>1482.2500000000175</v>
      </c>
      <c r="AX64" s="7">
        <f t="shared" si="28"/>
        <v>1482.2500000000175</v>
      </c>
      <c r="AY64" s="7">
        <f t="shared" si="28"/>
        <v>1482.2500000000175</v>
      </c>
      <c r="AZ64" s="7">
        <f t="shared" si="28"/>
        <v>1482.2500000000175</v>
      </c>
      <c r="BA64" s="7">
        <f t="shared" si="28"/>
        <v>1482.2500000000086</v>
      </c>
      <c r="BB64" s="7">
        <f t="shared" si="28"/>
        <v>1482.2500000000086</v>
      </c>
      <c r="BC64" s="7">
        <f t="shared" si="28"/>
        <v>1482.2500000000086</v>
      </c>
      <c r="BD64" s="7">
        <f t="shared" si="28"/>
        <v>1482.2500000000086</v>
      </c>
      <c r="BE64" s="7">
        <f t="shared" si="28"/>
        <v>1482.2500000000086</v>
      </c>
      <c r="BF64" s="7">
        <f t="shared" si="28"/>
        <v>1482.2500000000086</v>
      </c>
      <c r="BG64" s="7">
        <f t="shared" si="28"/>
        <v>1482.2500000000086</v>
      </c>
      <c r="BH64" s="7">
        <f t="shared" si="28"/>
        <v>1482.2500000000086</v>
      </c>
      <c r="BI64" s="7">
        <f t="shared" si="28"/>
        <v>1482.2500000000086</v>
      </c>
    </row>
    <row r="65" spans="1:63" x14ac:dyDescent="0.25">
      <c r="A65" s="38" t="s">
        <v>11</v>
      </c>
      <c r="B65" s="38">
        <v>6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3" x14ac:dyDescent="0.25">
      <c r="A66" s="8" t="s">
        <v>5</v>
      </c>
      <c r="B66" s="8">
        <f>AVERAGE(H64:BI64)</f>
        <v>1479.2047896662252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3" x14ac:dyDescent="0.25">
      <c r="A67" s="7" t="s">
        <v>7</v>
      </c>
      <c r="B67" s="7">
        <f>SUM(BD60:BI60)/B65</f>
        <v>643.1666666666689</v>
      </c>
    </row>
    <row r="68" spans="1:63" x14ac:dyDescent="0.25">
      <c r="A68" s="31" t="s">
        <v>6</v>
      </c>
      <c r="B68" s="7" t="s">
        <v>62</v>
      </c>
      <c r="C68" s="7">
        <v>61</v>
      </c>
      <c r="D68" s="7">
        <v>62</v>
      </c>
      <c r="E68" s="7">
        <v>63</v>
      </c>
      <c r="F68" s="7">
        <v>64</v>
      </c>
      <c r="G68" s="7">
        <v>65</v>
      </c>
      <c r="H68" s="7">
        <v>66</v>
      </c>
      <c r="I68" s="7">
        <v>67</v>
      </c>
      <c r="J68" s="7">
        <v>68</v>
      </c>
      <c r="K68" s="7">
        <v>69</v>
      </c>
      <c r="L68" s="7">
        <v>70</v>
      </c>
      <c r="M68" s="7">
        <v>71</v>
      </c>
      <c r="N68" s="7">
        <v>72</v>
      </c>
    </row>
    <row r="69" spans="1:63" x14ac:dyDescent="0.25">
      <c r="C69" s="7">
        <f>$B$67</f>
        <v>643.1666666666689</v>
      </c>
      <c r="D69" s="7">
        <f t="shared" ref="D69:N69" si="29">$B$67</f>
        <v>643.1666666666689</v>
      </c>
      <c r="E69" s="7">
        <f t="shared" si="29"/>
        <v>643.1666666666689</v>
      </c>
      <c r="F69" s="7">
        <f t="shared" si="29"/>
        <v>643.1666666666689</v>
      </c>
      <c r="G69" s="7">
        <f t="shared" si="29"/>
        <v>643.1666666666689</v>
      </c>
      <c r="H69" s="7">
        <f t="shared" si="29"/>
        <v>643.1666666666689</v>
      </c>
      <c r="I69" s="7">
        <f t="shared" si="29"/>
        <v>643.1666666666689</v>
      </c>
      <c r="J69" s="7">
        <f t="shared" si="29"/>
        <v>643.1666666666689</v>
      </c>
      <c r="K69" s="7">
        <f t="shared" si="29"/>
        <v>643.1666666666689</v>
      </c>
      <c r="L69" s="7">
        <f t="shared" si="29"/>
        <v>643.1666666666689</v>
      </c>
      <c r="M69" s="7">
        <f t="shared" si="29"/>
        <v>643.1666666666689</v>
      </c>
      <c r="N69" s="7">
        <f t="shared" si="29"/>
        <v>643.1666666666689</v>
      </c>
    </row>
    <row r="72" spans="1:63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</row>
    <row r="74" spans="1:63" x14ac:dyDescent="0.25">
      <c r="A74" s="13" t="s">
        <v>1</v>
      </c>
      <c r="B74" s="13">
        <v>1</v>
      </c>
      <c r="C74" s="13">
        <v>2</v>
      </c>
      <c r="D74" s="13">
        <v>3</v>
      </c>
      <c r="E74" s="13">
        <v>4</v>
      </c>
      <c r="F74" s="13">
        <v>5</v>
      </c>
      <c r="G74" s="13">
        <v>6</v>
      </c>
      <c r="H74" s="13">
        <v>7</v>
      </c>
      <c r="I74" s="13">
        <v>8</v>
      </c>
      <c r="J74" s="13">
        <v>9</v>
      </c>
      <c r="K74" s="13">
        <v>10</v>
      </c>
      <c r="L74" s="13">
        <v>11</v>
      </c>
      <c r="M74" s="13">
        <v>12</v>
      </c>
      <c r="N74" s="13">
        <v>13</v>
      </c>
      <c r="O74" s="13">
        <v>14</v>
      </c>
      <c r="P74" s="13">
        <v>15</v>
      </c>
      <c r="Q74" s="13">
        <v>16</v>
      </c>
      <c r="R74" s="13">
        <v>17</v>
      </c>
      <c r="S74" s="13">
        <v>18</v>
      </c>
      <c r="T74" s="13">
        <v>19</v>
      </c>
      <c r="U74" s="13">
        <v>20</v>
      </c>
      <c r="V74" s="13">
        <v>21</v>
      </c>
      <c r="W74" s="13">
        <v>22</v>
      </c>
      <c r="X74" s="13">
        <v>23</v>
      </c>
      <c r="Y74" s="13">
        <v>24</v>
      </c>
      <c r="Z74" s="13">
        <v>25</v>
      </c>
      <c r="AA74" s="13">
        <v>26</v>
      </c>
      <c r="AB74" s="13">
        <v>27</v>
      </c>
      <c r="AC74" s="13">
        <v>28</v>
      </c>
      <c r="AD74" s="13">
        <v>29</v>
      </c>
      <c r="AE74" s="13">
        <v>30</v>
      </c>
      <c r="AF74" s="13">
        <v>31</v>
      </c>
      <c r="AG74" s="13">
        <v>32</v>
      </c>
      <c r="AH74" s="13">
        <v>33</v>
      </c>
      <c r="AI74" s="13">
        <v>34</v>
      </c>
      <c r="AJ74" s="13">
        <v>35</v>
      </c>
      <c r="AK74" s="13">
        <v>36</v>
      </c>
      <c r="AL74" s="13">
        <v>37</v>
      </c>
      <c r="AM74" s="13">
        <v>38</v>
      </c>
      <c r="AN74" s="13">
        <v>39</v>
      </c>
      <c r="AO74" s="13">
        <v>40</v>
      </c>
      <c r="AP74" s="13">
        <v>41</v>
      </c>
      <c r="AQ74" s="13">
        <v>42</v>
      </c>
      <c r="AR74" s="13">
        <v>43</v>
      </c>
      <c r="AS74" s="13">
        <v>44</v>
      </c>
      <c r="AT74" s="13">
        <v>45</v>
      </c>
      <c r="AU74" s="13">
        <v>46</v>
      </c>
      <c r="AV74" s="13">
        <v>47</v>
      </c>
      <c r="AW74" s="13">
        <v>48</v>
      </c>
      <c r="AX74" s="13">
        <v>49</v>
      </c>
      <c r="AY74" s="13">
        <v>50</v>
      </c>
      <c r="AZ74" s="13">
        <v>51</v>
      </c>
      <c r="BA74" s="13">
        <v>52</v>
      </c>
      <c r="BB74" s="13">
        <v>53</v>
      </c>
      <c r="BC74" s="13">
        <v>54</v>
      </c>
      <c r="BD74" s="13">
        <v>55</v>
      </c>
      <c r="BE74" s="13">
        <v>56</v>
      </c>
      <c r="BF74" s="13">
        <v>57</v>
      </c>
      <c r="BG74" s="13">
        <v>58</v>
      </c>
      <c r="BH74" s="13">
        <v>59</v>
      </c>
      <c r="BI74" s="13">
        <v>60</v>
      </c>
    </row>
    <row r="75" spans="1:63" x14ac:dyDescent="0.25">
      <c r="A75" s="13" t="s">
        <v>0</v>
      </c>
      <c r="B75" s="37">
        <f>'הזנת נתונים'!A66</f>
        <v>28</v>
      </c>
      <c r="C75" s="37">
        <f>'הזנת נתונים'!B66</f>
        <v>35</v>
      </c>
      <c r="D75" s="37">
        <f>'הזנת נתונים'!C66</f>
        <v>40</v>
      </c>
      <c r="E75" s="37">
        <f>'הזנת נתונים'!D66</f>
        <v>55</v>
      </c>
      <c r="F75" s="37">
        <f>'הזנת נתונים'!E66</f>
        <v>70</v>
      </c>
      <c r="G75" s="37">
        <f>'הזנת נתונים'!F66</f>
        <v>75</v>
      </c>
      <c r="H75" s="37">
        <f>'הזנת נתונים'!G66</f>
        <v>87.6666666666667</v>
      </c>
      <c r="I75" s="37">
        <f>'הזנת נתונים'!H66</f>
        <v>98.6666666666667</v>
      </c>
      <c r="J75" s="37">
        <f>'הזנת נתונים'!I66</f>
        <v>109.666666666667</v>
      </c>
      <c r="K75" s="37">
        <f>'הזנת נתונים'!J66</f>
        <v>120.666666666667</v>
      </c>
      <c r="L75" s="37">
        <f>'הזנת נתונים'!K66</f>
        <v>131.666666666667</v>
      </c>
      <c r="M75" s="37">
        <f>'הזנת נתונים'!L66</f>
        <v>142.666666666667</v>
      </c>
      <c r="N75" s="37">
        <f>'הזנת נתונים'!M66</f>
        <v>153.666666666667</v>
      </c>
      <c r="O75" s="37">
        <f>'הזנת נתונים'!N66</f>
        <v>164.666666666667</v>
      </c>
      <c r="P75" s="37">
        <f>'הזנת נתונים'!O66</f>
        <v>175.666666666667</v>
      </c>
      <c r="Q75" s="37">
        <f>'הזנת נתונים'!P66</f>
        <v>186.666666666667</v>
      </c>
      <c r="R75" s="37">
        <f>'הזנת נתונים'!Q66</f>
        <v>197.666666666667</v>
      </c>
      <c r="S75" s="37">
        <f>'הזנת נתונים'!R66</f>
        <v>208.666666666667</v>
      </c>
      <c r="T75" s="37">
        <f>'הזנת נתונים'!S66</f>
        <v>219.666666666667</v>
      </c>
      <c r="U75" s="37">
        <f>'הזנת נתונים'!T66</f>
        <v>230.666666666667</v>
      </c>
      <c r="V75" s="37">
        <f>'הזנת נתונים'!U66</f>
        <v>241.666666666667</v>
      </c>
      <c r="W75" s="37">
        <f>'הזנת נתונים'!V66</f>
        <v>252.666666666667</v>
      </c>
      <c r="X75" s="37">
        <f>'הזנת נתונים'!W66</f>
        <v>263.66666666666703</v>
      </c>
      <c r="Y75" s="37">
        <f>'הזנת נתונים'!X66</f>
        <v>274.66666666666703</v>
      </c>
      <c r="Z75" s="37">
        <f>'הזנת נתונים'!Y66</f>
        <v>285.66666666666799</v>
      </c>
      <c r="AA75" s="37">
        <f>'הזנת נתונים'!Z66</f>
        <v>296.66666666666799</v>
      </c>
      <c r="AB75" s="37">
        <f>'הזנת נתונים'!AA66</f>
        <v>307.66666666666799</v>
      </c>
      <c r="AC75" s="37">
        <f>'הזנת נתונים'!AB66</f>
        <v>318.66666666666799</v>
      </c>
      <c r="AD75" s="37">
        <f>'הזנת נתונים'!AC66</f>
        <v>329.66666666666799</v>
      </c>
      <c r="AE75" s="37">
        <f>'הזנת נתונים'!AD66</f>
        <v>340.66666666666799</v>
      </c>
      <c r="AF75" s="37">
        <f>'הזנת נתונים'!AE66</f>
        <v>351.66666666666799</v>
      </c>
      <c r="AG75" s="37">
        <f>'הזנת נתונים'!AF66</f>
        <v>362.66666666666799</v>
      </c>
      <c r="AH75" s="37">
        <f>'הזנת נתונים'!AG66</f>
        <v>373.66666666666799</v>
      </c>
      <c r="AI75" s="37">
        <f>'הזנת נתונים'!AH66</f>
        <v>384.66666666666799</v>
      </c>
      <c r="AJ75" s="37">
        <f>'הזנת נתונים'!AI66</f>
        <v>395.66666666666799</v>
      </c>
      <c r="AK75" s="37">
        <f>'הזנת נתונים'!AJ66</f>
        <v>406.66666666666799</v>
      </c>
      <c r="AL75" s="37">
        <f>'הזנת נתונים'!AK66</f>
        <v>417.66666666666799</v>
      </c>
      <c r="AM75" s="37">
        <f>'הזנת נתונים'!AL66</f>
        <v>428.66666666666902</v>
      </c>
      <c r="AN75" s="37">
        <f>'הזנת נתונים'!AM66</f>
        <v>439.66666666666902</v>
      </c>
      <c r="AO75" s="37">
        <f>'הזנת נתונים'!AN66</f>
        <v>450.66666666666902</v>
      </c>
      <c r="AP75" s="37">
        <f>'הזנת נתונים'!AO66</f>
        <v>461.66666666666902</v>
      </c>
      <c r="AQ75" s="37">
        <f>'הזנת נתונים'!AP66</f>
        <v>472.66666666666902</v>
      </c>
      <c r="AR75" s="37">
        <f>'הזנת נתונים'!AQ66</f>
        <v>483.66666666666902</v>
      </c>
      <c r="AS75" s="37">
        <f>'הזנת נתונים'!AR66</f>
        <v>494.66666666666902</v>
      </c>
      <c r="AT75" s="37">
        <f>'הזנת נתונים'!AS66</f>
        <v>505.66666666666799</v>
      </c>
      <c r="AU75" s="37">
        <f>'הזנת נתונים'!AT66</f>
        <v>516.66666666666902</v>
      </c>
      <c r="AV75" s="37">
        <f>'הזנת נתונים'!AU66</f>
        <v>527.66666666666902</v>
      </c>
      <c r="AW75" s="37">
        <f>'הזנת נתונים'!AV66</f>
        <v>538.66666666666902</v>
      </c>
      <c r="AX75" s="37">
        <f>'הזנת נתונים'!AW66</f>
        <v>549.66666666666902</v>
      </c>
      <c r="AY75" s="37">
        <f>'הזנת נתונים'!AX66</f>
        <v>560.66666666666902</v>
      </c>
      <c r="AZ75" s="37">
        <f>'הזנת נתונים'!AY66</f>
        <v>571.66666666666902</v>
      </c>
      <c r="BA75" s="37">
        <f>'הזנת נתונים'!AZ66</f>
        <v>582.66666666666902</v>
      </c>
      <c r="BB75" s="37">
        <f>'הזנת נתונים'!BA66</f>
        <v>593.66666666666902</v>
      </c>
      <c r="BC75" s="37">
        <f>'הזנת נתונים'!BB66</f>
        <v>604.66666666666902</v>
      </c>
      <c r="BD75" s="37">
        <f>'הזנת נתונים'!BC66</f>
        <v>615.66666666666902</v>
      </c>
      <c r="BE75" s="37">
        <f>'הזנת נתונים'!BD66</f>
        <v>626.66666666666902</v>
      </c>
      <c r="BF75" s="37">
        <f>'הזנת נתונים'!BE66</f>
        <v>637.66666666666902</v>
      </c>
      <c r="BG75" s="37">
        <f>'הזנת נתונים'!BF66</f>
        <v>648.66666666666902</v>
      </c>
      <c r="BH75" s="37">
        <f>'הזנת נתונים'!BG66</f>
        <v>659.66666666666902</v>
      </c>
      <c r="BI75" s="37">
        <f>'הזנת נתונים'!BH66</f>
        <v>670.66666666666902</v>
      </c>
    </row>
    <row r="76" spans="1:63" x14ac:dyDescent="0.25">
      <c r="A76" s="13" t="s">
        <v>2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  <c r="H76">
        <f t="shared" ref="H76:AM76" si="30">AVERAGE(B75:H75)</f>
        <v>55.80952380952381</v>
      </c>
      <c r="I76">
        <f t="shared" si="30"/>
        <v>65.904761904761912</v>
      </c>
      <c r="J76">
        <f t="shared" si="30"/>
        <v>76.571428571428626</v>
      </c>
      <c r="K76">
        <f t="shared" si="30"/>
        <v>88.095238095238187</v>
      </c>
      <c r="L76">
        <f t="shared" si="30"/>
        <v>99.047619047619179</v>
      </c>
      <c r="M76">
        <f t="shared" si="30"/>
        <v>109.4285714285716</v>
      </c>
      <c r="N76">
        <f t="shared" si="30"/>
        <v>120.6666666666669</v>
      </c>
      <c r="O76">
        <f t="shared" si="30"/>
        <v>131.66666666666694</v>
      </c>
      <c r="P76">
        <f t="shared" si="30"/>
        <v>142.666666666667</v>
      </c>
      <c r="Q76">
        <f t="shared" si="30"/>
        <v>153.666666666667</v>
      </c>
      <c r="R76">
        <f t="shared" si="30"/>
        <v>164.666666666667</v>
      </c>
      <c r="S76">
        <f t="shared" si="30"/>
        <v>175.666666666667</v>
      </c>
      <c r="T76">
        <f t="shared" si="30"/>
        <v>186.666666666667</v>
      </c>
      <c r="U76">
        <f t="shared" si="30"/>
        <v>197.666666666667</v>
      </c>
      <c r="V76">
        <f t="shared" si="30"/>
        <v>208.666666666667</v>
      </c>
      <c r="W76">
        <f t="shared" si="30"/>
        <v>219.666666666667</v>
      </c>
      <c r="X76">
        <f t="shared" si="30"/>
        <v>230.666666666667</v>
      </c>
      <c r="Y76">
        <f t="shared" si="30"/>
        <v>241.666666666667</v>
      </c>
      <c r="Z76">
        <f t="shared" si="30"/>
        <v>252.66666666666717</v>
      </c>
      <c r="AA76">
        <f t="shared" si="30"/>
        <v>263.66666666666731</v>
      </c>
      <c r="AB76">
        <f t="shared" si="30"/>
        <v>274.66666666666742</v>
      </c>
      <c r="AC76">
        <f t="shared" si="30"/>
        <v>285.66666666666754</v>
      </c>
      <c r="AD76">
        <f t="shared" si="30"/>
        <v>296.66666666666771</v>
      </c>
      <c r="AE76">
        <f t="shared" si="30"/>
        <v>307.66666666666782</v>
      </c>
      <c r="AF76">
        <f t="shared" si="30"/>
        <v>318.66666666666794</v>
      </c>
      <c r="AG76">
        <f t="shared" si="30"/>
        <v>329.66666666666794</v>
      </c>
      <c r="AH76">
        <f t="shared" si="30"/>
        <v>340.66666666666794</v>
      </c>
      <c r="AI76">
        <f t="shared" si="30"/>
        <v>351.66666666666794</v>
      </c>
      <c r="AJ76">
        <f t="shared" si="30"/>
        <v>362.66666666666794</v>
      </c>
      <c r="AK76">
        <f t="shared" si="30"/>
        <v>373.66666666666794</v>
      </c>
      <c r="AL76">
        <f t="shared" si="30"/>
        <v>384.66666666666794</v>
      </c>
      <c r="AM76">
        <f t="shared" si="30"/>
        <v>395.66666666666816</v>
      </c>
      <c r="AN76">
        <f t="shared" ref="AN76:BI76" si="31">AVERAGE(AH75:AN75)</f>
        <v>406.66666666666828</v>
      </c>
      <c r="AO76">
        <f t="shared" si="31"/>
        <v>417.66666666666839</v>
      </c>
      <c r="AP76">
        <f t="shared" si="31"/>
        <v>428.6666666666685</v>
      </c>
      <c r="AQ76">
        <f t="shared" si="31"/>
        <v>439.66666666666868</v>
      </c>
      <c r="AR76">
        <f t="shared" si="31"/>
        <v>450.66666666666879</v>
      </c>
      <c r="AS76">
        <f t="shared" si="31"/>
        <v>461.6666666666689</v>
      </c>
      <c r="AT76">
        <f t="shared" si="31"/>
        <v>472.66666666666879</v>
      </c>
      <c r="AU76">
        <f t="shared" si="31"/>
        <v>483.66666666666879</v>
      </c>
      <c r="AV76">
        <f t="shared" si="31"/>
        <v>494.66666666666879</v>
      </c>
      <c r="AW76">
        <f t="shared" si="31"/>
        <v>505.66666666666879</v>
      </c>
      <c r="AX76">
        <f t="shared" si="31"/>
        <v>516.66666666666879</v>
      </c>
      <c r="AY76">
        <f t="shared" si="31"/>
        <v>527.66666666666879</v>
      </c>
      <c r="AZ76">
        <f t="shared" si="31"/>
        <v>538.66666666666879</v>
      </c>
      <c r="BA76">
        <f t="shared" si="31"/>
        <v>549.6666666666689</v>
      </c>
      <c r="BB76">
        <f t="shared" si="31"/>
        <v>560.6666666666689</v>
      </c>
      <c r="BC76">
        <f t="shared" si="31"/>
        <v>571.6666666666689</v>
      </c>
      <c r="BD76">
        <f t="shared" si="31"/>
        <v>582.6666666666689</v>
      </c>
      <c r="BE76">
        <f t="shared" si="31"/>
        <v>593.6666666666689</v>
      </c>
      <c r="BF76">
        <f t="shared" si="31"/>
        <v>604.6666666666689</v>
      </c>
      <c r="BG76">
        <f t="shared" si="31"/>
        <v>615.6666666666689</v>
      </c>
      <c r="BH76">
        <f t="shared" si="31"/>
        <v>626.6666666666689</v>
      </c>
      <c r="BI76">
        <f t="shared" si="31"/>
        <v>637.6666666666689</v>
      </c>
    </row>
    <row r="77" spans="1:63" x14ac:dyDescent="0.25">
      <c r="A77" s="13" t="s">
        <v>9</v>
      </c>
      <c r="B77" s="7"/>
      <c r="C77" s="7"/>
      <c r="D77" s="7"/>
      <c r="E77" s="7"/>
      <c r="F77" s="7"/>
      <c r="G77" s="7"/>
      <c r="H77" s="7"/>
      <c r="I77" s="7">
        <f>H76</f>
        <v>55.80952380952381</v>
      </c>
      <c r="J77" s="7">
        <f t="shared" ref="J77:BI77" si="32">I76</f>
        <v>65.904761904761912</v>
      </c>
      <c r="K77" s="7">
        <f t="shared" si="32"/>
        <v>76.571428571428626</v>
      </c>
      <c r="L77" s="7">
        <f t="shared" si="32"/>
        <v>88.095238095238187</v>
      </c>
      <c r="M77" s="7">
        <f t="shared" si="32"/>
        <v>99.047619047619179</v>
      </c>
      <c r="N77" s="7">
        <f t="shared" si="32"/>
        <v>109.4285714285716</v>
      </c>
      <c r="O77" s="7">
        <f t="shared" si="32"/>
        <v>120.6666666666669</v>
      </c>
      <c r="P77" s="7">
        <f t="shared" si="32"/>
        <v>131.66666666666694</v>
      </c>
      <c r="Q77" s="7">
        <f t="shared" si="32"/>
        <v>142.666666666667</v>
      </c>
      <c r="R77" s="7">
        <f t="shared" si="32"/>
        <v>153.666666666667</v>
      </c>
      <c r="S77" s="7">
        <f t="shared" si="32"/>
        <v>164.666666666667</v>
      </c>
      <c r="T77" s="7">
        <f t="shared" si="32"/>
        <v>175.666666666667</v>
      </c>
      <c r="U77" s="7">
        <f t="shared" si="32"/>
        <v>186.666666666667</v>
      </c>
      <c r="V77" s="7">
        <f t="shared" si="32"/>
        <v>197.666666666667</v>
      </c>
      <c r="W77" s="7">
        <f t="shared" si="32"/>
        <v>208.666666666667</v>
      </c>
      <c r="X77" s="7">
        <f t="shared" si="32"/>
        <v>219.666666666667</v>
      </c>
      <c r="Y77" s="7">
        <f t="shared" si="32"/>
        <v>230.666666666667</v>
      </c>
      <c r="Z77" s="7">
        <f t="shared" si="32"/>
        <v>241.666666666667</v>
      </c>
      <c r="AA77" s="7">
        <f t="shared" si="32"/>
        <v>252.66666666666717</v>
      </c>
      <c r="AB77" s="7">
        <f t="shared" si="32"/>
        <v>263.66666666666731</v>
      </c>
      <c r="AC77" s="7">
        <f t="shared" si="32"/>
        <v>274.66666666666742</v>
      </c>
      <c r="AD77" s="7">
        <f t="shared" si="32"/>
        <v>285.66666666666754</v>
      </c>
      <c r="AE77" s="7">
        <f t="shared" si="32"/>
        <v>296.66666666666771</v>
      </c>
      <c r="AF77" s="7">
        <f t="shared" si="32"/>
        <v>307.66666666666782</v>
      </c>
      <c r="AG77" s="7">
        <f t="shared" si="32"/>
        <v>318.66666666666794</v>
      </c>
      <c r="AH77" s="7">
        <f t="shared" si="32"/>
        <v>329.66666666666794</v>
      </c>
      <c r="AI77" s="7">
        <f t="shared" si="32"/>
        <v>340.66666666666794</v>
      </c>
      <c r="AJ77" s="7">
        <f t="shared" si="32"/>
        <v>351.66666666666794</v>
      </c>
      <c r="AK77" s="7">
        <f t="shared" si="32"/>
        <v>362.66666666666794</v>
      </c>
      <c r="AL77" s="7">
        <f t="shared" si="32"/>
        <v>373.66666666666794</v>
      </c>
      <c r="AM77" s="7">
        <f t="shared" si="32"/>
        <v>384.66666666666794</v>
      </c>
      <c r="AN77" s="7">
        <f t="shared" si="32"/>
        <v>395.66666666666816</v>
      </c>
      <c r="AO77" s="7">
        <f t="shared" si="32"/>
        <v>406.66666666666828</v>
      </c>
      <c r="AP77" s="7">
        <f t="shared" si="32"/>
        <v>417.66666666666839</v>
      </c>
      <c r="AQ77" s="7">
        <f t="shared" si="32"/>
        <v>428.6666666666685</v>
      </c>
      <c r="AR77" s="7">
        <f t="shared" si="32"/>
        <v>439.66666666666868</v>
      </c>
      <c r="AS77" s="7">
        <f t="shared" si="32"/>
        <v>450.66666666666879</v>
      </c>
      <c r="AT77" s="7">
        <f t="shared" si="32"/>
        <v>461.6666666666689</v>
      </c>
      <c r="AU77" s="7">
        <f t="shared" si="32"/>
        <v>472.66666666666879</v>
      </c>
      <c r="AV77" s="7">
        <f t="shared" si="32"/>
        <v>483.66666666666879</v>
      </c>
      <c r="AW77" s="7">
        <f t="shared" si="32"/>
        <v>494.66666666666879</v>
      </c>
      <c r="AX77" s="7">
        <f t="shared" si="32"/>
        <v>505.66666666666879</v>
      </c>
      <c r="AY77" s="7">
        <f t="shared" si="32"/>
        <v>516.66666666666879</v>
      </c>
      <c r="AZ77" s="7">
        <f t="shared" si="32"/>
        <v>527.66666666666879</v>
      </c>
      <c r="BA77" s="7">
        <f t="shared" si="32"/>
        <v>538.66666666666879</v>
      </c>
      <c r="BB77" s="7">
        <f t="shared" si="32"/>
        <v>549.6666666666689</v>
      </c>
      <c r="BC77" s="7">
        <f t="shared" si="32"/>
        <v>560.6666666666689</v>
      </c>
      <c r="BD77" s="7">
        <f t="shared" si="32"/>
        <v>571.6666666666689</v>
      </c>
      <c r="BE77" s="7">
        <f t="shared" si="32"/>
        <v>582.6666666666689</v>
      </c>
      <c r="BF77" s="7">
        <f t="shared" si="32"/>
        <v>593.6666666666689</v>
      </c>
      <c r="BG77" s="7">
        <f t="shared" si="32"/>
        <v>604.6666666666689</v>
      </c>
      <c r="BH77" s="7">
        <f t="shared" si="32"/>
        <v>615.6666666666689</v>
      </c>
      <c r="BI77" s="7">
        <f t="shared" si="32"/>
        <v>626.6666666666689</v>
      </c>
    </row>
    <row r="78" spans="1:63" x14ac:dyDescent="0.25">
      <c r="A78" s="13" t="s">
        <v>4</v>
      </c>
      <c r="B78" s="7"/>
      <c r="C78" s="7"/>
      <c r="D78" s="7"/>
      <c r="E78" s="7"/>
      <c r="F78" s="7"/>
      <c r="G78" s="7"/>
      <c r="H78" s="7"/>
      <c r="I78" s="7">
        <f>I77-I75</f>
        <v>-42.85714285714289</v>
      </c>
      <c r="J78" s="7">
        <f t="shared" ref="J78:BI78" si="33">J77-J75</f>
        <v>-43.761904761905086</v>
      </c>
      <c r="K78" s="7">
        <f t="shared" si="33"/>
        <v>-44.095238095238372</v>
      </c>
      <c r="L78" s="7">
        <f t="shared" si="33"/>
        <v>-43.571428571428811</v>
      </c>
      <c r="M78" s="7">
        <f t="shared" si="33"/>
        <v>-43.619047619047819</v>
      </c>
      <c r="N78" s="7">
        <f t="shared" si="33"/>
        <v>-44.238095238095397</v>
      </c>
      <c r="O78" s="7">
        <f t="shared" si="33"/>
        <v>-44.000000000000099</v>
      </c>
      <c r="P78" s="7">
        <f t="shared" si="33"/>
        <v>-44.000000000000057</v>
      </c>
      <c r="Q78" s="7">
        <f t="shared" si="33"/>
        <v>-44</v>
      </c>
      <c r="R78" s="7">
        <f t="shared" si="33"/>
        <v>-44</v>
      </c>
      <c r="S78" s="7">
        <f t="shared" si="33"/>
        <v>-44</v>
      </c>
      <c r="T78" s="7">
        <f t="shared" si="33"/>
        <v>-44</v>
      </c>
      <c r="U78" s="7">
        <f t="shared" si="33"/>
        <v>-44</v>
      </c>
      <c r="V78" s="7">
        <f t="shared" si="33"/>
        <v>-44</v>
      </c>
      <c r="W78" s="7">
        <f t="shared" si="33"/>
        <v>-44</v>
      </c>
      <c r="X78" s="7">
        <f t="shared" si="33"/>
        <v>-44.000000000000028</v>
      </c>
      <c r="Y78" s="7">
        <f t="shared" si="33"/>
        <v>-44.000000000000028</v>
      </c>
      <c r="Z78" s="7">
        <f t="shared" si="33"/>
        <v>-44.000000000000995</v>
      </c>
      <c r="AA78" s="7">
        <f t="shared" si="33"/>
        <v>-44.000000000000824</v>
      </c>
      <c r="AB78" s="7">
        <f t="shared" si="33"/>
        <v>-44.000000000000682</v>
      </c>
      <c r="AC78" s="7">
        <f t="shared" si="33"/>
        <v>-44.000000000000568</v>
      </c>
      <c r="AD78" s="7">
        <f t="shared" si="33"/>
        <v>-44.000000000000455</v>
      </c>
      <c r="AE78" s="7">
        <f t="shared" si="33"/>
        <v>-44.000000000000284</v>
      </c>
      <c r="AF78" s="7">
        <f t="shared" si="33"/>
        <v>-44.000000000000171</v>
      </c>
      <c r="AG78" s="7">
        <f t="shared" si="33"/>
        <v>-44.000000000000057</v>
      </c>
      <c r="AH78" s="7">
        <f t="shared" si="33"/>
        <v>-44.000000000000057</v>
      </c>
      <c r="AI78" s="7">
        <f t="shared" si="33"/>
        <v>-44.000000000000057</v>
      </c>
      <c r="AJ78" s="7">
        <f t="shared" si="33"/>
        <v>-44.000000000000057</v>
      </c>
      <c r="AK78" s="7">
        <f t="shared" si="33"/>
        <v>-44.000000000000057</v>
      </c>
      <c r="AL78" s="7">
        <f t="shared" si="33"/>
        <v>-44.000000000000057</v>
      </c>
      <c r="AM78" s="7">
        <f t="shared" si="33"/>
        <v>-44.00000000000108</v>
      </c>
      <c r="AN78" s="7">
        <f t="shared" si="33"/>
        <v>-44.000000000000853</v>
      </c>
      <c r="AO78" s="7">
        <f t="shared" si="33"/>
        <v>-44.000000000000739</v>
      </c>
      <c r="AP78" s="7">
        <f t="shared" si="33"/>
        <v>-44.000000000000625</v>
      </c>
      <c r="AQ78" s="7">
        <f t="shared" si="33"/>
        <v>-44.000000000000512</v>
      </c>
      <c r="AR78" s="7">
        <f t="shared" si="33"/>
        <v>-44.000000000000341</v>
      </c>
      <c r="AS78" s="7">
        <f t="shared" si="33"/>
        <v>-44.000000000000227</v>
      </c>
      <c r="AT78" s="7">
        <f t="shared" si="33"/>
        <v>-43.999999999999091</v>
      </c>
      <c r="AU78" s="7">
        <f t="shared" si="33"/>
        <v>-44.000000000000227</v>
      </c>
      <c r="AV78" s="7">
        <f t="shared" si="33"/>
        <v>-44.000000000000227</v>
      </c>
      <c r="AW78" s="7">
        <f t="shared" si="33"/>
        <v>-44.000000000000227</v>
      </c>
      <c r="AX78" s="7">
        <f t="shared" si="33"/>
        <v>-44.000000000000227</v>
      </c>
      <c r="AY78" s="7">
        <f t="shared" si="33"/>
        <v>-44.000000000000227</v>
      </c>
      <c r="AZ78" s="7">
        <f t="shared" si="33"/>
        <v>-44.000000000000227</v>
      </c>
      <c r="BA78" s="7">
        <f t="shared" si="33"/>
        <v>-44.000000000000227</v>
      </c>
      <c r="BB78" s="7">
        <f t="shared" si="33"/>
        <v>-44.000000000000114</v>
      </c>
      <c r="BC78" s="7">
        <f t="shared" si="33"/>
        <v>-44.000000000000114</v>
      </c>
      <c r="BD78" s="7">
        <f t="shared" si="33"/>
        <v>-44.000000000000114</v>
      </c>
      <c r="BE78" s="7">
        <f t="shared" si="33"/>
        <v>-44.000000000000114</v>
      </c>
      <c r="BF78" s="7">
        <f t="shared" si="33"/>
        <v>-44.000000000000114</v>
      </c>
      <c r="BG78" s="7">
        <f t="shared" si="33"/>
        <v>-44.000000000000114</v>
      </c>
      <c r="BH78" s="7">
        <f t="shared" si="33"/>
        <v>-44.000000000000114</v>
      </c>
      <c r="BI78" s="7">
        <f t="shared" si="33"/>
        <v>-44.000000000000114</v>
      </c>
    </row>
    <row r="79" spans="1:63" x14ac:dyDescent="0.25">
      <c r="A79" s="13" t="s">
        <v>12</v>
      </c>
      <c r="B79" s="7"/>
      <c r="C79" s="7"/>
      <c r="D79" s="7"/>
      <c r="E79" s="7"/>
      <c r="F79" s="7"/>
      <c r="G79" s="7"/>
      <c r="H79" s="7"/>
      <c r="I79" s="7">
        <f>I78^2</f>
        <v>1836.7346938775538</v>
      </c>
      <c r="J79" s="7">
        <f t="shared" ref="J79:BI79" si="34">J78^2</f>
        <v>1915.1043083900511</v>
      </c>
      <c r="K79" s="7">
        <f t="shared" si="34"/>
        <v>1944.3900226757614</v>
      </c>
      <c r="L79" s="7">
        <f t="shared" si="34"/>
        <v>1898.4693877551229</v>
      </c>
      <c r="M79" s="7">
        <f t="shared" si="34"/>
        <v>1902.6213151927611</v>
      </c>
      <c r="N79" s="7">
        <f t="shared" si="34"/>
        <v>1957.0090702947987</v>
      </c>
      <c r="O79" s="7">
        <f t="shared" si="34"/>
        <v>1936.0000000000086</v>
      </c>
      <c r="P79" s="7">
        <f t="shared" si="34"/>
        <v>1936.000000000005</v>
      </c>
      <c r="Q79" s="7">
        <f t="shared" si="34"/>
        <v>1936</v>
      </c>
      <c r="R79" s="7">
        <f t="shared" si="34"/>
        <v>1936</v>
      </c>
      <c r="S79" s="7">
        <f t="shared" si="34"/>
        <v>1936</v>
      </c>
      <c r="T79" s="7">
        <f t="shared" si="34"/>
        <v>1936</v>
      </c>
      <c r="U79" s="7">
        <f t="shared" si="34"/>
        <v>1936</v>
      </c>
      <c r="V79" s="7">
        <f t="shared" si="34"/>
        <v>1936</v>
      </c>
      <c r="W79" s="7">
        <f t="shared" si="34"/>
        <v>1936</v>
      </c>
      <c r="X79" s="7">
        <f t="shared" si="34"/>
        <v>1936.0000000000025</v>
      </c>
      <c r="Y79" s="7">
        <f t="shared" si="34"/>
        <v>1936.0000000000025</v>
      </c>
      <c r="Z79" s="7">
        <f t="shared" si="34"/>
        <v>1936.0000000000875</v>
      </c>
      <c r="AA79" s="7">
        <f t="shared" si="34"/>
        <v>1936.0000000000725</v>
      </c>
      <c r="AB79" s="7">
        <f t="shared" si="34"/>
        <v>1936.00000000006</v>
      </c>
      <c r="AC79" s="7">
        <f t="shared" si="34"/>
        <v>1936.00000000005</v>
      </c>
      <c r="AD79" s="7">
        <f t="shared" si="34"/>
        <v>1936.00000000004</v>
      </c>
      <c r="AE79" s="7">
        <f t="shared" si="34"/>
        <v>1936.000000000025</v>
      </c>
      <c r="AF79" s="7">
        <f t="shared" si="34"/>
        <v>1936.000000000015</v>
      </c>
      <c r="AG79" s="7">
        <f t="shared" si="34"/>
        <v>1936.000000000005</v>
      </c>
      <c r="AH79" s="7">
        <f t="shared" si="34"/>
        <v>1936.000000000005</v>
      </c>
      <c r="AI79" s="7">
        <f t="shared" si="34"/>
        <v>1936.000000000005</v>
      </c>
      <c r="AJ79" s="7">
        <f t="shared" si="34"/>
        <v>1936.000000000005</v>
      </c>
      <c r="AK79" s="7">
        <f t="shared" si="34"/>
        <v>1936.000000000005</v>
      </c>
      <c r="AL79" s="7">
        <f t="shared" si="34"/>
        <v>1936.000000000005</v>
      </c>
      <c r="AM79" s="7">
        <f t="shared" si="34"/>
        <v>1936.000000000095</v>
      </c>
      <c r="AN79" s="7">
        <f t="shared" si="34"/>
        <v>1936.000000000075</v>
      </c>
      <c r="AO79" s="7">
        <f t="shared" si="34"/>
        <v>1936.000000000065</v>
      </c>
      <c r="AP79" s="7">
        <f t="shared" si="34"/>
        <v>1936.000000000055</v>
      </c>
      <c r="AQ79" s="7">
        <f t="shared" si="34"/>
        <v>1936.000000000045</v>
      </c>
      <c r="AR79" s="7">
        <f t="shared" si="34"/>
        <v>1936.00000000003</v>
      </c>
      <c r="AS79" s="7">
        <f t="shared" si="34"/>
        <v>1936.00000000002</v>
      </c>
      <c r="AT79" s="7">
        <f t="shared" si="34"/>
        <v>1935.99999999992</v>
      </c>
      <c r="AU79" s="7">
        <f t="shared" si="34"/>
        <v>1936.00000000002</v>
      </c>
      <c r="AV79" s="7">
        <f t="shared" si="34"/>
        <v>1936.00000000002</v>
      </c>
      <c r="AW79" s="7">
        <f t="shared" si="34"/>
        <v>1936.00000000002</v>
      </c>
      <c r="AX79" s="7">
        <f t="shared" si="34"/>
        <v>1936.00000000002</v>
      </c>
      <c r="AY79" s="7">
        <f t="shared" si="34"/>
        <v>1936.00000000002</v>
      </c>
      <c r="AZ79" s="7">
        <f t="shared" si="34"/>
        <v>1936.00000000002</v>
      </c>
      <c r="BA79" s="7">
        <f t="shared" si="34"/>
        <v>1936.00000000002</v>
      </c>
      <c r="BB79" s="7">
        <f t="shared" si="34"/>
        <v>1936.00000000001</v>
      </c>
      <c r="BC79" s="7">
        <f t="shared" si="34"/>
        <v>1936.00000000001</v>
      </c>
      <c r="BD79" s="7">
        <f t="shared" si="34"/>
        <v>1936.00000000001</v>
      </c>
      <c r="BE79" s="7">
        <f t="shared" si="34"/>
        <v>1936.00000000001</v>
      </c>
      <c r="BF79" s="7">
        <f t="shared" si="34"/>
        <v>1936.00000000001</v>
      </c>
      <c r="BG79" s="7">
        <f t="shared" si="34"/>
        <v>1936.00000000001</v>
      </c>
      <c r="BH79" s="7">
        <f t="shared" si="34"/>
        <v>1936.00000000001</v>
      </c>
      <c r="BI79" s="7">
        <f t="shared" si="34"/>
        <v>1936.00000000001</v>
      </c>
    </row>
    <row r="80" spans="1:63" x14ac:dyDescent="0.25">
      <c r="A80" s="38" t="s">
        <v>11</v>
      </c>
      <c r="B80" s="38">
        <v>7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3" x14ac:dyDescent="0.25">
      <c r="A81" s="8" t="s">
        <v>5</v>
      </c>
      <c r="B81" s="8">
        <f>AVERAGE(I79:BI79)</f>
        <v>1932.949599965792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3" x14ac:dyDescent="0.25">
      <c r="A82" s="7" t="s">
        <v>7</v>
      </c>
      <c r="B82" s="7">
        <f>SUM(BC75:BI75)/B80</f>
        <v>637.6666666666689</v>
      </c>
    </row>
    <row r="83" spans="1:63" x14ac:dyDescent="0.25">
      <c r="A83" s="31" t="s">
        <v>6</v>
      </c>
      <c r="B83" s="7" t="s">
        <v>62</v>
      </c>
      <c r="C83" s="7">
        <v>61</v>
      </c>
      <c r="D83" s="7">
        <v>62</v>
      </c>
      <c r="E83" s="7">
        <v>63</v>
      </c>
      <c r="F83" s="7">
        <v>64</v>
      </c>
      <c r="G83" s="7">
        <v>65</v>
      </c>
      <c r="H83" s="7">
        <v>66</v>
      </c>
      <c r="I83" s="7">
        <v>67</v>
      </c>
      <c r="J83" s="7">
        <v>68</v>
      </c>
      <c r="K83" s="7">
        <v>69</v>
      </c>
      <c r="L83" s="7">
        <v>70</v>
      </c>
      <c r="M83" s="7">
        <v>71</v>
      </c>
      <c r="N83" s="7">
        <v>72</v>
      </c>
    </row>
    <row r="84" spans="1:63" x14ac:dyDescent="0.25">
      <c r="C84" s="7">
        <f>$B$82</f>
        <v>637.6666666666689</v>
      </c>
      <c r="D84" s="7">
        <f t="shared" ref="D84:N84" si="35">$B$82</f>
        <v>637.6666666666689</v>
      </c>
      <c r="E84" s="7">
        <f t="shared" si="35"/>
        <v>637.6666666666689</v>
      </c>
      <c r="F84" s="7">
        <f t="shared" si="35"/>
        <v>637.6666666666689</v>
      </c>
      <c r="G84" s="7">
        <f t="shared" si="35"/>
        <v>637.6666666666689</v>
      </c>
      <c r="H84" s="7">
        <f t="shared" si="35"/>
        <v>637.6666666666689</v>
      </c>
      <c r="I84" s="7">
        <f t="shared" si="35"/>
        <v>637.6666666666689</v>
      </c>
      <c r="J84" s="7">
        <f t="shared" si="35"/>
        <v>637.6666666666689</v>
      </c>
      <c r="K84" s="7">
        <f t="shared" si="35"/>
        <v>637.6666666666689</v>
      </c>
      <c r="L84" s="7">
        <f t="shared" si="35"/>
        <v>637.6666666666689</v>
      </c>
      <c r="M84" s="7">
        <f t="shared" si="35"/>
        <v>637.6666666666689</v>
      </c>
      <c r="N84" s="7">
        <f t="shared" si="35"/>
        <v>637.6666666666689</v>
      </c>
    </row>
    <row r="87" spans="1:63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</row>
    <row r="89" spans="1:63" x14ac:dyDescent="0.25">
      <c r="A89" s="13" t="s">
        <v>1</v>
      </c>
      <c r="B89" s="13">
        <v>1</v>
      </c>
      <c r="C89" s="13">
        <v>2</v>
      </c>
      <c r="D89" s="13">
        <v>3</v>
      </c>
      <c r="E89" s="13">
        <v>4</v>
      </c>
      <c r="F89" s="13">
        <v>5</v>
      </c>
      <c r="G89" s="13">
        <v>6</v>
      </c>
      <c r="H89" s="13">
        <v>7</v>
      </c>
      <c r="I89" s="13">
        <v>8</v>
      </c>
      <c r="J89" s="13">
        <v>9</v>
      </c>
      <c r="K89" s="13">
        <v>10</v>
      </c>
      <c r="L89" s="13">
        <v>11</v>
      </c>
      <c r="M89" s="13">
        <v>12</v>
      </c>
      <c r="N89" s="13">
        <v>13</v>
      </c>
      <c r="O89" s="13">
        <v>14</v>
      </c>
      <c r="P89" s="13">
        <v>15</v>
      </c>
      <c r="Q89" s="13">
        <v>16</v>
      </c>
      <c r="R89" s="13">
        <v>17</v>
      </c>
      <c r="S89" s="13">
        <v>18</v>
      </c>
      <c r="T89" s="13">
        <v>19</v>
      </c>
      <c r="U89" s="13">
        <v>20</v>
      </c>
      <c r="V89" s="13">
        <v>21</v>
      </c>
      <c r="W89" s="13">
        <v>22</v>
      </c>
      <c r="X89" s="13">
        <v>23</v>
      </c>
      <c r="Y89" s="13">
        <v>24</v>
      </c>
      <c r="Z89" s="13">
        <v>25</v>
      </c>
      <c r="AA89" s="13">
        <v>26</v>
      </c>
      <c r="AB89" s="13">
        <v>27</v>
      </c>
      <c r="AC89" s="13">
        <v>28</v>
      </c>
      <c r="AD89" s="13">
        <v>29</v>
      </c>
      <c r="AE89" s="13">
        <v>30</v>
      </c>
      <c r="AF89" s="13">
        <v>31</v>
      </c>
      <c r="AG89" s="13">
        <v>32</v>
      </c>
      <c r="AH89" s="13">
        <v>33</v>
      </c>
      <c r="AI89" s="13">
        <v>34</v>
      </c>
      <c r="AJ89" s="13">
        <v>35</v>
      </c>
      <c r="AK89" s="13">
        <v>36</v>
      </c>
      <c r="AL89" s="13">
        <v>37</v>
      </c>
      <c r="AM89" s="13">
        <v>38</v>
      </c>
      <c r="AN89" s="13">
        <v>39</v>
      </c>
      <c r="AO89" s="13">
        <v>40</v>
      </c>
      <c r="AP89" s="13">
        <v>41</v>
      </c>
      <c r="AQ89" s="13">
        <v>42</v>
      </c>
      <c r="AR89" s="13">
        <v>43</v>
      </c>
      <c r="AS89" s="13">
        <v>44</v>
      </c>
      <c r="AT89" s="13">
        <v>45</v>
      </c>
      <c r="AU89" s="13">
        <v>46</v>
      </c>
      <c r="AV89" s="13">
        <v>47</v>
      </c>
      <c r="AW89" s="13">
        <v>48</v>
      </c>
      <c r="AX89" s="13">
        <v>49</v>
      </c>
      <c r="AY89" s="13">
        <v>50</v>
      </c>
      <c r="AZ89" s="13">
        <v>51</v>
      </c>
      <c r="BA89" s="13">
        <v>52</v>
      </c>
      <c r="BB89" s="13">
        <v>53</v>
      </c>
      <c r="BC89" s="13">
        <v>54</v>
      </c>
      <c r="BD89" s="13">
        <v>55</v>
      </c>
      <c r="BE89" s="13">
        <v>56</v>
      </c>
      <c r="BF89" s="13">
        <v>57</v>
      </c>
      <c r="BG89" s="13">
        <v>58</v>
      </c>
      <c r="BH89" s="13">
        <v>59</v>
      </c>
      <c r="BI89" s="13">
        <v>60</v>
      </c>
    </row>
    <row r="90" spans="1:63" x14ac:dyDescent="0.25">
      <c r="A90" s="13" t="s">
        <v>0</v>
      </c>
      <c r="B90" s="37">
        <f>'הזנת נתונים'!A66</f>
        <v>28</v>
      </c>
      <c r="C90" s="37">
        <f>'הזנת נתונים'!B66</f>
        <v>35</v>
      </c>
      <c r="D90" s="37">
        <f>'הזנת נתונים'!C66</f>
        <v>40</v>
      </c>
      <c r="E90" s="37">
        <f>'הזנת נתונים'!D66</f>
        <v>55</v>
      </c>
      <c r="F90" s="37">
        <f>'הזנת נתונים'!E66</f>
        <v>70</v>
      </c>
      <c r="G90" s="37">
        <f>'הזנת נתונים'!F66</f>
        <v>75</v>
      </c>
      <c r="H90" s="37">
        <f>'הזנת נתונים'!G66</f>
        <v>87.6666666666667</v>
      </c>
      <c r="I90" s="37">
        <f>'הזנת נתונים'!H66</f>
        <v>98.6666666666667</v>
      </c>
      <c r="J90" s="37">
        <f>'הזנת נתונים'!I66</f>
        <v>109.666666666667</v>
      </c>
      <c r="K90" s="37">
        <f>'הזנת נתונים'!J66</f>
        <v>120.666666666667</v>
      </c>
      <c r="L90" s="37">
        <f>'הזנת נתונים'!K66</f>
        <v>131.666666666667</v>
      </c>
      <c r="M90" s="37">
        <f>'הזנת נתונים'!L66</f>
        <v>142.666666666667</v>
      </c>
      <c r="N90" s="37">
        <f>'הזנת נתונים'!M66</f>
        <v>153.666666666667</v>
      </c>
      <c r="O90" s="37">
        <f>'הזנת נתונים'!N66</f>
        <v>164.666666666667</v>
      </c>
      <c r="P90" s="37">
        <f>'הזנת נתונים'!O66</f>
        <v>175.666666666667</v>
      </c>
      <c r="Q90" s="37">
        <f>'הזנת נתונים'!P66</f>
        <v>186.666666666667</v>
      </c>
      <c r="R90" s="37">
        <f>'הזנת נתונים'!Q66</f>
        <v>197.666666666667</v>
      </c>
      <c r="S90" s="37">
        <f>'הזנת נתונים'!R66</f>
        <v>208.666666666667</v>
      </c>
      <c r="T90" s="37">
        <f>'הזנת נתונים'!S66</f>
        <v>219.666666666667</v>
      </c>
      <c r="U90" s="37">
        <f>'הזנת נתונים'!T66</f>
        <v>230.666666666667</v>
      </c>
      <c r="V90" s="37">
        <f>'הזנת נתונים'!U66</f>
        <v>241.666666666667</v>
      </c>
      <c r="W90" s="37">
        <f>'הזנת נתונים'!V66</f>
        <v>252.666666666667</v>
      </c>
      <c r="X90" s="37">
        <f>'הזנת נתונים'!W66</f>
        <v>263.66666666666703</v>
      </c>
      <c r="Y90" s="37">
        <f>'הזנת נתונים'!X66</f>
        <v>274.66666666666703</v>
      </c>
      <c r="Z90" s="37">
        <f>'הזנת נתונים'!Y66</f>
        <v>285.66666666666799</v>
      </c>
      <c r="AA90" s="37">
        <f>'הזנת נתונים'!Z66</f>
        <v>296.66666666666799</v>
      </c>
      <c r="AB90" s="37">
        <f>'הזנת נתונים'!AA66</f>
        <v>307.66666666666799</v>
      </c>
      <c r="AC90" s="37">
        <f>'הזנת נתונים'!AB66</f>
        <v>318.66666666666799</v>
      </c>
      <c r="AD90" s="37">
        <f>'הזנת נתונים'!AC66</f>
        <v>329.66666666666799</v>
      </c>
      <c r="AE90" s="37">
        <f>'הזנת נתונים'!AD66</f>
        <v>340.66666666666799</v>
      </c>
      <c r="AF90" s="37">
        <f>'הזנת נתונים'!AE66</f>
        <v>351.66666666666799</v>
      </c>
      <c r="AG90" s="37">
        <f>'הזנת נתונים'!AF66</f>
        <v>362.66666666666799</v>
      </c>
      <c r="AH90" s="37">
        <f>'הזנת נתונים'!AG66</f>
        <v>373.66666666666799</v>
      </c>
      <c r="AI90" s="37">
        <f>'הזנת נתונים'!AH66</f>
        <v>384.66666666666799</v>
      </c>
      <c r="AJ90" s="37">
        <f>'הזנת נתונים'!AI66</f>
        <v>395.66666666666799</v>
      </c>
      <c r="AK90" s="37">
        <f>'הזנת נתונים'!AJ66</f>
        <v>406.66666666666799</v>
      </c>
      <c r="AL90" s="37">
        <f>'הזנת נתונים'!AK66</f>
        <v>417.66666666666799</v>
      </c>
      <c r="AM90" s="37">
        <f>'הזנת נתונים'!AL66</f>
        <v>428.66666666666902</v>
      </c>
      <c r="AN90" s="37">
        <f>'הזנת נתונים'!AM66</f>
        <v>439.66666666666902</v>
      </c>
      <c r="AO90" s="37">
        <f>'הזנת נתונים'!AN66</f>
        <v>450.66666666666902</v>
      </c>
      <c r="AP90" s="37">
        <f>'הזנת נתונים'!AO66</f>
        <v>461.66666666666902</v>
      </c>
      <c r="AQ90" s="37">
        <f>'הזנת נתונים'!AP66</f>
        <v>472.66666666666902</v>
      </c>
      <c r="AR90" s="37">
        <f>'הזנת נתונים'!AQ66</f>
        <v>483.66666666666902</v>
      </c>
      <c r="AS90" s="37">
        <f>'הזנת נתונים'!AR66</f>
        <v>494.66666666666902</v>
      </c>
      <c r="AT90" s="37">
        <f>'הזנת נתונים'!AS66</f>
        <v>505.66666666666799</v>
      </c>
      <c r="AU90" s="37">
        <f>'הזנת נתונים'!AT66</f>
        <v>516.66666666666902</v>
      </c>
      <c r="AV90" s="37">
        <f>'הזנת נתונים'!AU66</f>
        <v>527.66666666666902</v>
      </c>
      <c r="AW90" s="37">
        <f>'הזנת נתונים'!AV66</f>
        <v>538.66666666666902</v>
      </c>
      <c r="AX90" s="37">
        <f>'הזנת נתונים'!AW66</f>
        <v>549.66666666666902</v>
      </c>
      <c r="AY90" s="37">
        <f>'הזנת נתונים'!AX66</f>
        <v>560.66666666666902</v>
      </c>
      <c r="AZ90" s="37">
        <f>'הזנת נתונים'!AY66</f>
        <v>571.66666666666902</v>
      </c>
      <c r="BA90" s="37">
        <f>'הזנת נתונים'!AZ66</f>
        <v>582.66666666666902</v>
      </c>
      <c r="BB90" s="37">
        <f>'הזנת נתונים'!BA66</f>
        <v>593.66666666666902</v>
      </c>
      <c r="BC90" s="37">
        <f>'הזנת נתונים'!BB66</f>
        <v>604.66666666666902</v>
      </c>
      <c r="BD90" s="37">
        <f>'הזנת נתונים'!BC66</f>
        <v>615.66666666666902</v>
      </c>
      <c r="BE90" s="37">
        <f>'הזנת נתונים'!BD66</f>
        <v>626.66666666666902</v>
      </c>
      <c r="BF90" s="37">
        <f>'הזנת נתונים'!BE66</f>
        <v>637.66666666666902</v>
      </c>
      <c r="BG90" s="37">
        <f>'הזנת נתונים'!BF66</f>
        <v>648.66666666666902</v>
      </c>
      <c r="BH90" s="37">
        <f>'הזנת נתונים'!BG66</f>
        <v>659.66666666666902</v>
      </c>
      <c r="BI90" s="37">
        <f>'הזנת נתונים'!BH66</f>
        <v>670.66666666666902</v>
      </c>
    </row>
    <row r="91" spans="1:63" x14ac:dyDescent="0.25">
      <c r="A91" s="13" t="s">
        <v>2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>
        <f t="shared" ref="I91:AN91" si="36">AVERAGE(B90:I90)</f>
        <v>61.166666666666671</v>
      </c>
      <c r="J91">
        <f t="shared" si="36"/>
        <v>71.375000000000043</v>
      </c>
      <c r="K91">
        <f t="shared" si="36"/>
        <v>82.083333333333414</v>
      </c>
      <c r="L91">
        <f t="shared" si="36"/>
        <v>93.541666666666785</v>
      </c>
      <c r="M91">
        <f t="shared" si="36"/>
        <v>104.50000000000016</v>
      </c>
      <c r="N91">
        <f t="shared" si="36"/>
        <v>114.95833333333353</v>
      </c>
      <c r="O91">
        <f t="shared" si="36"/>
        <v>126.16666666666691</v>
      </c>
      <c r="P91">
        <f t="shared" si="36"/>
        <v>137.16666666666694</v>
      </c>
      <c r="Q91">
        <f t="shared" si="36"/>
        <v>148.166666666667</v>
      </c>
      <c r="R91">
        <f t="shared" si="36"/>
        <v>159.166666666667</v>
      </c>
      <c r="S91">
        <f t="shared" si="36"/>
        <v>170.166666666667</v>
      </c>
      <c r="T91">
        <f t="shared" si="36"/>
        <v>181.166666666667</v>
      </c>
      <c r="U91">
        <f t="shared" si="36"/>
        <v>192.166666666667</v>
      </c>
      <c r="V91">
        <f t="shared" si="36"/>
        <v>203.166666666667</v>
      </c>
      <c r="W91">
        <f t="shared" si="36"/>
        <v>214.166666666667</v>
      </c>
      <c r="X91">
        <f t="shared" si="36"/>
        <v>225.166666666667</v>
      </c>
      <c r="Y91">
        <f t="shared" si="36"/>
        <v>236.166666666667</v>
      </c>
      <c r="Z91">
        <f t="shared" si="36"/>
        <v>247.16666666666714</v>
      </c>
      <c r="AA91">
        <f t="shared" si="36"/>
        <v>258.16666666666725</v>
      </c>
      <c r="AB91">
        <f t="shared" si="36"/>
        <v>269.16666666666737</v>
      </c>
      <c r="AC91">
        <f t="shared" si="36"/>
        <v>280.16666666666748</v>
      </c>
      <c r="AD91">
        <f t="shared" si="36"/>
        <v>291.1666666666676</v>
      </c>
      <c r="AE91">
        <f t="shared" si="36"/>
        <v>302.16666666666771</v>
      </c>
      <c r="AF91">
        <f t="shared" si="36"/>
        <v>313.16666666666782</v>
      </c>
      <c r="AG91">
        <f t="shared" si="36"/>
        <v>324.16666666666794</v>
      </c>
      <c r="AH91">
        <f t="shared" si="36"/>
        <v>335.16666666666794</v>
      </c>
      <c r="AI91">
        <f t="shared" si="36"/>
        <v>346.16666666666794</v>
      </c>
      <c r="AJ91">
        <f t="shared" si="36"/>
        <v>357.16666666666794</v>
      </c>
      <c r="AK91">
        <f t="shared" si="36"/>
        <v>368.16666666666794</v>
      </c>
      <c r="AL91">
        <f t="shared" si="36"/>
        <v>379.16666666666794</v>
      </c>
      <c r="AM91">
        <f t="shared" si="36"/>
        <v>390.16666666666811</v>
      </c>
      <c r="AN91">
        <f t="shared" si="36"/>
        <v>401.16666666666822</v>
      </c>
      <c r="AO91">
        <f t="shared" ref="AO91:BI91" si="37">AVERAGE(AH90:AO90)</f>
        <v>412.16666666666833</v>
      </c>
      <c r="AP91">
        <f t="shared" si="37"/>
        <v>423.16666666666845</v>
      </c>
      <c r="AQ91">
        <f t="shared" si="37"/>
        <v>434.16666666666856</v>
      </c>
      <c r="AR91">
        <f t="shared" si="37"/>
        <v>445.16666666666868</v>
      </c>
      <c r="AS91">
        <f t="shared" si="37"/>
        <v>456.16666666666879</v>
      </c>
      <c r="AT91">
        <f t="shared" si="37"/>
        <v>467.16666666666879</v>
      </c>
      <c r="AU91">
        <f t="shared" si="37"/>
        <v>478.16666666666879</v>
      </c>
      <c r="AV91">
        <f t="shared" si="37"/>
        <v>489.16666666666879</v>
      </c>
      <c r="AW91">
        <f t="shared" si="37"/>
        <v>500.16666666666879</v>
      </c>
      <c r="AX91">
        <f t="shared" si="37"/>
        <v>511.16666666666879</v>
      </c>
      <c r="AY91">
        <f t="shared" si="37"/>
        <v>522.16666666666879</v>
      </c>
      <c r="AZ91">
        <f t="shared" si="37"/>
        <v>533.16666666666879</v>
      </c>
      <c r="BA91">
        <f t="shared" si="37"/>
        <v>544.16666666666879</v>
      </c>
      <c r="BB91">
        <f t="shared" si="37"/>
        <v>555.1666666666689</v>
      </c>
      <c r="BC91">
        <f t="shared" si="37"/>
        <v>566.1666666666689</v>
      </c>
      <c r="BD91">
        <f t="shared" si="37"/>
        <v>577.1666666666689</v>
      </c>
      <c r="BE91">
        <f t="shared" si="37"/>
        <v>588.1666666666689</v>
      </c>
      <c r="BF91">
        <f t="shared" si="37"/>
        <v>599.1666666666689</v>
      </c>
      <c r="BG91">
        <f t="shared" si="37"/>
        <v>610.1666666666689</v>
      </c>
      <c r="BH91">
        <f t="shared" si="37"/>
        <v>621.1666666666689</v>
      </c>
      <c r="BI91">
        <f t="shared" si="37"/>
        <v>632.1666666666689</v>
      </c>
    </row>
    <row r="92" spans="1:63" x14ac:dyDescent="0.25">
      <c r="A92" s="13" t="s">
        <v>9</v>
      </c>
      <c r="B92" s="7"/>
      <c r="C92" s="7"/>
      <c r="D92" s="7"/>
      <c r="E92" s="7"/>
      <c r="F92" s="7"/>
      <c r="G92" s="7"/>
      <c r="H92" s="7"/>
      <c r="I92" s="7"/>
      <c r="J92" s="7">
        <f>I91</f>
        <v>61.166666666666671</v>
      </c>
      <c r="K92" s="7">
        <f t="shared" ref="K92:BI92" si="38">J91</f>
        <v>71.375000000000043</v>
      </c>
      <c r="L92" s="7">
        <f t="shared" si="38"/>
        <v>82.083333333333414</v>
      </c>
      <c r="M92" s="7">
        <f t="shared" si="38"/>
        <v>93.541666666666785</v>
      </c>
      <c r="N92" s="7">
        <f t="shared" si="38"/>
        <v>104.50000000000016</v>
      </c>
      <c r="O92" s="7">
        <f t="shared" si="38"/>
        <v>114.95833333333353</v>
      </c>
      <c r="P92" s="7">
        <f t="shared" si="38"/>
        <v>126.16666666666691</v>
      </c>
      <c r="Q92" s="7">
        <f t="shared" si="38"/>
        <v>137.16666666666694</v>
      </c>
      <c r="R92" s="7">
        <f t="shared" si="38"/>
        <v>148.166666666667</v>
      </c>
      <c r="S92" s="7">
        <f t="shared" si="38"/>
        <v>159.166666666667</v>
      </c>
      <c r="T92" s="7">
        <f t="shared" si="38"/>
        <v>170.166666666667</v>
      </c>
      <c r="U92" s="7">
        <f t="shared" si="38"/>
        <v>181.166666666667</v>
      </c>
      <c r="V92" s="7">
        <f t="shared" si="38"/>
        <v>192.166666666667</v>
      </c>
      <c r="W92" s="7">
        <f t="shared" si="38"/>
        <v>203.166666666667</v>
      </c>
      <c r="X92" s="7">
        <f t="shared" si="38"/>
        <v>214.166666666667</v>
      </c>
      <c r="Y92" s="7">
        <f t="shared" si="38"/>
        <v>225.166666666667</v>
      </c>
      <c r="Z92" s="7">
        <f t="shared" si="38"/>
        <v>236.166666666667</v>
      </c>
      <c r="AA92" s="7">
        <f t="shared" si="38"/>
        <v>247.16666666666714</v>
      </c>
      <c r="AB92" s="7">
        <f t="shared" si="38"/>
        <v>258.16666666666725</v>
      </c>
      <c r="AC92" s="7">
        <f t="shared" si="38"/>
        <v>269.16666666666737</v>
      </c>
      <c r="AD92" s="7">
        <f t="shared" si="38"/>
        <v>280.16666666666748</v>
      </c>
      <c r="AE92" s="7">
        <f t="shared" si="38"/>
        <v>291.1666666666676</v>
      </c>
      <c r="AF92" s="7">
        <f t="shared" si="38"/>
        <v>302.16666666666771</v>
      </c>
      <c r="AG92" s="7">
        <f t="shared" si="38"/>
        <v>313.16666666666782</v>
      </c>
      <c r="AH92" s="7">
        <f t="shared" si="38"/>
        <v>324.16666666666794</v>
      </c>
      <c r="AI92" s="7">
        <f t="shared" si="38"/>
        <v>335.16666666666794</v>
      </c>
      <c r="AJ92" s="7">
        <f t="shared" si="38"/>
        <v>346.16666666666794</v>
      </c>
      <c r="AK92" s="7">
        <f t="shared" si="38"/>
        <v>357.16666666666794</v>
      </c>
      <c r="AL92" s="7">
        <f t="shared" si="38"/>
        <v>368.16666666666794</v>
      </c>
      <c r="AM92" s="7">
        <f t="shared" si="38"/>
        <v>379.16666666666794</v>
      </c>
      <c r="AN92" s="7">
        <f t="shared" si="38"/>
        <v>390.16666666666811</v>
      </c>
      <c r="AO92" s="7">
        <f t="shared" si="38"/>
        <v>401.16666666666822</v>
      </c>
      <c r="AP92" s="7">
        <f t="shared" si="38"/>
        <v>412.16666666666833</v>
      </c>
      <c r="AQ92" s="7">
        <f t="shared" si="38"/>
        <v>423.16666666666845</v>
      </c>
      <c r="AR92" s="7">
        <f t="shared" si="38"/>
        <v>434.16666666666856</v>
      </c>
      <c r="AS92" s="7">
        <f t="shared" si="38"/>
        <v>445.16666666666868</v>
      </c>
      <c r="AT92" s="7">
        <f t="shared" si="38"/>
        <v>456.16666666666879</v>
      </c>
      <c r="AU92" s="7">
        <f t="shared" si="38"/>
        <v>467.16666666666879</v>
      </c>
      <c r="AV92" s="7">
        <f t="shared" si="38"/>
        <v>478.16666666666879</v>
      </c>
      <c r="AW92" s="7">
        <f t="shared" si="38"/>
        <v>489.16666666666879</v>
      </c>
      <c r="AX92" s="7">
        <f t="shared" si="38"/>
        <v>500.16666666666879</v>
      </c>
      <c r="AY92" s="7">
        <f t="shared" si="38"/>
        <v>511.16666666666879</v>
      </c>
      <c r="AZ92" s="7">
        <f t="shared" si="38"/>
        <v>522.16666666666879</v>
      </c>
      <c r="BA92" s="7">
        <f t="shared" si="38"/>
        <v>533.16666666666879</v>
      </c>
      <c r="BB92" s="7">
        <f t="shared" si="38"/>
        <v>544.16666666666879</v>
      </c>
      <c r="BC92" s="7">
        <f t="shared" si="38"/>
        <v>555.1666666666689</v>
      </c>
      <c r="BD92" s="7">
        <f t="shared" si="38"/>
        <v>566.1666666666689</v>
      </c>
      <c r="BE92" s="7">
        <f t="shared" si="38"/>
        <v>577.1666666666689</v>
      </c>
      <c r="BF92" s="7">
        <f t="shared" si="38"/>
        <v>588.1666666666689</v>
      </c>
      <c r="BG92" s="7">
        <f t="shared" si="38"/>
        <v>599.1666666666689</v>
      </c>
      <c r="BH92" s="7">
        <f t="shared" si="38"/>
        <v>610.1666666666689</v>
      </c>
      <c r="BI92" s="7">
        <f t="shared" si="38"/>
        <v>621.1666666666689</v>
      </c>
    </row>
    <row r="93" spans="1:63" x14ac:dyDescent="0.25">
      <c r="A93" s="13" t="s">
        <v>4</v>
      </c>
      <c r="B93" s="7"/>
      <c r="C93" s="7"/>
      <c r="D93" s="7"/>
      <c r="E93" s="7"/>
      <c r="F93" s="7"/>
      <c r="G93" s="7"/>
      <c r="H93" s="7"/>
      <c r="I93" s="7"/>
      <c r="J93" s="7">
        <f>J92-J90</f>
        <v>-48.500000000000327</v>
      </c>
      <c r="K93" s="7">
        <f t="shared" ref="K93:BI93" si="39">K92-K90</f>
        <v>-49.291666666666956</v>
      </c>
      <c r="L93" s="7">
        <f t="shared" si="39"/>
        <v>-49.583333333333584</v>
      </c>
      <c r="M93" s="7">
        <f t="shared" si="39"/>
        <v>-49.125000000000213</v>
      </c>
      <c r="N93" s="7">
        <f t="shared" si="39"/>
        <v>-49.166666666666842</v>
      </c>
      <c r="O93" s="7">
        <f t="shared" si="39"/>
        <v>-49.708333333333471</v>
      </c>
      <c r="P93" s="7">
        <f t="shared" si="39"/>
        <v>-49.500000000000085</v>
      </c>
      <c r="Q93" s="7">
        <f t="shared" si="39"/>
        <v>-49.500000000000057</v>
      </c>
      <c r="R93" s="7">
        <f t="shared" si="39"/>
        <v>-49.5</v>
      </c>
      <c r="S93" s="7">
        <f t="shared" si="39"/>
        <v>-49.5</v>
      </c>
      <c r="T93" s="7">
        <f t="shared" si="39"/>
        <v>-49.5</v>
      </c>
      <c r="U93" s="7">
        <f t="shared" si="39"/>
        <v>-49.5</v>
      </c>
      <c r="V93" s="7">
        <f t="shared" si="39"/>
        <v>-49.5</v>
      </c>
      <c r="W93" s="7">
        <f t="shared" si="39"/>
        <v>-49.5</v>
      </c>
      <c r="X93" s="7">
        <f t="shared" si="39"/>
        <v>-49.500000000000028</v>
      </c>
      <c r="Y93" s="7">
        <f t="shared" si="39"/>
        <v>-49.500000000000028</v>
      </c>
      <c r="Z93" s="7">
        <f t="shared" si="39"/>
        <v>-49.500000000000995</v>
      </c>
      <c r="AA93" s="7">
        <f t="shared" si="39"/>
        <v>-49.500000000000853</v>
      </c>
      <c r="AB93" s="7">
        <f t="shared" si="39"/>
        <v>-49.500000000000739</v>
      </c>
      <c r="AC93" s="7">
        <f t="shared" si="39"/>
        <v>-49.500000000000625</v>
      </c>
      <c r="AD93" s="7">
        <f t="shared" si="39"/>
        <v>-49.500000000000512</v>
      </c>
      <c r="AE93" s="7">
        <f t="shared" si="39"/>
        <v>-49.500000000000398</v>
      </c>
      <c r="AF93" s="7">
        <f t="shared" si="39"/>
        <v>-49.500000000000284</v>
      </c>
      <c r="AG93" s="7">
        <f t="shared" si="39"/>
        <v>-49.500000000000171</v>
      </c>
      <c r="AH93" s="7">
        <f t="shared" si="39"/>
        <v>-49.500000000000057</v>
      </c>
      <c r="AI93" s="7">
        <f t="shared" si="39"/>
        <v>-49.500000000000057</v>
      </c>
      <c r="AJ93" s="7">
        <f t="shared" si="39"/>
        <v>-49.500000000000057</v>
      </c>
      <c r="AK93" s="7">
        <f t="shared" si="39"/>
        <v>-49.500000000000057</v>
      </c>
      <c r="AL93" s="7">
        <f t="shared" si="39"/>
        <v>-49.500000000000057</v>
      </c>
      <c r="AM93" s="7">
        <f t="shared" si="39"/>
        <v>-49.50000000000108</v>
      </c>
      <c r="AN93" s="7">
        <f t="shared" si="39"/>
        <v>-49.500000000000909</v>
      </c>
      <c r="AO93" s="7">
        <f t="shared" si="39"/>
        <v>-49.500000000000796</v>
      </c>
      <c r="AP93" s="7">
        <f t="shared" si="39"/>
        <v>-49.500000000000682</v>
      </c>
      <c r="AQ93" s="7">
        <f t="shared" si="39"/>
        <v>-49.500000000000568</v>
      </c>
      <c r="AR93" s="7">
        <f t="shared" si="39"/>
        <v>-49.500000000000455</v>
      </c>
      <c r="AS93" s="7">
        <f t="shared" si="39"/>
        <v>-49.500000000000341</v>
      </c>
      <c r="AT93" s="7">
        <f t="shared" si="39"/>
        <v>-49.499999999999204</v>
      </c>
      <c r="AU93" s="7">
        <f t="shared" si="39"/>
        <v>-49.500000000000227</v>
      </c>
      <c r="AV93" s="7">
        <f t="shared" si="39"/>
        <v>-49.500000000000227</v>
      </c>
      <c r="AW93" s="7">
        <f t="shared" si="39"/>
        <v>-49.500000000000227</v>
      </c>
      <c r="AX93" s="7">
        <f t="shared" si="39"/>
        <v>-49.500000000000227</v>
      </c>
      <c r="AY93" s="7">
        <f t="shared" si="39"/>
        <v>-49.500000000000227</v>
      </c>
      <c r="AZ93" s="7">
        <f t="shared" si="39"/>
        <v>-49.500000000000227</v>
      </c>
      <c r="BA93" s="7">
        <f t="shared" si="39"/>
        <v>-49.500000000000227</v>
      </c>
      <c r="BB93" s="7">
        <f t="shared" si="39"/>
        <v>-49.500000000000227</v>
      </c>
      <c r="BC93" s="7">
        <f t="shared" si="39"/>
        <v>-49.500000000000114</v>
      </c>
      <c r="BD93" s="7">
        <f t="shared" si="39"/>
        <v>-49.500000000000114</v>
      </c>
      <c r="BE93" s="7">
        <f t="shared" si="39"/>
        <v>-49.500000000000114</v>
      </c>
      <c r="BF93" s="7">
        <f t="shared" si="39"/>
        <v>-49.500000000000114</v>
      </c>
      <c r="BG93" s="7">
        <f t="shared" si="39"/>
        <v>-49.500000000000114</v>
      </c>
      <c r="BH93" s="7">
        <f t="shared" si="39"/>
        <v>-49.500000000000114</v>
      </c>
      <c r="BI93" s="7">
        <f t="shared" si="39"/>
        <v>-49.500000000000114</v>
      </c>
    </row>
    <row r="94" spans="1:63" x14ac:dyDescent="0.25">
      <c r="A94" s="13" t="s">
        <v>12</v>
      </c>
      <c r="B94" s="7"/>
      <c r="C94" s="7"/>
      <c r="D94" s="7"/>
      <c r="E94" s="7"/>
      <c r="F94" s="7"/>
      <c r="G94" s="7"/>
      <c r="H94" s="7"/>
      <c r="I94" s="7"/>
      <c r="J94" s="7">
        <f>J93^2</f>
        <v>2352.2500000000318</v>
      </c>
      <c r="K94" s="7">
        <f t="shared" ref="K94:BI94" si="40">K93^2</f>
        <v>2429.6684027778065</v>
      </c>
      <c r="L94" s="7">
        <f t="shared" si="40"/>
        <v>2458.5069444444694</v>
      </c>
      <c r="M94" s="7">
        <f t="shared" si="40"/>
        <v>2413.2656250000209</v>
      </c>
      <c r="N94" s="7">
        <f t="shared" si="40"/>
        <v>2417.3611111111281</v>
      </c>
      <c r="O94" s="7">
        <f t="shared" si="40"/>
        <v>2470.9184027777915</v>
      </c>
      <c r="P94" s="7">
        <f t="shared" si="40"/>
        <v>2450.2500000000086</v>
      </c>
      <c r="Q94" s="7">
        <f t="shared" si="40"/>
        <v>2450.2500000000055</v>
      </c>
      <c r="R94" s="7">
        <f t="shared" si="40"/>
        <v>2450.25</v>
      </c>
      <c r="S94" s="7">
        <f t="shared" si="40"/>
        <v>2450.25</v>
      </c>
      <c r="T94" s="7">
        <f t="shared" si="40"/>
        <v>2450.25</v>
      </c>
      <c r="U94" s="7">
        <f t="shared" si="40"/>
        <v>2450.25</v>
      </c>
      <c r="V94" s="7">
        <f t="shared" si="40"/>
        <v>2450.25</v>
      </c>
      <c r="W94" s="7">
        <f t="shared" si="40"/>
        <v>2450.25</v>
      </c>
      <c r="X94" s="7">
        <f t="shared" si="40"/>
        <v>2450.2500000000027</v>
      </c>
      <c r="Y94" s="7">
        <f t="shared" si="40"/>
        <v>2450.2500000000027</v>
      </c>
      <c r="Z94" s="7">
        <f t="shared" si="40"/>
        <v>2450.2500000000987</v>
      </c>
      <c r="AA94" s="7">
        <f t="shared" si="40"/>
        <v>2450.2500000000846</v>
      </c>
      <c r="AB94" s="7">
        <f t="shared" si="40"/>
        <v>2450.2500000000732</v>
      </c>
      <c r="AC94" s="7">
        <f t="shared" si="40"/>
        <v>2450.2500000000618</v>
      </c>
      <c r="AD94" s="7">
        <f t="shared" si="40"/>
        <v>2450.2500000000505</v>
      </c>
      <c r="AE94" s="7">
        <f t="shared" si="40"/>
        <v>2450.2500000000396</v>
      </c>
      <c r="AF94" s="7">
        <f t="shared" si="40"/>
        <v>2450.2500000000282</v>
      </c>
      <c r="AG94" s="7">
        <f t="shared" si="40"/>
        <v>2450.2500000000168</v>
      </c>
      <c r="AH94" s="7">
        <f t="shared" si="40"/>
        <v>2450.2500000000055</v>
      </c>
      <c r="AI94" s="7">
        <f t="shared" si="40"/>
        <v>2450.2500000000055</v>
      </c>
      <c r="AJ94" s="7">
        <f t="shared" si="40"/>
        <v>2450.2500000000055</v>
      </c>
      <c r="AK94" s="7">
        <f t="shared" si="40"/>
        <v>2450.2500000000055</v>
      </c>
      <c r="AL94" s="7">
        <f t="shared" si="40"/>
        <v>2450.2500000000055</v>
      </c>
      <c r="AM94" s="7">
        <f t="shared" si="40"/>
        <v>2450.2500000001069</v>
      </c>
      <c r="AN94" s="7">
        <f t="shared" si="40"/>
        <v>2450.25000000009</v>
      </c>
      <c r="AO94" s="7">
        <f t="shared" si="40"/>
        <v>2450.2500000000787</v>
      </c>
      <c r="AP94" s="7">
        <f t="shared" si="40"/>
        <v>2450.2500000000673</v>
      </c>
      <c r="AQ94" s="7">
        <f t="shared" si="40"/>
        <v>2450.2500000000564</v>
      </c>
      <c r="AR94" s="7">
        <f t="shared" si="40"/>
        <v>2450.250000000045</v>
      </c>
      <c r="AS94" s="7">
        <f t="shared" si="40"/>
        <v>2450.2500000000337</v>
      </c>
      <c r="AT94" s="7">
        <f t="shared" si="40"/>
        <v>2450.2499999999213</v>
      </c>
      <c r="AU94" s="7">
        <f t="shared" si="40"/>
        <v>2450.2500000000227</v>
      </c>
      <c r="AV94" s="7">
        <f t="shared" si="40"/>
        <v>2450.2500000000227</v>
      </c>
      <c r="AW94" s="7">
        <f t="shared" si="40"/>
        <v>2450.2500000000227</v>
      </c>
      <c r="AX94" s="7">
        <f t="shared" si="40"/>
        <v>2450.2500000000227</v>
      </c>
      <c r="AY94" s="7">
        <f t="shared" si="40"/>
        <v>2450.2500000000227</v>
      </c>
      <c r="AZ94" s="7">
        <f t="shared" si="40"/>
        <v>2450.2500000000227</v>
      </c>
      <c r="BA94" s="7">
        <f t="shared" si="40"/>
        <v>2450.2500000000227</v>
      </c>
      <c r="BB94" s="7">
        <f t="shared" si="40"/>
        <v>2450.2500000000227</v>
      </c>
      <c r="BC94" s="7">
        <f t="shared" si="40"/>
        <v>2450.2500000000114</v>
      </c>
      <c r="BD94" s="7">
        <f t="shared" si="40"/>
        <v>2450.2500000000114</v>
      </c>
      <c r="BE94" s="7">
        <f t="shared" si="40"/>
        <v>2450.2500000000114</v>
      </c>
      <c r="BF94" s="7">
        <f t="shared" si="40"/>
        <v>2450.2500000000114</v>
      </c>
      <c r="BG94" s="7">
        <f t="shared" si="40"/>
        <v>2450.2500000000114</v>
      </c>
      <c r="BH94" s="7">
        <f t="shared" si="40"/>
        <v>2450.2500000000114</v>
      </c>
      <c r="BI94" s="7">
        <f t="shared" si="40"/>
        <v>2450.2500000000114</v>
      </c>
    </row>
    <row r="95" spans="1:63" x14ac:dyDescent="0.25">
      <c r="A95" s="38" t="s">
        <v>11</v>
      </c>
      <c r="B95" s="38">
        <v>8</v>
      </c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3" x14ac:dyDescent="0.25">
      <c r="A96" s="8" t="s">
        <v>5</v>
      </c>
      <c r="B96" s="8">
        <f>AVERAGE(G94:BI94)</f>
        <v>2447.1821247329322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3" x14ac:dyDescent="0.25">
      <c r="A97" s="7" t="s">
        <v>7</v>
      </c>
      <c r="B97" s="7">
        <f>SUM(BB90:BI90)/B95</f>
        <v>632.1666666666689</v>
      </c>
    </row>
    <row r="98" spans="1:63" x14ac:dyDescent="0.25">
      <c r="A98" s="31" t="s">
        <v>6</v>
      </c>
      <c r="B98" s="7" t="s">
        <v>62</v>
      </c>
      <c r="C98" s="7">
        <v>61</v>
      </c>
      <c r="D98" s="7">
        <v>62</v>
      </c>
      <c r="E98" s="7">
        <v>63</v>
      </c>
      <c r="F98" s="7">
        <v>64</v>
      </c>
      <c r="G98" s="7">
        <v>65</v>
      </c>
      <c r="H98" s="7">
        <v>66</v>
      </c>
      <c r="I98" s="7">
        <v>67</v>
      </c>
      <c r="J98" s="7">
        <v>68</v>
      </c>
      <c r="K98" s="7">
        <v>69</v>
      </c>
      <c r="L98" s="7">
        <v>70</v>
      </c>
      <c r="M98" s="7">
        <v>71</v>
      </c>
      <c r="N98" s="7">
        <v>72</v>
      </c>
    </row>
    <row r="99" spans="1:63" x14ac:dyDescent="0.25">
      <c r="C99" s="7">
        <f>$B$97</f>
        <v>632.1666666666689</v>
      </c>
      <c r="D99" s="7">
        <f t="shared" ref="D99:N99" si="41">$B$97</f>
        <v>632.1666666666689</v>
      </c>
      <c r="E99" s="7">
        <f t="shared" si="41"/>
        <v>632.1666666666689</v>
      </c>
      <c r="F99" s="7">
        <f t="shared" si="41"/>
        <v>632.1666666666689</v>
      </c>
      <c r="G99" s="7">
        <f t="shared" si="41"/>
        <v>632.1666666666689</v>
      </c>
      <c r="H99" s="7">
        <f t="shared" si="41"/>
        <v>632.1666666666689</v>
      </c>
      <c r="I99" s="7">
        <f t="shared" si="41"/>
        <v>632.1666666666689</v>
      </c>
      <c r="J99" s="7">
        <f t="shared" si="41"/>
        <v>632.1666666666689</v>
      </c>
      <c r="K99" s="7">
        <f t="shared" si="41"/>
        <v>632.1666666666689</v>
      </c>
      <c r="L99" s="7">
        <f t="shared" si="41"/>
        <v>632.1666666666689</v>
      </c>
      <c r="M99" s="7">
        <f t="shared" si="41"/>
        <v>632.1666666666689</v>
      </c>
      <c r="N99" s="7">
        <f t="shared" si="41"/>
        <v>632.1666666666689</v>
      </c>
    </row>
    <row r="101" spans="1:63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</row>
    <row r="103" spans="1:63" x14ac:dyDescent="0.25">
      <c r="A103" s="13" t="s">
        <v>1</v>
      </c>
      <c r="B103" s="13">
        <v>1</v>
      </c>
      <c r="C103" s="13">
        <v>2</v>
      </c>
      <c r="D103" s="13">
        <v>3</v>
      </c>
      <c r="E103" s="13">
        <v>4</v>
      </c>
      <c r="F103" s="13">
        <v>5</v>
      </c>
      <c r="G103" s="13">
        <v>6</v>
      </c>
      <c r="H103" s="13">
        <v>7</v>
      </c>
      <c r="I103" s="13">
        <v>8</v>
      </c>
      <c r="J103" s="13">
        <v>9</v>
      </c>
      <c r="K103" s="13">
        <v>10</v>
      </c>
      <c r="L103" s="13">
        <v>11</v>
      </c>
      <c r="M103" s="13">
        <v>12</v>
      </c>
      <c r="N103" s="13">
        <v>13</v>
      </c>
      <c r="O103" s="13">
        <v>14</v>
      </c>
      <c r="P103" s="13">
        <v>15</v>
      </c>
      <c r="Q103" s="13">
        <v>16</v>
      </c>
      <c r="R103" s="13">
        <v>17</v>
      </c>
      <c r="S103" s="13">
        <v>18</v>
      </c>
      <c r="T103" s="13">
        <v>19</v>
      </c>
      <c r="U103" s="13">
        <v>20</v>
      </c>
      <c r="V103" s="13">
        <v>21</v>
      </c>
      <c r="W103" s="13">
        <v>22</v>
      </c>
      <c r="X103" s="13">
        <v>23</v>
      </c>
      <c r="Y103" s="13">
        <v>24</v>
      </c>
      <c r="Z103" s="13">
        <v>25</v>
      </c>
      <c r="AA103" s="13">
        <v>26</v>
      </c>
      <c r="AB103" s="13">
        <v>27</v>
      </c>
      <c r="AC103" s="13">
        <v>28</v>
      </c>
      <c r="AD103" s="13">
        <v>29</v>
      </c>
      <c r="AE103" s="13">
        <v>30</v>
      </c>
      <c r="AF103" s="13">
        <v>31</v>
      </c>
      <c r="AG103" s="13">
        <v>32</v>
      </c>
      <c r="AH103" s="13">
        <v>33</v>
      </c>
      <c r="AI103" s="13">
        <v>34</v>
      </c>
      <c r="AJ103" s="13">
        <v>35</v>
      </c>
      <c r="AK103" s="13">
        <v>36</v>
      </c>
      <c r="AL103" s="13">
        <v>37</v>
      </c>
      <c r="AM103" s="13">
        <v>38</v>
      </c>
      <c r="AN103" s="13">
        <v>39</v>
      </c>
      <c r="AO103" s="13">
        <v>40</v>
      </c>
      <c r="AP103" s="13">
        <v>41</v>
      </c>
      <c r="AQ103" s="13">
        <v>42</v>
      </c>
      <c r="AR103" s="13">
        <v>43</v>
      </c>
      <c r="AS103" s="13">
        <v>44</v>
      </c>
      <c r="AT103" s="13">
        <v>45</v>
      </c>
      <c r="AU103" s="13">
        <v>46</v>
      </c>
      <c r="AV103" s="13">
        <v>47</v>
      </c>
      <c r="AW103" s="13">
        <v>48</v>
      </c>
      <c r="AX103" s="13">
        <v>49</v>
      </c>
      <c r="AY103" s="13">
        <v>50</v>
      </c>
      <c r="AZ103" s="13">
        <v>51</v>
      </c>
      <c r="BA103" s="13">
        <v>52</v>
      </c>
      <c r="BB103" s="13">
        <v>53</v>
      </c>
      <c r="BC103" s="13">
        <v>54</v>
      </c>
      <c r="BD103" s="13">
        <v>55</v>
      </c>
      <c r="BE103" s="13">
        <v>56</v>
      </c>
      <c r="BF103" s="13">
        <v>57</v>
      </c>
      <c r="BG103" s="13">
        <v>58</v>
      </c>
      <c r="BH103" s="13">
        <v>59</v>
      </c>
      <c r="BI103" s="13">
        <v>60</v>
      </c>
    </row>
    <row r="104" spans="1:63" x14ac:dyDescent="0.25">
      <c r="A104" s="13" t="s">
        <v>0</v>
      </c>
      <c r="B104" s="37">
        <f>'הזנת נתונים'!A66</f>
        <v>28</v>
      </c>
      <c r="C104" s="37">
        <f>'הזנת נתונים'!B66</f>
        <v>35</v>
      </c>
      <c r="D104" s="37">
        <f>'הזנת נתונים'!C66</f>
        <v>40</v>
      </c>
      <c r="E104" s="37">
        <f>'הזנת נתונים'!D66</f>
        <v>55</v>
      </c>
      <c r="F104" s="37">
        <f>'הזנת נתונים'!E66</f>
        <v>70</v>
      </c>
      <c r="G104" s="37">
        <f>'הזנת נתונים'!F66</f>
        <v>75</v>
      </c>
      <c r="H104" s="37">
        <f>'הזנת נתונים'!G66</f>
        <v>87.6666666666667</v>
      </c>
      <c r="I104" s="37">
        <f>'הזנת נתונים'!H66</f>
        <v>98.6666666666667</v>
      </c>
      <c r="J104" s="37">
        <f>'הזנת נתונים'!I66</f>
        <v>109.666666666667</v>
      </c>
      <c r="K104" s="37">
        <f>'הזנת נתונים'!J66</f>
        <v>120.666666666667</v>
      </c>
      <c r="L104" s="37">
        <f>'הזנת נתונים'!K66</f>
        <v>131.666666666667</v>
      </c>
      <c r="M104" s="37">
        <f>'הזנת נתונים'!L66</f>
        <v>142.666666666667</v>
      </c>
      <c r="N104" s="37">
        <f>'הזנת נתונים'!M66</f>
        <v>153.666666666667</v>
      </c>
      <c r="O104" s="37">
        <f>'הזנת נתונים'!N66</f>
        <v>164.666666666667</v>
      </c>
      <c r="P104" s="37">
        <f>'הזנת נתונים'!O66</f>
        <v>175.666666666667</v>
      </c>
      <c r="Q104" s="37">
        <f>'הזנת נתונים'!P66</f>
        <v>186.666666666667</v>
      </c>
      <c r="R104" s="37">
        <f>'הזנת נתונים'!Q66</f>
        <v>197.666666666667</v>
      </c>
      <c r="S104" s="37">
        <f>'הזנת נתונים'!R66</f>
        <v>208.666666666667</v>
      </c>
      <c r="T104" s="37">
        <f>'הזנת נתונים'!S66</f>
        <v>219.666666666667</v>
      </c>
      <c r="U104" s="37">
        <f>'הזנת נתונים'!T66</f>
        <v>230.666666666667</v>
      </c>
      <c r="V104" s="37">
        <f>'הזנת נתונים'!U66</f>
        <v>241.666666666667</v>
      </c>
      <c r="W104" s="37">
        <f>'הזנת נתונים'!V66</f>
        <v>252.666666666667</v>
      </c>
      <c r="X104" s="37">
        <f>'הזנת נתונים'!W66</f>
        <v>263.66666666666703</v>
      </c>
      <c r="Y104" s="37">
        <f>'הזנת נתונים'!X66</f>
        <v>274.66666666666703</v>
      </c>
      <c r="Z104" s="37">
        <f>'הזנת נתונים'!Y66</f>
        <v>285.66666666666799</v>
      </c>
      <c r="AA104" s="37">
        <f>'הזנת נתונים'!Z66</f>
        <v>296.66666666666799</v>
      </c>
      <c r="AB104" s="37">
        <f>'הזנת נתונים'!AA66</f>
        <v>307.66666666666799</v>
      </c>
      <c r="AC104" s="37">
        <f>'הזנת נתונים'!AB66</f>
        <v>318.66666666666799</v>
      </c>
      <c r="AD104" s="37">
        <f>'הזנת נתונים'!AC66</f>
        <v>329.66666666666799</v>
      </c>
      <c r="AE104" s="37">
        <f>'הזנת נתונים'!AD66</f>
        <v>340.66666666666799</v>
      </c>
      <c r="AF104" s="37">
        <f>'הזנת נתונים'!AE66</f>
        <v>351.66666666666799</v>
      </c>
      <c r="AG104" s="37">
        <f>'הזנת נתונים'!AF66</f>
        <v>362.66666666666799</v>
      </c>
      <c r="AH104" s="37">
        <f>'הזנת נתונים'!AG66</f>
        <v>373.66666666666799</v>
      </c>
      <c r="AI104" s="37">
        <f>'הזנת נתונים'!AH66</f>
        <v>384.66666666666799</v>
      </c>
      <c r="AJ104" s="37">
        <f>'הזנת נתונים'!AI66</f>
        <v>395.66666666666799</v>
      </c>
      <c r="AK104" s="37">
        <f>'הזנת נתונים'!AJ66</f>
        <v>406.66666666666799</v>
      </c>
      <c r="AL104" s="37">
        <f>'הזנת נתונים'!AK66</f>
        <v>417.66666666666799</v>
      </c>
      <c r="AM104" s="37">
        <f>'הזנת נתונים'!AL66</f>
        <v>428.66666666666902</v>
      </c>
      <c r="AN104" s="37">
        <f>'הזנת נתונים'!AM66</f>
        <v>439.66666666666902</v>
      </c>
      <c r="AO104" s="37">
        <f>'הזנת נתונים'!AN66</f>
        <v>450.66666666666902</v>
      </c>
      <c r="AP104" s="37">
        <f>'הזנת נתונים'!AO66</f>
        <v>461.66666666666902</v>
      </c>
      <c r="AQ104" s="37">
        <f>'הזנת נתונים'!AP66</f>
        <v>472.66666666666902</v>
      </c>
      <c r="AR104" s="37">
        <f>'הזנת נתונים'!AQ66</f>
        <v>483.66666666666902</v>
      </c>
      <c r="AS104" s="37">
        <f>'הזנת נתונים'!AR66</f>
        <v>494.66666666666902</v>
      </c>
      <c r="AT104" s="37">
        <f>'הזנת נתונים'!AS66</f>
        <v>505.66666666666799</v>
      </c>
      <c r="AU104" s="37">
        <f>'הזנת נתונים'!AT66</f>
        <v>516.66666666666902</v>
      </c>
      <c r="AV104" s="37">
        <f>'הזנת נתונים'!AU66</f>
        <v>527.66666666666902</v>
      </c>
      <c r="AW104" s="37">
        <f>'הזנת נתונים'!AV66</f>
        <v>538.66666666666902</v>
      </c>
      <c r="AX104" s="37">
        <f>'הזנת נתונים'!AW66</f>
        <v>549.66666666666902</v>
      </c>
      <c r="AY104" s="37">
        <f>'הזנת נתונים'!AX66</f>
        <v>560.66666666666902</v>
      </c>
      <c r="AZ104" s="37">
        <f>'הזנת נתונים'!AY66</f>
        <v>571.66666666666902</v>
      </c>
      <c r="BA104" s="37">
        <f>'הזנת נתונים'!AZ66</f>
        <v>582.66666666666902</v>
      </c>
      <c r="BB104" s="37">
        <f>'הזנת נתונים'!BA66</f>
        <v>593.66666666666902</v>
      </c>
      <c r="BC104" s="37">
        <f>'הזנת נתונים'!BB66</f>
        <v>604.66666666666902</v>
      </c>
      <c r="BD104" s="37">
        <f>'הזנת נתונים'!BC66</f>
        <v>615.66666666666902</v>
      </c>
      <c r="BE104" s="37">
        <f>'הזנת נתונים'!BD66</f>
        <v>626.66666666666902</v>
      </c>
      <c r="BF104" s="37">
        <f>'הזנת נתונים'!BE66</f>
        <v>637.66666666666902</v>
      </c>
      <c r="BG104" s="37">
        <f>'הזנת נתונים'!BF66</f>
        <v>648.66666666666902</v>
      </c>
      <c r="BH104" s="37">
        <f>'הזנת נתונים'!BG66</f>
        <v>659.66666666666902</v>
      </c>
      <c r="BI104" s="37">
        <f>'הזנת נתונים'!BH66</f>
        <v>670.66666666666902</v>
      </c>
    </row>
    <row r="105" spans="1:63" x14ac:dyDescent="0.25">
      <c r="A105" s="13" t="s">
        <v>2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>
        <f t="shared" ref="J105:AO105" si="42">AVERAGE(B104:J104)</f>
        <v>66.5555555555556</v>
      </c>
      <c r="K105">
        <f t="shared" si="42"/>
        <v>76.851851851851919</v>
      </c>
      <c r="L105">
        <f t="shared" si="42"/>
        <v>87.592592592592695</v>
      </c>
      <c r="M105">
        <f t="shared" si="42"/>
        <v>99.000000000000142</v>
      </c>
      <c r="N105">
        <f t="shared" si="42"/>
        <v>109.96296296296313</v>
      </c>
      <c r="O105">
        <f t="shared" si="42"/>
        <v>120.48148148148169</v>
      </c>
      <c r="P105">
        <f t="shared" si="42"/>
        <v>131.66666666666691</v>
      </c>
      <c r="Q105">
        <f t="shared" si="42"/>
        <v>142.66666666666694</v>
      </c>
      <c r="R105">
        <f t="shared" si="42"/>
        <v>153.666666666667</v>
      </c>
      <c r="S105">
        <f t="shared" si="42"/>
        <v>164.666666666667</v>
      </c>
      <c r="T105">
        <f t="shared" si="42"/>
        <v>175.666666666667</v>
      </c>
      <c r="U105">
        <f t="shared" si="42"/>
        <v>186.666666666667</v>
      </c>
      <c r="V105">
        <f t="shared" si="42"/>
        <v>197.666666666667</v>
      </c>
      <c r="W105">
        <f t="shared" si="42"/>
        <v>208.666666666667</v>
      </c>
      <c r="X105">
        <f t="shared" si="42"/>
        <v>219.666666666667</v>
      </c>
      <c r="Y105">
        <f t="shared" si="42"/>
        <v>230.66666666666703</v>
      </c>
      <c r="Z105">
        <f t="shared" si="42"/>
        <v>241.66666666666711</v>
      </c>
      <c r="AA105">
        <f t="shared" si="42"/>
        <v>252.66666666666723</v>
      </c>
      <c r="AB105">
        <f t="shared" si="42"/>
        <v>263.66666666666731</v>
      </c>
      <c r="AC105">
        <f t="shared" si="42"/>
        <v>274.66666666666742</v>
      </c>
      <c r="AD105">
        <f t="shared" si="42"/>
        <v>285.66666666666754</v>
      </c>
      <c r="AE105">
        <f t="shared" si="42"/>
        <v>296.66666666666765</v>
      </c>
      <c r="AF105">
        <f t="shared" si="42"/>
        <v>307.66666666666771</v>
      </c>
      <c r="AG105">
        <f t="shared" si="42"/>
        <v>318.66666666666782</v>
      </c>
      <c r="AH105">
        <f t="shared" si="42"/>
        <v>329.66666666666794</v>
      </c>
      <c r="AI105">
        <f t="shared" si="42"/>
        <v>340.66666666666794</v>
      </c>
      <c r="AJ105">
        <f t="shared" si="42"/>
        <v>351.66666666666794</v>
      </c>
      <c r="AK105">
        <f t="shared" si="42"/>
        <v>362.66666666666794</v>
      </c>
      <c r="AL105">
        <f t="shared" si="42"/>
        <v>373.66666666666794</v>
      </c>
      <c r="AM105">
        <f t="shared" si="42"/>
        <v>384.66666666666811</v>
      </c>
      <c r="AN105">
        <f t="shared" si="42"/>
        <v>395.66666666666816</v>
      </c>
      <c r="AO105">
        <f t="shared" si="42"/>
        <v>406.66666666666828</v>
      </c>
      <c r="AP105">
        <f t="shared" ref="AP105:BI105" si="43">AVERAGE(AH104:AP104)</f>
        <v>417.66666666666839</v>
      </c>
      <c r="AQ105">
        <f t="shared" si="43"/>
        <v>428.6666666666685</v>
      </c>
      <c r="AR105">
        <f t="shared" si="43"/>
        <v>439.66666666666856</v>
      </c>
      <c r="AS105">
        <f t="shared" si="43"/>
        <v>450.66666666666868</v>
      </c>
      <c r="AT105">
        <f t="shared" si="43"/>
        <v>461.66666666666868</v>
      </c>
      <c r="AU105">
        <f t="shared" si="43"/>
        <v>472.66666666666879</v>
      </c>
      <c r="AV105">
        <f t="shared" si="43"/>
        <v>483.66666666666879</v>
      </c>
      <c r="AW105">
        <f t="shared" si="43"/>
        <v>494.66666666666879</v>
      </c>
      <c r="AX105">
        <f t="shared" si="43"/>
        <v>505.66666666666879</v>
      </c>
      <c r="AY105">
        <f t="shared" si="43"/>
        <v>516.66666666666879</v>
      </c>
      <c r="AZ105">
        <f t="shared" si="43"/>
        <v>527.66666666666879</v>
      </c>
      <c r="BA105">
        <f t="shared" si="43"/>
        <v>538.66666666666879</v>
      </c>
      <c r="BB105">
        <f t="shared" si="43"/>
        <v>549.66666666666879</v>
      </c>
      <c r="BC105">
        <f t="shared" si="43"/>
        <v>560.6666666666689</v>
      </c>
      <c r="BD105">
        <f t="shared" si="43"/>
        <v>571.6666666666689</v>
      </c>
      <c r="BE105">
        <f t="shared" si="43"/>
        <v>582.6666666666689</v>
      </c>
      <c r="BF105">
        <f t="shared" si="43"/>
        <v>593.6666666666689</v>
      </c>
      <c r="BG105">
        <f t="shared" si="43"/>
        <v>604.6666666666689</v>
      </c>
      <c r="BH105">
        <f t="shared" si="43"/>
        <v>615.6666666666689</v>
      </c>
      <c r="BI105">
        <f t="shared" si="43"/>
        <v>626.6666666666689</v>
      </c>
    </row>
    <row r="106" spans="1:63" x14ac:dyDescent="0.25">
      <c r="A106" s="13" t="s">
        <v>9</v>
      </c>
      <c r="B106" s="7"/>
      <c r="C106" s="7"/>
      <c r="D106" s="7"/>
      <c r="E106" s="7"/>
      <c r="F106" s="7"/>
      <c r="G106" s="7"/>
      <c r="H106" s="7"/>
      <c r="I106" s="7"/>
      <c r="J106" s="7"/>
      <c r="K106" s="7">
        <f>J105</f>
        <v>66.5555555555556</v>
      </c>
      <c r="L106" s="7">
        <f t="shared" ref="L106:BI106" si="44">K105</f>
        <v>76.851851851851919</v>
      </c>
      <c r="M106" s="7">
        <f t="shared" si="44"/>
        <v>87.592592592592695</v>
      </c>
      <c r="N106" s="7">
        <f t="shared" si="44"/>
        <v>99.000000000000142</v>
      </c>
      <c r="O106" s="7">
        <f t="shared" si="44"/>
        <v>109.96296296296313</v>
      </c>
      <c r="P106" s="7">
        <f t="shared" si="44"/>
        <v>120.48148148148169</v>
      </c>
      <c r="Q106" s="7">
        <f t="shared" si="44"/>
        <v>131.66666666666691</v>
      </c>
      <c r="R106" s="7">
        <f t="shared" si="44"/>
        <v>142.66666666666694</v>
      </c>
      <c r="S106" s="7">
        <f t="shared" si="44"/>
        <v>153.666666666667</v>
      </c>
      <c r="T106" s="7">
        <f t="shared" si="44"/>
        <v>164.666666666667</v>
      </c>
      <c r="U106" s="7">
        <f t="shared" si="44"/>
        <v>175.666666666667</v>
      </c>
      <c r="V106" s="7">
        <f t="shared" si="44"/>
        <v>186.666666666667</v>
      </c>
      <c r="W106" s="7">
        <f t="shared" si="44"/>
        <v>197.666666666667</v>
      </c>
      <c r="X106" s="7">
        <f t="shared" si="44"/>
        <v>208.666666666667</v>
      </c>
      <c r="Y106" s="7">
        <f t="shared" si="44"/>
        <v>219.666666666667</v>
      </c>
      <c r="Z106" s="7">
        <f t="shared" si="44"/>
        <v>230.66666666666703</v>
      </c>
      <c r="AA106" s="7">
        <f t="shared" si="44"/>
        <v>241.66666666666711</v>
      </c>
      <c r="AB106" s="7">
        <f t="shared" si="44"/>
        <v>252.66666666666723</v>
      </c>
      <c r="AC106" s="7">
        <f t="shared" si="44"/>
        <v>263.66666666666731</v>
      </c>
      <c r="AD106" s="7">
        <f t="shared" si="44"/>
        <v>274.66666666666742</v>
      </c>
      <c r="AE106" s="7">
        <f t="shared" si="44"/>
        <v>285.66666666666754</v>
      </c>
      <c r="AF106" s="7">
        <f t="shared" si="44"/>
        <v>296.66666666666765</v>
      </c>
      <c r="AG106" s="7">
        <f t="shared" si="44"/>
        <v>307.66666666666771</v>
      </c>
      <c r="AH106" s="7">
        <f t="shared" si="44"/>
        <v>318.66666666666782</v>
      </c>
      <c r="AI106" s="7">
        <f t="shared" si="44"/>
        <v>329.66666666666794</v>
      </c>
      <c r="AJ106" s="7">
        <f t="shared" si="44"/>
        <v>340.66666666666794</v>
      </c>
      <c r="AK106" s="7">
        <f t="shared" si="44"/>
        <v>351.66666666666794</v>
      </c>
      <c r="AL106" s="7">
        <f t="shared" si="44"/>
        <v>362.66666666666794</v>
      </c>
      <c r="AM106" s="7">
        <f t="shared" si="44"/>
        <v>373.66666666666794</v>
      </c>
      <c r="AN106" s="7">
        <f t="shared" si="44"/>
        <v>384.66666666666811</v>
      </c>
      <c r="AO106" s="7">
        <f t="shared" si="44"/>
        <v>395.66666666666816</v>
      </c>
      <c r="AP106" s="7">
        <f t="shared" si="44"/>
        <v>406.66666666666828</v>
      </c>
      <c r="AQ106" s="7">
        <f t="shared" si="44"/>
        <v>417.66666666666839</v>
      </c>
      <c r="AR106" s="7">
        <f t="shared" si="44"/>
        <v>428.6666666666685</v>
      </c>
      <c r="AS106" s="7">
        <f t="shared" si="44"/>
        <v>439.66666666666856</v>
      </c>
      <c r="AT106" s="7">
        <f t="shared" si="44"/>
        <v>450.66666666666868</v>
      </c>
      <c r="AU106" s="7">
        <f t="shared" si="44"/>
        <v>461.66666666666868</v>
      </c>
      <c r="AV106" s="7">
        <f t="shared" si="44"/>
        <v>472.66666666666879</v>
      </c>
      <c r="AW106" s="7">
        <f t="shared" si="44"/>
        <v>483.66666666666879</v>
      </c>
      <c r="AX106" s="7">
        <f t="shared" si="44"/>
        <v>494.66666666666879</v>
      </c>
      <c r="AY106" s="7">
        <f t="shared" si="44"/>
        <v>505.66666666666879</v>
      </c>
      <c r="AZ106" s="7">
        <f t="shared" si="44"/>
        <v>516.66666666666879</v>
      </c>
      <c r="BA106" s="7">
        <f t="shared" si="44"/>
        <v>527.66666666666879</v>
      </c>
      <c r="BB106" s="7">
        <f t="shared" si="44"/>
        <v>538.66666666666879</v>
      </c>
      <c r="BC106" s="7">
        <f t="shared" si="44"/>
        <v>549.66666666666879</v>
      </c>
      <c r="BD106" s="7">
        <f t="shared" si="44"/>
        <v>560.6666666666689</v>
      </c>
      <c r="BE106" s="7">
        <f t="shared" si="44"/>
        <v>571.6666666666689</v>
      </c>
      <c r="BF106" s="7">
        <f t="shared" si="44"/>
        <v>582.6666666666689</v>
      </c>
      <c r="BG106" s="7">
        <f t="shared" si="44"/>
        <v>593.6666666666689</v>
      </c>
      <c r="BH106" s="7">
        <f t="shared" si="44"/>
        <v>604.6666666666689</v>
      </c>
      <c r="BI106" s="7">
        <f t="shared" si="44"/>
        <v>615.6666666666689</v>
      </c>
    </row>
    <row r="107" spans="1:63" x14ac:dyDescent="0.25">
      <c r="A107" s="13" t="s">
        <v>4</v>
      </c>
      <c r="B107" s="7"/>
      <c r="C107" s="7"/>
      <c r="D107" s="7"/>
      <c r="E107" s="7"/>
      <c r="F107" s="7"/>
      <c r="G107" s="7"/>
      <c r="H107" s="7"/>
      <c r="I107" s="7"/>
      <c r="J107" s="7"/>
      <c r="K107" s="7">
        <f>K106-K104</f>
        <v>-54.111111111111398</v>
      </c>
      <c r="L107" s="7">
        <f t="shared" ref="L107:BI107" si="45">L106-L104</f>
        <v>-54.81481481481508</v>
      </c>
      <c r="M107" s="7">
        <f t="shared" si="45"/>
        <v>-55.074074074074304</v>
      </c>
      <c r="N107" s="7">
        <f t="shared" si="45"/>
        <v>-54.666666666666856</v>
      </c>
      <c r="O107" s="7">
        <f t="shared" si="45"/>
        <v>-54.703703703703866</v>
      </c>
      <c r="P107" s="7">
        <f t="shared" si="45"/>
        <v>-55.185185185185304</v>
      </c>
      <c r="Q107" s="7">
        <f t="shared" si="45"/>
        <v>-55.000000000000085</v>
      </c>
      <c r="R107" s="7">
        <f t="shared" si="45"/>
        <v>-55.000000000000057</v>
      </c>
      <c r="S107" s="7">
        <f t="shared" si="45"/>
        <v>-55</v>
      </c>
      <c r="T107" s="7">
        <f t="shared" si="45"/>
        <v>-55</v>
      </c>
      <c r="U107" s="7">
        <f t="shared" si="45"/>
        <v>-55</v>
      </c>
      <c r="V107" s="7">
        <f t="shared" si="45"/>
        <v>-55</v>
      </c>
      <c r="W107" s="7">
        <f t="shared" si="45"/>
        <v>-55</v>
      </c>
      <c r="X107" s="7">
        <f t="shared" si="45"/>
        <v>-55.000000000000028</v>
      </c>
      <c r="Y107" s="7">
        <f t="shared" si="45"/>
        <v>-55.000000000000028</v>
      </c>
      <c r="Z107" s="7">
        <f t="shared" si="45"/>
        <v>-55.000000000000966</v>
      </c>
      <c r="AA107" s="7">
        <f t="shared" si="45"/>
        <v>-55.000000000000881</v>
      </c>
      <c r="AB107" s="7">
        <f t="shared" si="45"/>
        <v>-55.000000000000767</v>
      </c>
      <c r="AC107" s="7">
        <f t="shared" si="45"/>
        <v>-55.000000000000682</v>
      </c>
      <c r="AD107" s="7">
        <f t="shared" si="45"/>
        <v>-55.000000000000568</v>
      </c>
      <c r="AE107" s="7">
        <f t="shared" si="45"/>
        <v>-55.000000000000455</v>
      </c>
      <c r="AF107" s="7">
        <f t="shared" si="45"/>
        <v>-55.000000000000341</v>
      </c>
      <c r="AG107" s="7">
        <f t="shared" si="45"/>
        <v>-55.000000000000284</v>
      </c>
      <c r="AH107" s="7">
        <f t="shared" si="45"/>
        <v>-55.000000000000171</v>
      </c>
      <c r="AI107" s="7">
        <f t="shared" si="45"/>
        <v>-55.000000000000057</v>
      </c>
      <c r="AJ107" s="7">
        <f t="shared" si="45"/>
        <v>-55.000000000000057</v>
      </c>
      <c r="AK107" s="7">
        <f t="shared" si="45"/>
        <v>-55.000000000000057</v>
      </c>
      <c r="AL107" s="7">
        <f t="shared" si="45"/>
        <v>-55.000000000000057</v>
      </c>
      <c r="AM107" s="7">
        <f t="shared" si="45"/>
        <v>-55.00000000000108</v>
      </c>
      <c r="AN107" s="7">
        <f t="shared" si="45"/>
        <v>-55.000000000000909</v>
      </c>
      <c r="AO107" s="7">
        <f t="shared" si="45"/>
        <v>-55.000000000000853</v>
      </c>
      <c r="AP107" s="7">
        <f t="shared" si="45"/>
        <v>-55.000000000000739</v>
      </c>
      <c r="AQ107" s="7">
        <f t="shared" si="45"/>
        <v>-55.000000000000625</v>
      </c>
      <c r="AR107" s="7">
        <f t="shared" si="45"/>
        <v>-55.000000000000512</v>
      </c>
      <c r="AS107" s="7">
        <f t="shared" si="45"/>
        <v>-55.000000000000455</v>
      </c>
      <c r="AT107" s="7">
        <f t="shared" si="45"/>
        <v>-54.999999999999318</v>
      </c>
      <c r="AU107" s="7">
        <f t="shared" si="45"/>
        <v>-55.000000000000341</v>
      </c>
      <c r="AV107" s="7">
        <f t="shared" si="45"/>
        <v>-55.000000000000227</v>
      </c>
      <c r="AW107" s="7">
        <f t="shared" si="45"/>
        <v>-55.000000000000227</v>
      </c>
      <c r="AX107" s="7">
        <f t="shared" si="45"/>
        <v>-55.000000000000227</v>
      </c>
      <c r="AY107" s="7">
        <f t="shared" si="45"/>
        <v>-55.000000000000227</v>
      </c>
      <c r="AZ107" s="7">
        <f t="shared" si="45"/>
        <v>-55.000000000000227</v>
      </c>
      <c r="BA107" s="7">
        <f t="shared" si="45"/>
        <v>-55.000000000000227</v>
      </c>
      <c r="BB107" s="7">
        <f t="shared" si="45"/>
        <v>-55.000000000000227</v>
      </c>
      <c r="BC107" s="7">
        <f t="shared" si="45"/>
        <v>-55.000000000000227</v>
      </c>
      <c r="BD107" s="7">
        <f t="shared" si="45"/>
        <v>-55.000000000000114</v>
      </c>
      <c r="BE107" s="7">
        <f t="shared" si="45"/>
        <v>-55.000000000000114</v>
      </c>
      <c r="BF107" s="7">
        <f t="shared" si="45"/>
        <v>-55.000000000000114</v>
      </c>
      <c r="BG107" s="7">
        <f t="shared" si="45"/>
        <v>-55.000000000000114</v>
      </c>
      <c r="BH107" s="7">
        <f t="shared" si="45"/>
        <v>-55.000000000000114</v>
      </c>
      <c r="BI107" s="7">
        <f t="shared" si="45"/>
        <v>-55.000000000000114</v>
      </c>
    </row>
    <row r="108" spans="1:63" x14ac:dyDescent="0.25">
      <c r="A108" s="13" t="s">
        <v>12</v>
      </c>
      <c r="B108" s="7"/>
      <c r="C108" s="7"/>
      <c r="D108" s="7"/>
      <c r="E108" s="7"/>
      <c r="F108" s="7"/>
      <c r="G108" s="7"/>
      <c r="H108" s="7"/>
      <c r="I108" s="7"/>
      <c r="J108" s="7"/>
      <c r="K108" s="7">
        <f>K107^2</f>
        <v>2928.0123456790434</v>
      </c>
      <c r="L108" s="7">
        <f t="shared" ref="L108:BI108" si="46">L107^2</f>
        <v>3004.6639231824706</v>
      </c>
      <c r="M108" s="7">
        <f t="shared" si="46"/>
        <v>3033.1536351166233</v>
      </c>
      <c r="N108" s="7">
        <f t="shared" si="46"/>
        <v>2988.4444444444653</v>
      </c>
      <c r="O108" s="7">
        <f t="shared" si="46"/>
        <v>2992.495198902624</v>
      </c>
      <c r="P108" s="7">
        <f t="shared" si="46"/>
        <v>3045.4046639231956</v>
      </c>
      <c r="Q108" s="7">
        <f t="shared" si="46"/>
        <v>3025.0000000000095</v>
      </c>
      <c r="R108" s="7">
        <f t="shared" si="46"/>
        <v>3025.0000000000064</v>
      </c>
      <c r="S108" s="7">
        <f t="shared" si="46"/>
        <v>3025</v>
      </c>
      <c r="T108" s="7">
        <f t="shared" si="46"/>
        <v>3025</v>
      </c>
      <c r="U108" s="7">
        <f t="shared" si="46"/>
        <v>3025</v>
      </c>
      <c r="V108" s="7">
        <f t="shared" si="46"/>
        <v>3025</v>
      </c>
      <c r="W108" s="7">
        <f t="shared" si="46"/>
        <v>3025</v>
      </c>
      <c r="X108" s="7">
        <f t="shared" si="46"/>
        <v>3025.0000000000032</v>
      </c>
      <c r="Y108" s="7">
        <f t="shared" si="46"/>
        <v>3025.0000000000032</v>
      </c>
      <c r="Z108" s="7">
        <f t="shared" si="46"/>
        <v>3025.0000000001064</v>
      </c>
      <c r="AA108" s="7">
        <f t="shared" si="46"/>
        <v>3025.0000000000969</v>
      </c>
      <c r="AB108" s="7">
        <f t="shared" si="46"/>
        <v>3025.0000000000846</v>
      </c>
      <c r="AC108" s="7">
        <f t="shared" si="46"/>
        <v>3025.000000000075</v>
      </c>
      <c r="AD108" s="7">
        <f t="shared" si="46"/>
        <v>3025.0000000000628</v>
      </c>
      <c r="AE108" s="7">
        <f t="shared" si="46"/>
        <v>3025.00000000005</v>
      </c>
      <c r="AF108" s="7">
        <f t="shared" si="46"/>
        <v>3025.0000000000373</v>
      </c>
      <c r="AG108" s="7">
        <f t="shared" si="46"/>
        <v>3025.0000000000314</v>
      </c>
      <c r="AH108" s="7">
        <f t="shared" si="46"/>
        <v>3025.0000000000186</v>
      </c>
      <c r="AI108" s="7">
        <f t="shared" si="46"/>
        <v>3025.0000000000064</v>
      </c>
      <c r="AJ108" s="7">
        <f t="shared" si="46"/>
        <v>3025.0000000000064</v>
      </c>
      <c r="AK108" s="7">
        <f t="shared" si="46"/>
        <v>3025.0000000000064</v>
      </c>
      <c r="AL108" s="7">
        <f t="shared" si="46"/>
        <v>3025.0000000000064</v>
      </c>
      <c r="AM108" s="7">
        <f t="shared" si="46"/>
        <v>3025.0000000001187</v>
      </c>
      <c r="AN108" s="7">
        <f t="shared" si="46"/>
        <v>3025.0000000001</v>
      </c>
      <c r="AO108" s="7">
        <f t="shared" si="46"/>
        <v>3025.0000000000937</v>
      </c>
      <c r="AP108" s="7">
        <f t="shared" si="46"/>
        <v>3025.0000000000814</v>
      </c>
      <c r="AQ108" s="7">
        <f t="shared" si="46"/>
        <v>3025.0000000000687</v>
      </c>
      <c r="AR108" s="7">
        <f t="shared" si="46"/>
        <v>3025.0000000000564</v>
      </c>
      <c r="AS108" s="7">
        <f t="shared" si="46"/>
        <v>3025.00000000005</v>
      </c>
      <c r="AT108" s="7">
        <f t="shared" si="46"/>
        <v>3024.999999999925</v>
      </c>
      <c r="AU108" s="7">
        <f t="shared" si="46"/>
        <v>3025.0000000000373</v>
      </c>
      <c r="AV108" s="7">
        <f t="shared" si="46"/>
        <v>3025.000000000025</v>
      </c>
      <c r="AW108" s="7">
        <f t="shared" si="46"/>
        <v>3025.000000000025</v>
      </c>
      <c r="AX108" s="7">
        <f t="shared" si="46"/>
        <v>3025.000000000025</v>
      </c>
      <c r="AY108" s="7">
        <f t="shared" si="46"/>
        <v>3025.000000000025</v>
      </c>
      <c r="AZ108" s="7">
        <f t="shared" si="46"/>
        <v>3025.000000000025</v>
      </c>
      <c r="BA108" s="7">
        <f t="shared" si="46"/>
        <v>3025.000000000025</v>
      </c>
      <c r="BB108" s="7">
        <f t="shared" si="46"/>
        <v>3025.000000000025</v>
      </c>
      <c r="BC108" s="7">
        <f t="shared" si="46"/>
        <v>3025.000000000025</v>
      </c>
      <c r="BD108" s="7">
        <f t="shared" si="46"/>
        <v>3025.0000000000127</v>
      </c>
      <c r="BE108" s="7">
        <f t="shared" si="46"/>
        <v>3025.0000000000127</v>
      </c>
      <c r="BF108" s="7">
        <f t="shared" si="46"/>
        <v>3025.0000000000127</v>
      </c>
      <c r="BG108" s="7">
        <f t="shared" si="46"/>
        <v>3025.0000000000127</v>
      </c>
      <c r="BH108" s="7">
        <f t="shared" si="46"/>
        <v>3025.0000000000127</v>
      </c>
      <c r="BI108" s="7">
        <f t="shared" si="46"/>
        <v>3025.0000000000127</v>
      </c>
    </row>
    <row r="109" spans="1:63" x14ac:dyDescent="0.25">
      <c r="A109" s="38" t="s">
        <v>11</v>
      </c>
      <c r="B109" s="38">
        <v>9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3" x14ac:dyDescent="0.25">
      <c r="A110" s="8" t="s">
        <v>5</v>
      </c>
      <c r="B110" s="8">
        <f>AVERAGE(K108:BI108)</f>
        <v>3021.905376691172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3" x14ac:dyDescent="0.25">
      <c r="A111" s="7" t="s">
        <v>7</v>
      </c>
      <c r="B111" s="7">
        <f>SUM(BA104:BI104)/B109</f>
        <v>626.6666666666689</v>
      </c>
    </row>
    <row r="112" spans="1:63" x14ac:dyDescent="0.25">
      <c r="A112" s="31" t="s">
        <v>6</v>
      </c>
      <c r="B112" s="7" t="s">
        <v>62</v>
      </c>
      <c r="C112" s="7">
        <v>61</v>
      </c>
      <c r="D112" s="7">
        <v>62</v>
      </c>
      <c r="E112" s="7">
        <v>63</v>
      </c>
      <c r="F112" s="7">
        <v>64</v>
      </c>
      <c r="G112" s="7">
        <v>65</v>
      </c>
      <c r="H112" s="7">
        <v>66</v>
      </c>
      <c r="I112" s="7">
        <v>67</v>
      </c>
      <c r="J112" s="7">
        <v>68</v>
      </c>
      <c r="K112" s="7">
        <v>69</v>
      </c>
      <c r="L112" s="7">
        <v>70</v>
      </c>
      <c r="M112" s="7">
        <v>71</v>
      </c>
      <c r="N112" s="7">
        <v>72</v>
      </c>
    </row>
    <row r="113" spans="1:63" x14ac:dyDescent="0.25">
      <c r="C113" s="7">
        <f>$B$111</f>
        <v>626.6666666666689</v>
      </c>
      <c r="D113" s="7">
        <f t="shared" ref="D113:N113" si="47">$B$111</f>
        <v>626.6666666666689</v>
      </c>
      <c r="E113" s="7">
        <f t="shared" si="47"/>
        <v>626.6666666666689</v>
      </c>
      <c r="F113" s="7">
        <f t="shared" si="47"/>
        <v>626.6666666666689</v>
      </c>
      <c r="G113" s="7">
        <f t="shared" si="47"/>
        <v>626.6666666666689</v>
      </c>
      <c r="H113" s="7">
        <f t="shared" si="47"/>
        <v>626.6666666666689</v>
      </c>
      <c r="I113" s="7">
        <f t="shared" si="47"/>
        <v>626.6666666666689</v>
      </c>
      <c r="J113" s="7">
        <f t="shared" si="47"/>
        <v>626.6666666666689</v>
      </c>
      <c r="K113" s="7">
        <f t="shared" si="47"/>
        <v>626.6666666666689</v>
      </c>
      <c r="L113" s="7">
        <f t="shared" si="47"/>
        <v>626.6666666666689</v>
      </c>
      <c r="M113" s="7">
        <f t="shared" si="47"/>
        <v>626.6666666666689</v>
      </c>
      <c r="N113" s="7">
        <f t="shared" si="47"/>
        <v>626.6666666666689</v>
      </c>
    </row>
    <row r="116" spans="1:63" x14ac:dyDescent="0.25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</row>
    <row r="118" spans="1:63" x14ac:dyDescent="0.25">
      <c r="A118" s="13" t="s">
        <v>1</v>
      </c>
      <c r="B118" s="13">
        <v>1</v>
      </c>
      <c r="C118" s="13">
        <v>2</v>
      </c>
      <c r="D118" s="13">
        <v>3</v>
      </c>
      <c r="E118" s="13">
        <v>4</v>
      </c>
      <c r="F118" s="13">
        <v>5</v>
      </c>
      <c r="G118" s="13">
        <v>6</v>
      </c>
      <c r="H118" s="13">
        <v>7</v>
      </c>
      <c r="I118" s="13">
        <v>8</v>
      </c>
      <c r="J118" s="13">
        <v>9</v>
      </c>
      <c r="K118" s="13">
        <v>10</v>
      </c>
      <c r="L118" s="13">
        <v>11</v>
      </c>
      <c r="M118" s="13">
        <v>12</v>
      </c>
      <c r="N118" s="13">
        <v>13</v>
      </c>
      <c r="O118" s="13">
        <v>14</v>
      </c>
      <c r="P118" s="13">
        <v>15</v>
      </c>
      <c r="Q118" s="13">
        <v>16</v>
      </c>
      <c r="R118" s="13">
        <v>17</v>
      </c>
      <c r="S118" s="13">
        <v>18</v>
      </c>
      <c r="T118" s="13">
        <v>19</v>
      </c>
      <c r="U118" s="13">
        <v>20</v>
      </c>
      <c r="V118" s="13">
        <v>21</v>
      </c>
      <c r="W118" s="13">
        <v>22</v>
      </c>
      <c r="X118" s="13">
        <v>23</v>
      </c>
      <c r="Y118" s="13">
        <v>24</v>
      </c>
      <c r="Z118" s="13">
        <v>25</v>
      </c>
      <c r="AA118" s="13">
        <v>26</v>
      </c>
      <c r="AB118" s="13">
        <v>27</v>
      </c>
      <c r="AC118" s="13">
        <v>28</v>
      </c>
      <c r="AD118" s="13">
        <v>29</v>
      </c>
      <c r="AE118" s="13">
        <v>30</v>
      </c>
      <c r="AF118" s="13">
        <v>31</v>
      </c>
      <c r="AG118" s="13">
        <v>32</v>
      </c>
      <c r="AH118" s="13">
        <v>33</v>
      </c>
      <c r="AI118" s="13">
        <v>34</v>
      </c>
      <c r="AJ118" s="13">
        <v>35</v>
      </c>
      <c r="AK118" s="13">
        <v>36</v>
      </c>
      <c r="AL118" s="13">
        <v>37</v>
      </c>
      <c r="AM118" s="13">
        <v>38</v>
      </c>
      <c r="AN118" s="13">
        <v>39</v>
      </c>
      <c r="AO118" s="13">
        <v>40</v>
      </c>
      <c r="AP118" s="13">
        <v>41</v>
      </c>
      <c r="AQ118" s="13">
        <v>42</v>
      </c>
      <c r="AR118" s="13">
        <v>43</v>
      </c>
      <c r="AS118" s="13">
        <v>44</v>
      </c>
      <c r="AT118" s="13">
        <v>45</v>
      </c>
      <c r="AU118" s="13">
        <v>46</v>
      </c>
      <c r="AV118" s="13">
        <v>47</v>
      </c>
      <c r="AW118" s="13">
        <v>48</v>
      </c>
      <c r="AX118" s="13">
        <v>49</v>
      </c>
      <c r="AY118" s="13">
        <v>50</v>
      </c>
      <c r="AZ118" s="13">
        <v>51</v>
      </c>
      <c r="BA118" s="13">
        <v>52</v>
      </c>
      <c r="BB118" s="13">
        <v>53</v>
      </c>
      <c r="BC118" s="13">
        <v>54</v>
      </c>
      <c r="BD118" s="13">
        <v>55</v>
      </c>
      <c r="BE118" s="13">
        <v>56</v>
      </c>
      <c r="BF118" s="13">
        <v>57</v>
      </c>
      <c r="BG118" s="13">
        <v>58</v>
      </c>
      <c r="BH118" s="13">
        <v>59</v>
      </c>
      <c r="BI118" s="13">
        <v>60</v>
      </c>
    </row>
    <row r="119" spans="1:63" x14ac:dyDescent="0.25">
      <c r="A119" s="13" t="s">
        <v>0</v>
      </c>
      <c r="B119" s="37">
        <f>'הזנת נתונים'!A66</f>
        <v>28</v>
      </c>
      <c r="C119" s="37">
        <f>'הזנת נתונים'!B66</f>
        <v>35</v>
      </c>
      <c r="D119" s="37">
        <f>'הזנת נתונים'!C66</f>
        <v>40</v>
      </c>
      <c r="E119" s="37">
        <f>'הזנת נתונים'!D66</f>
        <v>55</v>
      </c>
      <c r="F119" s="37">
        <f>'הזנת נתונים'!E66</f>
        <v>70</v>
      </c>
      <c r="G119" s="37">
        <f>'הזנת נתונים'!F66</f>
        <v>75</v>
      </c>
      <c r="H119" s="37">
        <f>'הזנת נתונים'!G66</f>
        <v>87.6666666666667</v>
      </c>
      <c r="I119" s="37">
        <f>'הזנת נתונים'!H66</f>
        <v>98.6666666666667</v>
      </c>
      <c r="J119" s="37">
        <f>'הזנת נתונים'!I66</f>
        <v>109.666666666667</v>
      </c>
      <c r="K119" s="37">
        <f>'הזנת נתונים'!J66</f>
        <v>120.666666666667</v>
      </c>
      <c r="L119" s="37">
        <f>'הזנת נתונים'!K66</f>
        <v>131.666666666667</v>
      </c>
      <c r="M119" s="37">
        <f>'הזנת נתונים'!L66</f>
        <v>142.666666666667</v>
      </c>
      <c r="N119" s="37">
        <f>'הזנת נתונים'!M66</f>
        <v>153.666666666667</v>
      </c>
      <c r="O119" s="37">
        <f>'הזנת נתונים'!N66</f>
        <v>164.666666666667</v>
      </c>
      <c r="P119" s="37">
        <f>'הזנת נתונים'!O66</f>
        <v>175.666666666667</v>
      </c>
      <c r="Q119" s="37">
        <f>'הזנת נתונים'!P66</f>
        <v>186.666666666667</v>
      </c>
      <c r="R119" s="37">
        <f>'הזנת נתונים'!Q66</f>
        <v>197.666666666667</v>
      </c>
      <c r="S119" s="37">
        <f>'הזנת נתונים'!R66</f>
        <v>208.666666666667</v>
      </c>
      <c r="T119" s="37">
        <f>'הזנת נתונים'!S66</f>
        <v>219.666666666667</v>
      </c>
      <c r="U119" s="37">
        <f>'הזנת נתונים'!T66</f>
        <v>230.666666666667</v>
      </c>
      <c r="V119" s="37">
        <f>'הזנת נתונים'!U66</f>
        <v>241.666666666667</v>
      </c>
      <c r="W119" s="37">
        <f>'הזנת נתונים'!V66</f>
        <v>252.666666666667</v>
      </c>
      <c r="X119" s="37">
        <f>'הזנת נתונים'!W66</f>
        <v>263.66666666666703</v>
      </c>
      <c r="Y119" s="37">
        <f>'הזנת נתונים'!X66</f>
        <v>274.66666666666703</v>
      </c>
      <c r="Z119" s="37">
        <f>'הזנת נתונים'!Y66</f>
        <v>285.66666666666799</v>
      </c>
      <c r="AA119" s="37">
        <f>'הזנת נתונים'!Z66</f>
        <v>296.66666666666799</v>
      </c>
      <c r="AB119" s="37">
        <f>'הזנת נתונים'!AA66</f>
        <v>307.66666666666799</v>
      </c>
      <c r="AC119" s="37">
        <f>'הזנת נתונים'!AB66</f>
        <v>318.66666666666799</v>
      </c>
      <c r="AD119" s="37">
        <f>'הזנת נתונים'!AC66</f>
        <v>329.66666666666799</v>
      </c>
      <c r="AE119" s="37">
        <f>'הזנת נתונים'!AD66</f>
        <v>340.66666666666799</v>
      </c>
      <c r="AF119" s="37">
        <f>'הזנת נתונים'!AE66</f>
        <v>351.66666666666799</v>
      </c>
      <c r="AG119" s="37">
        <f>'הזנת נתונים'!AF66</f>
        <v>362.66666666666799</v>
      </c>
      <c r="AH119" s="37">
        <f>'הזנת נתונים'!AG66</f>
        <v>373.66666666666799</v>
      </c>
      <c r="AI119" s="37">
        <f>'הזנת נתונים'!AH66</f>
        <v>384.66666666666799</v>
      </c>
      <c r="AJ119" s="37">
        <f>'הזנת נתונים'!AI66</f>
        <v>395.66666666666799</v>
      </c>
      <c r="AK119" s="37">
        <f>'הזנת נתונים'!AJ66</f>
        <v>406.66666666666799</v>
      </c>
      <c r="AL119" s="37">
        <f>'הזנת נתונים'!AK66</f>
        <v>417.66666666666799</v>
      </c>
      <c r="AM119" s="37">
        <f>'הזנת נתונים'!AL66</f>
        <v>428.66666666666902</v>
      </c>
      <c r="AN119" s="37">
        <f>'הזנת נתונים'!AM66</f>
        <v>439.66666666666902</v>
      </c>
      <c r="AO119" s="37">
        <f>'הזנת נתונים'!AN66</f>
        <v>450.66666666666902</v>
      </c>
      <c r="AP119" s="37">
        <f>'הזנת נתונים'!AO66</f>
        <v>461.66666666666902</v>
      </c>
      <c r="AQ119" s="37">
        <f>'הזנת נתונים'!AP66</f>
        <v>472.66666666666902</v>
      </c>
      <c r="AR119" s="37">
        <f>'הזנת נתונים'!AQ66</f>
        <v>483.66666666666902</v>
      </c>
      <c r="AS119" s="37">
        <f>'הזנת נתונים'!AR66</f>
        <v>494.66666666666902</v>
      </c>
      <c r="AT119" s="37">
        <f>'הזנת נתונים'!AS66</f>
        <v>505.66666666666799</v>
      </c>
      <c r="AU119" s="37">
        <f>'הזנת נתונים'!AT66</f>
        <v>516.66666666666902</v>
      </c>
      <c r="AV119" s="37">
        <f>'הזנת נתונים'!AU66</f>
        <v>527.66666666666902</v>
      </c>
      <c r="AW119" s="37">
        <f>'הזנת נתונים'!AV66</f>
        <v>538.66666666666902</v>
      </c>
      <c r="AX119" s="37">
        <f>'הזנת נתונים'!AW66</f>
        <v>549.66666666666902</v>
      </c>
      <c r="AY119" s="37">
        <f>'הזנת נתונים'!AX66</f>
        <v>560.66666666666902</v>
      </c>
      <c r="AZ119" s="37">
        <f>'הזנת נתונים'!AY66</f>
        <v>571.66666666666902</v>
      </c>
      <c r="BA119" s="37">
        <f>'הזנת נתונים'!AZ66</f>
        <v>582.66666666666902</v>
      </c>
      <c r="BB119" s="37">
        <f>'הזנת נתונים'!BA66</f>
        <v>593.66666666666902</v>
      </c>
      <c r="BC119" s="37">
        <f>'הזנת נתונים'!BB66</f>
        <v>604.66666666666902</v>
      </c>
      <c r="BD119" s="37">
        <f>'הזנת נתונים'!BC66</f>
        <v>615.66666666666902</v>
      </c>
      <c r="BE119" s="37">
        <f>'הזנת נתונים'!BD66</f>
        <v>626.66666666666902</v>
      </c>
      <c r="BF119" s="37">
        <f>'הזנת נתונים'!BE66</f>
        <v>637.66666666666902</v>
      </c>
      <c r="BG119" s="37">
        <f>'הזנת נתונים'!BF66</f>
        <v>648.66666666666902</v>
      </c>
      <c r="BH119" s="37">
        <f>'הזנת נתונים'!BG66</f>
        <v>659.66666666666902</v>
      </c>
      <c r="BI119" s="37">
        <f>'הזנת נתונים'!BH66</f>
        <v>670.66666666666902</v>
      </c>
    </row>
    <row r="120" spans="1:63" x14ac:dyDescent="0.25">
      <c r="A120" s="13" t="s">
        <v>2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>
        <f t="shared" ref="K120:AP120" si="48">AVERAGE(B119:K119)</f>
        <v>71.966666666666725</v>
      </c>
      <c r="L120">
        <f t="shared" si="48"/>
        <v>82.333333333333428</v>
      </c>
      <c r="M120">
        <f t="shared" si="48"/>
        <v>93.100000000000122</v>
      </c>
      <c r="N120">
        <f t="shared" si="48"/>
        <v>104.46666666666684</v>
      </c>
      <c r="O120">
        <f t="shared" si="48"/>
        <v>115.43333333333354</v>
      </c>
      <c r="P120">
        <f t="shared" si="48"/>
        <v>126.00000000000023</v>
      </c>
      <c r="Q120">
        <f t="shared" si="48"/>
        <v>137.16666666666691</v>
      </c>
      <c r="R120">
        <f t="shared" si="48"/>
        <v>148.16666666666694</v>
      </c>
      <c r="S120">
        <f t="shared" si="48"/>
        <v>159.166666666667</v>
      </c>
      <c r="T120">
        <f t="shared" si="48"/>
        <v>170.166666666667</v>
      </c>
      <c r="U120">
        <f t="shared" si="48"/>
        <v>181.166666666667</v>
      </c>
      <c r="V120">
        <f t="shared" si="48"/>
        <v>192.166666666667</v>
      </c>
      <c r="W120">
        <f t="shared" si="48"/>
        <v>203.166666666667</v>
      </c>
      <c r="X120">
        <f t="shared" si="48"/>
        <v>214.16666666666703</v>
      </c>
      <c r="Y120">
        <f t="shared" si="48"/>
        <v>225.16666666666703</v>
      </c>
      <c r="Z120">
        <f t="shared" si="48"/>
        <v>236.16666666666711</v>
      </c>
      <c r="AA120">
        <f t="shared" si="48"/>
        <v>247.1666666666672</v>
      </c>
      <c r="AB120">
        <f t="shared" si="48"/>
        <v>258.16666666666731</v>
      </c>
      <c r="AC120">
        <f t="shared" si="48"/>
        <v>269.16666666666737</v>
      </c>
      <c r="AD120">
        <f t="shared" si="48"/>
        <v>280.16666666666748</v>
      </c>
      <c r="AE120">
        <f t="shared" si="48"/>
        <v>291.16666666666754</v>
      </c>
      <c r="AF120">
        <f t="shared" si="48"/>
        <v>302.16666666666765</v>
      </c>
      <c r="AG120">
        <f t="shared" si="48"/>
        <v>313.16666666666777</v>
      </c>
      <c r="AH120">
        <f t="shared" si="48"/>
        <v>324.16666666666782</v>
      </c>
      <c r="AI120">
        <f t="shared" si="48"/>
        <v>335.16666666666794</v>
      </c>
      <c r="AJ120">
        <f t="shared" si="48"/>
        <v>346.16666666666794</v>
      </c>
      <c r="AK120">
        <f t="shared" si="48"/>
        <v>357.16666666666794</v>
      </c>
      <c r="AL120">
        <f t="shared" si="48"/>
        <v>368.16666666666794</v>
      </c>
      <c r="AM120">
        <f t="shared" si="48"/>
        <v>379.16666666666805</v>
      </c>
      <c r="AN120">
        <f t="shared" si="48"/>
        <v>390.16666666666816</v>
      </c>
      <c r="AO120">
        <f t="shared" si="48"/>
        <v>401.16666666666822</v>
      </c>
      <c r="AP120">
        <f t="shared" si="48"/>
        <v>412.16666666666833</v>
      </c>
      <c r="AQ120">
        <f t="shared" ref="AQ120:BI120" si="49">AVERAGE(AH119:AQ119)</f>
        <v>423.16666666666845</v>
      </c>
      <c r="AR120">
        <f t="shared" si="49"/>
        <v>434.1666666666685</v>
      </c>
      <c r="AS120">
        <f t="shared" si="49"/>
        <v>445.16666666666862</v>
      </c>
      <c r="AT120">
        <f t="shared" si="49"/>
        <v>456.16666666666862</v>
      </c>
      <c r="AU120">
        <f t="shared" si="49"/>
        <v>467.16666666666868</v>
      </c>
      <c r="AV120">
        <f t="shared" si="49"/>
        <v>478.16666666666879</v>
      </c>
      <c r="AW120">
        <f t="shared" si="49"/>
        <v>489.16666666666879</v>
      </c>
      <c r="AX120">
        <f t="shared" si="49"/>
        <v>500.16666666666879</v>
      </c>
      <c r="AY120">
        <f t="shared" si="49"/>
        <v>511.16666666666879</v>
      </c>
      <c r="AZ120">
        <f t="shared" si="49"/>
        <v>522.16666666666879</v>
      </c>
      <c r="BA120">
        <f t="shared" si="49"/>
        <v>533.16666666666879</v>
      </c>
      <c r="BB120">
        <f t="shared" si="49"/>
        <v>544.16666666666879</v>
      </c>
      <c r="BC120">
        <f t="shared" si="49"/>
        <v>555.16666666666879</v>
      </c>
      <c r="BD120">
        <f t="shared" si="49"/>
        <v>566.1666666666689</v>
      </c>
      <c r="BE120">
        <f t="shared" si="49"/>
        <v>577.1666666666689</v>
      </c>
      <c r="BF120">
        <f t="shared" si="49"/>
        <v>588.1666666666689</v>
      </c>
      <c r="BG120">
        <f t="shared" si="49"/>
        <v>599.1666666666689</v>
      </c>
      <c r="BH120">
        <f t="shared" si="49"/>
        <v>610.1666666666689</v>
      </c>
      <c r="BI120">
        <f t="shared" si="49"/>
        <v>621.1666666666689</v>
      </c>
    </row>
    <row r="121" spans="1:63" x14ac:dyDescent="0.25">
      <c r="A121" s="13" t="s">
        <v>9</v>
      </c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>
        <f>K120</f>
        <v>71.966666666666725</v>
      </c>
      <c r="M121" s="7">
        <f t="shared" ref="M121:BI121" si="50">L120</f>
        <v>82.333333333333428</v>
      </c>
      <c r="N121" s="7">
        <f t="shared" si="50"/>
        <v>93.100000000000122</v>
      </c>
      <c r="O121" s="7">
        <f t="shared" si="50"/>
        <v>104.46666666666684</v>
      </c>
      <c r="P121" s="7">
        <f t="shared" si="50"/>
        <v>115.43333333333354</v>
      </c>
      <c r="Q121" s="7">
        <f t="shared" si="50"/>
        <v>126.00000000000023</v>
      </c>
      <c r="R121" s="7">
        <f t="shared" si="50"/>
        <v>137.16666666666691</v>
      </c>
      <c r="S121" s="7">
        <f t="shared" si="50"/>
        <v>148.16666666666694</v>
      </c>
      <c r="T121" s="7">
        <f t="shared" si="50"/>
        <v>159.166666666667</v>
      </c>
      <c r="U121" s="7">
        <f t="shared" si="50"/>
        <v>170.166666666667</v>
      </c>
      <c r="V121" s="7">
        <f t="shared" si="50"/>
        <v>181.166666666667</v>
      </c>
      <c r="W121" s="7">
        <f t="shared" si="50"/>
        <v>192.166666666667</v>
      </c>
      <c r="X121" s="7">
        <f t="shared" si="50"/>
        <v>203.166666666667</v>
      </c>
      <c r="Y121" s="7">
        <f t="shared" si="50"/>
        <v>214.16666666666703</v>
      </c>
      <c r="Z121" s="7">
        <f t="shared" si="50"/>
        <v>225.16666666666703</v>
      </c>
      <c r="AA121" s="7">
        <f t="shared" si="50"/>
        <v>236.16666666666711</v>
      </c>
      <c r="AB121" s="7">
        <f t="shared" si="50"/>
        <v>247.1666666666672</v>
      </c>
      <c r="AC121" s="7">
        <f t="shared" si="50"/>
        <v>258.16666666666731</v>
      </c>
      <c r="AD121" s="7">
        <f t="shared" si="50"/>
        <v>269.16666666666737</v>
      </c>
      <c r="AE121" s="7">
        <f t="shared" si="50"/>
        <v>280.16666666666748</v>
      </c>
      <c r="AF121" s="7">
        <f t="shared" si="50"/>
        <v>291.16666666666754</v>
      </c>
      <c r="AG121" s="7">
        <f t="shared" si="50"/>
        <v>302.16666666666765</v>
      </c>
      <c r="AH121" s="7">
        <f t="shared" si="50"/>
        <v>313.16666666666777</v>
      </c>
      <c r="AI121" s="7">
        <f t="shared" si="50"/>
        <v>324.16666666666782</v>
      </c>
      <c r="AJ121" s="7">
        <f t="shared" si="50"/>
        <v>335.16666666666794</v>
      </c>
      <c r="AK121" s="7">
        <f t="shared" si="50"/>
        <v>346.16666666666794</v>
      </c>
      <c r="AL121" s="7">
        <f t="shared" si="50"/>
        <v>357.16666666666794</v>
      </c>
      <c r="AM121" s="7">
        <f t="shared" si="50"/>
        <v>368.16666666666794</v>
      </c>
      <c r="AN121" s="7">
        <f t="shared" si="50"/>
        <v>379.16666666666805</v>
      </c>
      <c r="AO121" s="7">
        <f t="shared" si="50"/>
        <v>390.16666666666816</v>
      </c>
      <c r="AP121" s="7">
        <f t="shared" si="50"/>
        <v>401.16666666666822</v>
      </c>
      <c r="AQ121" s="7">
        <f t="shared" si="50"/>
        <v>412.16666666666833</v>
      </c>
      <c r="AR121" s="7">
        <f t="shared" si="50"/>
        <v>423.16666666666845</v>
      </c>
      <c r="AS121" s="7">
        <f t="shared" si="50"/>
        <v>434.1666666666685</v>
      </c>
      <c r="AT121" s="7">
        <f t="shared" si="50"/>
        <v>445.16666666666862</v>
      </c>
      <c r="AU121" s="7">
        <f t="shared" si="50"/>
        <v>456.16666666666862</v>
      </c>
      <c r="AV121" s="7">
        <f t="shared" si="50"/>
        <v>467.16666666666868</v>
      </c>
      <c r="AW121" s="7">
        <f t="shared" si="50"/>
        <v>478.16666666666879</v>
      </c>
      <c r="AX121" s="7">
        <f t="shared" si="50"/>
        <v>489.16666666666879</v>
      </c>
      <c r="AY121" s="7">
        <f t="shared" si="50"/>
        <v>500.16666666666879</v>
      </c>
      <c r="AZ121" s="7">
        <f t="shared" si="50"/>
        <v>511.16666666666879</v>
      </c>
      <c r="BA121" s="7">
        <f t="shared" si="50"/>
        <v>522.16666666666879</v>
      </c>
      <c r="BB121" s="7">
        <f t="shared" si="50"/>
        <v>533.16666666666879</v>
      </c>
      <c r="BC121" s="7">
        <f t="shared" si="50"/>
        <v>544.16666666666879</v>
      </c>
      <c r="BD121" s="7">
        <f t="shared" si="50"/>
        <v>555.16666666666879</v>
      </c>
      <c r="BE121" s="7">
        <f t="shared" si="50"/>
        <v>566.1666666666689</v>
      </c>
      <c r="BF121" s="7">
        <f t="shared" si="50"/>
        <v>577.1666666666689</v>
      </c>
      <c r="BG121" s="7">
        <f t="shared" si="50"/>
        <v>588.1666666666689</v>
      </c>
      <c r="BH121" s="7">
        <f t="shared" si="50"/>
        <v>599.1666666666689</v>
      </c>
      <c r="BI121" s="7">
        <f t="shared" si="50"/>
        <v>610.1666666666689</v>
      </c>
    </row>
    <row r="122" spans="1:63" x14ac:dyDescent="0.25">
      <c r="A122" s="13" t="s">
        <v>4</v>
      </c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>
        <f>L121-L119</f>
        <v>-59.700000000000273</v>
      </c>
      <c r="M122" s="7">
        <f t="shared" ref="M122:BI122" si="51">M121-M119</f>
        <v>-60.33333333333357</v>
      </c>
      <c r="N122" s="7">
        <f t="shared" si="51"/>
        <v>-60.566666666666876</v>
      </c>
      <c r="O122" s="7">
        <f t="shared" si="51"/>
        <v>-60.200000000000159</v>
      </c>
      <c r="P122" s="7">
        <f t="shared" si="51"/>
        <v>-60.233333333333462</v>
      </c>
      <c r="Q122" s="7">
        <f t="shared" si="51"/>
        <v>-60.666666666666771</v>
      </c>
      <c r="R122" s="7">
        <f t="shared" si="51"/>
        <v>-60.500000000000085</v>
      </c>
      <c r="S122" s="7">
        <f t="shared" si="51"/>
        <v>-60.500000000000057</v>
      </c>
      <c r="T122" s="7">
        <f t="shared" si="51"/>
        <v>-60.5</v>
      </c>
      <c r="U122" s="7">
        <f t="shared" si="51"/>
        <v>-60.5</v>
      </c>
      <c r="V122" s="7">
        <f t="shared" si="51"/>
        <v>-60.5</v>
      </c>
      <c r="W122" s="7">
        <f t="shared" si="51"/>
        <v>-60.5</v>
      </c>
      <c r="X122" s="7">
        <f t="shared" si="51"/>
        <v>-60.500000000000028</v>
      </c>
      <c r="Y122" s="7">
        <f t="shared" si="51"/>
        <v>-60.5</v>
      </c>
      <c r="Z122" s="7">
        <f t="shared" si="51"/>
        <v>-60.500000000000966</v>
      </c>
      <c r="AA122" s="7">
        <f t="shared" si="51"/>
        <v>-60.500000000000881</v>
      </c>
      <c r="AB122" s="7">
        <f t="shared" si="51"/>
        <v>-60.500000000000796</v>
      </c>
      <c r="AC122" s="7">
        <f t="shared" si="51"/>
        <v>-60.500000000000682</v>
      </c>
      <c r="AD122" s="7">
        <f t="shared" si="51"/>
        <v>-60.500000000000625</v>
      </c>
      <c r="AE122" s="7">
        <f t="shared" si="51"/>
        <v>-60.500000000000512</v>
      </c>
      <c r="AF122" s="7">
        <f t="shared" si="51"/>
        <v>-60.500000000000455</v>
      </c>
      <c r="AG122" s="7">
        <f t="shared" si="51"/>
        <v>-60.500000000000341</v>
      </c>
      <c r="AH122" s="7">
        <f t="shared" si="51"/>
        <v>-60.500000000000227</v>
      </c>
      <c r="AI122" s="7">
        <f t="shared" si="51"/>
        <v>-60.500000000000171</v>
      </c>
      <c r="AJ122" s="7">
        <f t="shared" si="51"/>
        <v>-60.500000000000057</v>
      </c>
      <c r="AK122" s="7">
        <f t="shared" si="51"/>
        <v>-60.500000000000057</v>
      </c>
      <c r="AL122" s="7">
        <f t="shared" si="51"/>
        <v>-60.500000000000057</v>
      </c>
      <c r="AM122" s="7">
        <f t="shared" si="51"/>
        <v>-60.50000000000108</v>
      </c>
      <c r="AN122" s="7">
        <f t="shared" si="51"/>
        <v>-60.500000000000966</v>
      </c>
      <c r="AO122" s="7">
        <f t="shared" si="51"/>
        <v>-60.500000000000853</v>
      </c>
      <c r="AP122" s="7">
        <f t="shared" si="51"/>
        <v>-60.500000000000796</v>
      </c>
      <c r="AQ122" s="7">
        <f t="shared" si="51"/>
        <v>-60.500000000000682</v>
      </c>
      <c r="AR122" s="7">
        <f t="shared" si="51"/>
        <v>-60.500000000000568</v>
      </c>
      <c r="AS122" s="7">
        <f t="shared" si="51"/>
        <v>-60.500000000000512</v>
      </c>
      <c r="AT122" s="7">
        <f t="shared" si="51"/>
        <v>-60.499999999999375</v>
      </c>
      <c r="AU122" s="7">
        <f t="shared" si="51"/>
        <v>-60.500000000000398</v>
      </c>
      <c r="AV122" s="7">
        <f t="shared" si="51"/>
        <v>-60.500000000000341</v>
      </c>
      <c r="AW122" s="7">
        <f t="shared" si="51"/>
        <v>-60.500000000000227</v>
      </c>
      <c r="AX122" s="7">
        <f t="shared" si="51"/>
        <v>-60.500000000000227</v>
      </c>
      <c r="AY122" s="7">
        <f t="shared" si="51"/>
        <v>-60.500000000000227</v>
      </c>
      <c r="AZ122" s="7">
        <f t="shared" si="51"/>
        <v>-60.500000000000227</v>
      </c>
      <c r="BA122" s="7">
        <f t="shared" si="51"/>
        <v>-60.500000000000227</v>
      </c>
      <c r="BB122" s="7">
        <f t="shared" si="51"/>
        <v>-60.500000000000227</v>
      </c>
      <c r="BC122" s="7">
        <f t="shared" si="51"/>
        <v>-60.500000000000227</v>
      </c>
      <c r="BD122" s="7">
        <f t="shared" si="51"/>
        <v>-60.500000000000227</v>
      </c>
      <c r="BE122" s="7">
        <f t="shared" si="51"/>
        <v>-60.500000000000114</v>
      </c>
      <c r="BF122" s="7">
        <f t="shared" si="51"/>
        <v>-60.500000000000114</v>
      </c>
      <c r="BG122" s="7">
        <f t="shared" si="51"/>
        <v>-60.500000000000114</v>
      </c>
      <c r="BH122" s="7">
        <f t="shared" si="51"/>
        <v>-60.500000000000114</v>
      </c>
      <c r="BI122" s="7">
        <f t="shared" si="51"/>
        <v>-60.500000000000114</v>
      </c>
    </row>
    <row r="123" spans="1:63" x14ac:dyDescent="0.25">
      <c r="A123" s="13" t="s">
        <v>12</v>
      </c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>
        <f>L122^2</f>
        <v>3564.0900000000324</v>
      </c>
      <c r="M123" s="7">
        <f t="shared" ref="M123:BI123" si="52">M122^2</f>
        <v>3640.1111111111395</v>
      </c>
      <c r="N123" s="7">
        <f t="shared" si="52"/>
        <v>3668.3211111111364</v>
      </c>
      <c r="O123" s="7">
        <f t="shared" si="52"/>
        <v>3624.0400000000191</v>
      </c>
      <c r="P123" s="7">
        <f t="shared" si="52"/>
        <v>3628.0544444444599</v>
      </c>
      <c r="Q123" s="7">
        <f t="shared" si="52"/>
        <v>3680.4444444444571</v>
      </c>
      <c r="R123" s="7">
        <f t="shared" si="52"/>
        <v>3660.2500000000105</v>
      </c>
      <c r="S123" s="7">
        <f t="shared" si="52"/>
        <v>3660.2500000000068</v>
      </c>
      <c r="T123" s="7">
        <f t="shared" si="52"/>
        <v>3660.25</v>
      </c>
      <c r="U123" s="7">
        <f t="shared" si="52"/>
        <v>3660.25</v>
      </c>
      <c r="V123" s="7">
        <f t="shared" si="52"/>
        <v>3660.25</v>
      </c>
      <c r="W123" s="7">
        <f t="shared" si="52"/>
        <v>3660.25</v>
      </c>
      <c r="X123" s="7">
        <f t="shared" si="52"/>
        <v>3660.2500000000036</v>
      </c>
      <c r="Y123" s="7">
        <f t="shared" si="52"/>
        <v>3660.25</v>
      </c>
      <c r="Z123" s="7">
        <f t="shared" si="52"/>
        <v>3660.2500000001169</v>
      </c>
      <c r="AA123" s="7">
        <f t="shared" si="52"/>
        <v>3660.2500000001064</v>
      </c>
      <c r="AB123" s="7">
        <f t="shared" si="52"/>
        <v>3660.2500000000964</v>
      </c>
      <c r="AC123" s="7">
        <f t="shared" si="52"/>
        <v>3660.2500000000828</v>
      </c>
      <c r="AD123" s="7">
        <f t="shared" si="52"/>
        <v>3660.2500000000755</v>
      </c>
      <c r="AE123" s="7">
        <f t="shared" si="52"/>
        <v>3660.2500000000618</v>
      </c>
      <c r="AF123" s="7">
        <f t="shared" si="52"/>
        <v>3660.250000000055</v>
      </c>
      <c r="AG123" s="7">
        <f t="shared" si="52"/>
        <v>3660.2500000000414</v>
      </c>
      <c r="AH123" s="7">
        <f t="shared" si="52"/>
        <v>3660.2500000000273</v>
      </c>
      <c r="AI123" s="7">
        <f t="shared" si="52"/>
        <v>3660.2500000000205</v>
      </c>
      <c r="AJ123" s="7">
        <f t="shared" si="52"/>
        <v>3660.2500000000068</v>
      </c>
      <c r="AK123" s="7">
        <f t="shared" si="52"/>
        <v>3660.2500000000068</v>
      </c>
      <c r="AL123" s="7">
        <f t="shared" si="52"/>
        <v>3660.2500000000068</v>
      </c>
      <c r="AM123" s="7">
        <f t="shared" si="52"/>
        <v>3660.2500000001305</v>
      </c>
      <c r="AN123" s="7">
        <f t="shared" si="52"/>
        <v>3660.2500000001169</v>
      </c>
      <c r="AO123" s="7">
        <f t="shared" si="52"/>
        <v>3660.2500000001032</v>
      </c>
      <c r="AP123" s="7">
        <f t="shared" si="52"/>
        <v>3660.2500000000964</v>
      </c>
      <c r="AQ123" s="7">
        <f t="shared" si="52"/>
        <v>3660.2500000000828</v>
      </c>
      <c r="AR123" s="7">
        <f t="shared" si="52"/>
        <v>3660.2500000000687</v>
      </c>
      <c r="AS123" s="7">
        <f t="shared" si="52"/>
        <v>3660.2500000000618</v>
      </c>
      <c r="AT123" s="7">
        <f t="shared" si="52"/>
        <v>3660.2499999999245</v>
      </c>
      <c r="AU123" s="7">
        <f t="shared" si="52"/>
        <v>3660.2500000000482</v>
      </c>
      <c r="AV123" s="7">
        <f t="shared" si="52"/>
        <v>3660.2500000000414</v>
      </c>
      <c r="AW123" s="7">
        <f t="shared" si="52"/>
        <v>3660.2500000000273</v>
      </c>
      <c r="AX123" s="7">
        <f t="shared" si="52"/>
        <v>3660.2500000000273</v>
      </c>
      <c r="AY123" s="7">
        <f t="shared" si="52"/>
        <v>3660.2500000000273</v>
      </c>
      <c r="AZ123" s="7">
        <f t="shared" si="52"/>
        <v>3660.2500000000273</v>
      </c>
      <c r="BA123" s="7">
        <f t="shared" si="52"/>
        <v>3660.2500000000273</v>
      </c>
      <c r="BB123" s="7">
        <f t="shared" si="52"/>
        <v>3660.2500000000273</v>
      </c>
      <c r="BC123" s="7">
        <f t="shared" si="52"/>
        <v>3660.2500000000273</v>
      </c>
      <c r="BD123" s="7">
        <f t="shared" si="52"/>
        <v>3660.2500000000273</v>
      </c>
      <c r="BE123" s="7">
        <f t="shared" si="52"/>
        <v>3660.2500000000136</v>
      </c>
      <c r="BF123" s="7">
        <f t="shared" si="52"/>
        <v>3660.2500000000136</v>
      </c>
      <c r="BG123" s="7">
        <f t="shared" si="52"/>
        <v>3660.2500000000136</v>
      </c>
      <c r="BH123" s="7">
        <f t="shared" si="52"/>
        <v>3660.2500000000136</v>
      </c>
      <c r="BI123" s="7">
        <f t="shared" si="52"/>
        <v>3660.2500000000136</v>
      </c>
    </row>
    <row r="124" spans="1:63" x14ac:dyDescent="0.25">
      <c r="A124" s="38" t="s">
        <v>11</v>
      </c>
      <c r="B124" s="38">
        <v>10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3" x14ac:dyDescent="0.25">
      <c r="A125" s="8" t="s">
        <v>5</v>
      </c>
      <c r="B125" s="8">
        <f>AVERAGE(G123:BI123)</f>
        <v>3657.1212222222571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3" x14ac:dyDescent="0.25">
      <c r="A126" s="7" t="s">
        <v>7</v>
      </c>
      <c r="B126" s="7">
        <f>SUM(AZ119:BI119)/B124</f>
        <v>621.1666666666689</v>
      </c>
    </row>
    <row r="127" spans="1:63" x14ac:dyDescent="0.25">
      <c r="A127" s="31" t="s">
        <v>6</v>
      </c>
      <c r="B127" s="7" t="s">
        <v>62</v>
      </c>
      <c r="C127" s="7">
        <v>61</v>
      </c>
      <c r="D127" s="7">
        <v>62</v>
      </c>
      <c r="E127" s="7">
        <v>63</v>
      </c>
      <c r="F127" s="7">
        <v>64</v>
      </c>
      <c r="G127" s="7">
        <v>65</v>
      </c>
      <c r="H127" s="7">
        <v>66</v>
      </c>
      <c r="I127" s="7">
        <v>67</v>
      </c>
      <c r="J127" s="7">
        <v>68</v>
      </c>
      <c r="K127" s="7">
        <v>69</v>
      </c>
      <c r="L127" s="7">
        <v>70</v>
      </c>
      <c r="M127" s="7">
        <v>71</v>
      </c>
      <c r="N127" s="7">
        <v>72</v>
      </c>
    </row>
    <row r="128" spans="1:63" x14ac:dyDescent="0.25"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</row>
    <row r="132" spans="1:63" x14ac:dyDescent="0.25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</row>
    <row r="134" spans="1:63" x14ac:dyDescent="0.25">
      <c r="A134" s="13" t="s">
        <v>1</v>
      </c>
      <c r="B134" s="13">
        <v>1</v>
      </c>
      <c r="C134" s="13">
        <v>2</v>
      </c>
      <c r="D134" s="13">
        <v>3</v>
      </c>
      <c r="E134" s="13">
        <v>4</v>
      </c>
      <c r="F134" s="13">
        <v>5</v>
      </c>
      <c r="G134" s="13">
        <v>6</v>
      </c>
      <c r="H134" s="13">
        <v>7</v>
      </c>
      <c r="I134" s="13">
        <v>8</v>
      </c>
      <c r="J134" s="13">
        <v>9</v>
      </c>
      <c r="K134" s="13">
        <v>10</v>
      </c>
      <c r="L134" s="13">
        <v>11</v>
      </c>
      <c r="M134" s="13">
        <v>12</v>
      </c>
      <c r="N134" s="13">
        <v>13</v>
      </c>
      <c r="O134" s="13">
        <v>14</v>
      </c>
      <c r="P134" s="13">
        <v>15</v>
      </c>
      <c r="Q134" s="13">
        <v>16</v>
      </c>
      <c r="R134" s="13">
        <v>17</v>
      </c>
      <c r="S134" s="13">
        <v>18</v>
      </c>
      <c r="T134" s="13">
        <v>19</v>
      </c>
      <c r="U134" s="13">
        <v>20</v>
      </c>
      <c r="V134" s="13">
        <v>21</v>
      </c>
      <c r="W134" s="13">
        <v>22</v>
      </c>
      <c r="X134" s="13">
        <v>23</v>
      </c>
      <c r="Y134" s="13">
        <v>24</v>
      </c>
      <c r="Z134" s="13">
        <v>25</v>
      </c>
      <c r="AA134" s="13">
        <v>26</v>
      </c>
      <c r="AB134" s="13">
        <v>27</v>
      </c>
      <c r="AC134" s="13">
        <v>28</v>
      </c>
      <c r="AD134" s="13">
        <v>29</v>
      </c>
      <c r="AE134" s="13">
        <v>30</v>
      </c>
      <c r="AF134" s="13">
        <v>31</v>
      </c>
      <c r="AG134" s="13">
        <v>32</v>
      </c>
      <c r="AH134" s="13">
        <v>33</v>
      </c>
      <c r="AI134" s="13">
        <v>34</v>
      </c>
      <c r="AJ134" s="13">
        <v>35</v>
      </c>
      <c r="AK134" s="13">
        <v>36</v>
      </c>
      <c r="AL134" s="13">
        <v>37</v>
      </c>
      <c r="AM134" s="13">
        <v>38</v>
      </c>
      <c r="AN134" s="13">
        <v>39</v>
      </c>
      <c r="AO134" s="13">
        <v>40</v>
      </c>
      <c r="AP134" s="13">
        <v>41</v>
      </c>
      <c r="AQ134" s="13">
        <v>42</v>
      </c>
      <c r="AR134" s="13">
        <v>43</v>
      </c>
      <c r="AS134" s="13">
        <v>44</v>
      </c>
      <c r="AT134" s="13">
        <v>45</v>
      </c>
      <c r="AU134" s="13">
        <v>46</v>
      </c>
      <c r="AV134" s="13">
        <v>47</v>
      </c>
      <c r="AW134" s="13">
        <v>48</v>
      </c>
      <c r="AX134" s="13">
        <v>49</v>
      </c>
      <c r="AY134" s="13">
        <v>50</v>
      </c>
      <c r="AZ134" s="13">
        <v>51</v>
      </c>
      <c r="BA134" s="13">
        <v>52</v>
      </c>
      <c r="BB134" s="13">
        <v>53</v>
      </c>
      <c r="BC134" s="13">
        <v>54</v>
      </c>
      <c r="BD134" s="13">
        <v>55</v>
      </c>
      <c r="BE134" s="13">
        <v>56</v>
      </c>
      <c r="BF134" s="13">
        <v>57</v>
      </c>
      <c r="BG134" s="13">
        <v>58</v>
      </c>
      <c r="BH134" s="13">
        <v>59</v>
      </c>
      <c r="BI134" s="13">
        <v>60</v>
      </c>
    </row>
    <row r="135" spans="1:63" x14ac:dyDescent="0.25">
      <c r="A135" s="13" t="s">
        <v>0</v>
      </c>
      <c r="B135" s="37">
        <f>'הזנת נתונים'!A66</f>
        <v>28</v>
      </c>
      <c r="C135" s="37">
        <f>'הזנת נתונים'!B66</f>
        <v>35</v>
      </c>
      <c r="D135" s="37">
        <f>'הזנת נתונים'!C66</f>
        <v>40</v>
      </c>
      <c r="E135" s="37">
        <f>'הזנת נתונים'!D66</f>
        <v>55</v>
      </c>
      <c r="F135" s="37">
        <f>'הזנת נתונים'!E66</f>
        <v>70</v>
      </c>
      <c r="G135" s="37">
        <f>'הזנת נתונים'!F66</f>
        <v>75</v>
      </c>
      <c r="H135" s="37">
        <f>'הזנת נתונים'!G66</f>
        <v>87.6666666666667</v>
      </c>
      <c r="I135" s="37">
        <f>'הזנת נתונים'!H66</f>
        <v>98.6666666666667</v>
      </c>
      <c r="J135" s="37">
        <f>'הזנת נתונים'!I66</f>
        <v>109.666666666667</v>
      </c>
      <c r="K135" s="37">
        <f>'הזנת נתונים'!J66</f>
        <v>120.666666666667</v>
      </c>
      <c r="L135" s="37">
        <f>'הזנת נתונים'!K66</f>
        <v>131.666666666667</v>
      </c>
      <c r="M135" s="37">
        <f>'הזנת נתונים'!L66</f>
        <v>142.666666666667</v>
      </c>
      <c r="N135" s="37">
        <f>'הזנת נתונים'!M66</f>
        <v>153.666666666667</v>
      </c>
      <c r="O135" s="37">
        <f>'הזנת נתונים'!N66</f>
        <v>164.666666666667</v>
      </c>
      <c r="P135" s="37">
        <f>'הזנת נתונים'!O66</f>
        <v>175.666666666667</v>
      </c>
      <c r="Q135" s="37">
        <f>'הזנת נתונים'!P66</f>
        <v>186.666666666667</v>
      </c>
      <c r="R135" s="37">
        <f>'הזנת נתונים'!Q66</f>
        <v>197.666666666667</v>
      </c>
      <c r="S135" s="37">
        <f>'הזנת נתונים'!R66</f>
        <v>208.666666666667</v>
      </c>
      <c r="T135" s="37">
        <f>'הזנת נתונים'!S66</f>
        <v>219.666666666667</v>
      </c>
      <c r="U135" s="37">
        <f>'הזנת נתונים'!T66</f>
        <v>230.666666666667</v>
      </c>
      <c r="V135" s="37">
        <f>'הזנת נתונים'!U66</f>
        <v>241.666666666667</v>
      </c>
      <c r="W135" s="37">
        <f>'הזנת נתונים'!V66</f>
        <v>252.666666666667</v>
      </c>
      <c r="X135" s="37">
        <f>'הזנת נתונים'!W66</f>
        <v>263.66666666666703</v>
      </c>
      <c r="Y135" s="37">
        <f>'הזנת נתונים'!X66</f>
        <v>274.66666666666703</v>
      </c>
      <c r="Z135" s="37">
        <f>'הזנת נתונים'!Y66</f>
        <v>285.66666666666799</v>
      </c>
      <c r="AA135" s="37">
        <f>'הזנת נתונים'!Z66</f>
        <v>296.66666666666799</v>
      </c>
      <c r="AB135" s="37">
        <f>'הזנת נתונים'!AA66</f>
        <v>307.66666666666799</v>
      </c>
      <c r="AC135" s="37">
        <f>'הזנת נתונים'!AB66</f>
        <v>318.66666666666799</v>
      </c>
      <c r="AD135" s="37">
        <f>'הזנת נתונים'!AC66</f>
        <v>329.66666666666799</v>
      </c>
      <c r="AE135" s="37">
        <f>'הזנת נתונים'!AD66</f>
        <v>340.66666666666799</v>
      </c>
      <c r="AF135" s="37">
        <f>'הזנת נתונים'!AE66</f>
        <v>351.66666666666799</v>
      </c>
      <c r="AG135" s="37">
        <f>'הזנת נתונים'!AF66</f>
        <v>362.66666666666799</v>
      </c>
      <c r="AH135" s="37">
        <f>'הזנת נתונים'!AG66</f>
        <v>373.66666666666799</v>
      </c>
      <c r="AI135" s="37">
        <f>'הזנת נתונים'!AH66</f>
        <v>384.66666666666799</v>
      </c>
      <c r="AJ135" s="37">
        <f>'הזנת נתונים'!AI66</f>
        <v>395.66666666666799</v>
      </c>
      <c r="AK135" s="37">
        <f>'הזנת נתונים'!AJ66</f>
        <v>406.66666666666799</v>
      </c>
      <c r="AL135" s="37">
        <f>'הזנת נתונים'!AK66</f>
        <v>417.66666666666799</v>
      </c>
      <c r="AM135" s="37">
        <f>'הזנת נתונים'!AL66</f>
        <v>428.66666666666902</v>
      </c>
      <c r="AN135" s="37">
        <f>'הזנת נתונים'!AM66</f>
        <v>439.66666666666902</v>
      </c>
      <c r="AO135" s="37">
        <f>'הזנת נתונים'!AN66</f>
        <v>450.66666666666902</v>
      </c>
      <c r="AP135" s="37">
        <f>'הזנת נתונים'!AO66</f>
        <v>461.66666666666902</v>
      </c>
      <c r="AQ135" s="37">
        <f>'הזנת נתונים'!AP66</f>
        <v>472.66666666666902</v>
      </c>
      <c r="AR135" s="37">
        <f>'הזנת נתונים'!AQ66</f>
        <v>483.66666666666902</v>
      </c>
      <c r="AS135" s="37">
        <f>'הזנת נתונים'!AR66</f>
        <v>494.66666666666902</v>
      </c>
      <c r="AT135" s="37">
        <f>'הזנת נתונים'!AS66</f>
        <v>505.66666666666799</v>
      </c>
      <c r="AU135" s="37">
        <f>'הזנת נתונים'!AT66</f>
        <v>516.66666666666902</v>
      </c>
      <c r="AV135" s="37">
        <f>'הזנת נתונים'!AU66</f>
        <v>527.66666666666902</v>
      </c>
      <c r="AW135" s="37">
        <f>'הזנת נתונים'!AV66</f>
        <v>538.66666666666902</v>
      </c>
      <c r="AX135" s="37">
        <f>'הזנת נתונים'!AW66</f>
        <v>549.66666666666902</v>
      </c>
      <c r="AY135" s="37">
        <f>'הזנת נתונים'!AX66</f>
        <v>560.66666666666902</v>
      </c>
      <c r="AZ135" s="37">
        <f>'הזנת נתונים'!AY66</f>
        <v>571.66666666666902</v>
      </c>
      <c r="BA135" s="37">
        <f>'הזנת נתונים'!AZ66</f>
        <v>582.66666666666902</v>
      </c>
      <c r="BB135" s="37">
        <f>'הזנת נתונים'!BA66</f>
        <v>593.66666666666902</v>
      </c>
      <c r="BC135" s="37">
        <f>'הזנת נתונים'!BB66</f>
        <v>604.66666666666902</v>
      </c>
      <c r="BD135" s="37">
        <f>'הזנת נתונים'!BC66</f>
        <v>615.66666666666902</v>
      </c>
      <c r="BE135" s="37">
        <f>'הזנת נתונים'!BD66</f>
        <v>626.66666666666902</v>
      </c>
      <c r="BF135" s="37">
        <f>'הזנת נתונים'!BE66</f>
        <v>637.66666666666902</v>
      </c>
      <c r="BG135" s="37">
        <f>'הזנת נתונים'!BF66</f>
        <v>648.66666666666902</v>
      </c>
      <c r="BH135" s="37">
        <f>'הזנת נתונים'!BG66</f>
        <v>659.66666666666902</v>
      </c>
      <c r="BI135" s="37">
        <f>'הזנת נתונים'!BH66</f>
        <v>670.66666666666902</v>
      </c>
    </row>
    <row r="136" spans="1:63" x14ac:dyDescent="0.25">
      <c r="A136" s="13" t="s">
        <v>2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>
        <f t="shared" ref="L136:AQ136" si="53">AVERAGE(B135:L135)</f>
        <v>77.393939393939476</v>
      </c>
      <c r="M136">
        <f t="shared" si="53"/>
        <v>87.818181818181927</v>
      </c>
      <c r="N136">
        <f t="shared" si="53"/>
        <v>98.606060606060751</v>
      </c>
      <c r="O136">
        <f t="shared" si="53"/>
        <v>109.93939393939412</v>
      </c>
      <c r="P136">
        <f t="shared" si="53"/>
        <v>120.90909090909112</v>
      </c>
      <c r="Q136">
        <f t="shared" si="53"/>
        <v>131.51515151515176</v>
      </c>
      <c r="R136">
        <f t="shared" si="53"/>
        <v>142.66666666666694</v>
      </c>
      <c r="S136">
        <f t="shared" si="53"/>
        <v>153.66666666666694</v>
      </c>
      <c r="T136">
        <f t="shared" si="53"/>
        <v>164.666666666667</v>
      </c>
      <c r="U136">
        <f t="shared" si="53"/>
        <v>175.666666666667</v>
      </c>
      <c r="V136">
        <f t="shared" si="53"/>
        <v>186.666666666667</v>
      </c>
      <c r="W136">
        <f t="shared" si="53"/>
        <v>197.666666666667</v>
      </c>
      <c r="X136">
        <f t="shared" si="53"/>
        <v>208.666666666667</v>
      </c>
      <c r="Y136">
        <f t="shared" si="53"/>
        <v>219.666666666667</v>
      </c>
      <c r="Z136">
        <f t="shared" si="53"/>
        <v>230.66666666666708</v>
      </c>
      <c r="AA136">
        <f t="shared" si="53"/>
        <v>241.66666666666717</v>
      </c>
      <c r="AB136">
        <f t="shared" si="53"/>
        <v>252.66666666666725</v>
      </c>
      <c r="AC136">
        <f t="shared" si="53"/>
        <v>263.66666666666737</v>
      </c>
      <c r="AD136">
        <f t="shared" si="53"/>
        <v>274.66666666666742</v>
      </c>
      <c r="AE136">
        <f t="shared" si="53"/>
        <v>285.66666666666748</v>
      </c>
      <c r="AF136">
        <f t="shared" si="53"/>
        <v>296.6666666666676</v>
      </c>
      <c r="AG136">
        <f t="shared" si="53"/>
        <v>307.66666666666765</v>
      </c>
      <c r="AH136">
        <f t="shared" si="53"/>
        <v>318.66666666666777</v>
      </c>
      <c r="AI136">
        <f t="shared" si="53"/>
        <v>329.66666666666782</v>
      </c>
      <c r="AJ136">
        <f t="shared" si="53"/>
        <v>340.66666666666794</v>
      </c>
      <c r="AK136">
        <f t="shared" si="53"/>
        <v>351.66666666666794</v>
      </c>
      <c r="AL136">
        <f t="shared" si="53"/>
        <v>362.66666666666794</v>
      </c>
      <c r="AM136">
        <f t="shared" si="53"/>
        <v>373.66666666666805</v>
      </c>
      <c r="AN136">
        <f t="shared" si="53"/>
        <v>384.66666666666811</v>
      </c>
      <c r="AO136">
        <f t="shared" si="53"/>
        <v>395.66666666666822</v>
      </c>
      <c r="AP136">
        <f t="shared" si="53"/>
        <v>406.66666666666828</v>
      </c>
      <c r="AQ136">
        <f t="shared" si="53"/>
        <v>417.66666666666839</v>
      </c>
      <c r="AR136">
        <f t="shared" ref="AR136:BI136" si="54">AVERAGE(AH135:AR135)</f>
        <v>428.66666666666845</v>
      </c>
      <c r="AS136">
        <f t="shared" si="54"/>
        <v>439.66666666666856</v>
      </c>
      <c r="AT136">
        <f t="shared" si="54"/>
        <v>450.66666666666856</v>
      </c>
      <c r="AU136">
        <f t="shared" si="54"/>
        <v>461.66666666666862</v>
      </c>
      <c r="AV136">
        <f t="shared" si="54"/>
        <v>472.66666666666873</v>
      </c>
      <c r="AW136">
        <f t="shared" si="54"/>
        <v>483.66666666666879</v>
      </c>
      <c r="AX136">
        <f t="shared" si="54"/>
        <v>494.66666666666879</v>
      </c>
      <c r="AY136">
        <f t="shared" si="54"/>
        <v>505.66666666666879</v>
      </c>
      <c r="AZ136">
        <f t="shared" si="54"/>
        <v>516.66666666666879</v>
      </c>
      <c r="BA136">
        <f t="shared" si="54"/>
        <v>527.66666666666879</v>
      </c>
      <c r="BB136">
        <f t="shared" si="54"/>
        <v>538.66666666666879</v>
      </c>
      <c r="BC136">
        <f t="shared" si="54"/>
        <v>549.66666666666879</v>
      </c>
      <c r="BD136">
        <f t="shared" si="54"/>
        <v>560.66666666666879</v>
      </c>
      <c r="BE136">
        <f t="shared" si="54"/>
        <v>571.6666666666689</v>
      </c>
      <c r="BF136">
        <f t="shared" si="54"/>
        <v>582.6666666666689</v>
      </c>
      <c r="BG136">
        <f t="shared" si="54"/>
        <v>593.6666666666689</v>
      </c>
      <c r="BH136">
        <f t="shared" si="54"/>
        <v>604.6666666666689</v>
      </c>
      <c r="BI136">
        <f t="shared" si="54"/>
        <v>615.6666666666689</v>
      </c>
    </row>
    <row r="137" spans="1:63" x14ac:dyDescent="0.25">
      <c r="A137" s="13" t="s">
        <v>9</v>
      </c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>
        <f>L136</f>
        <v>77.393939393939476</v>
      </c>
      <c r="N137" s="7">
        <f t="shared" ref="N137:BI137" si="55">M136</f>
        <v>87.818181818181927</v>
      </c>
      <c r="O137" s="7">
        <f t="shared" si="55"/>
        <v>98.606060606060751</v>
      </c>
      <c r="P137" s="7">
        <f t="shared" si="55"/>
        <v>109.93939393939412</v>
      </c>
      <c r="Q137" s="7">
        <f t="shared" si="55"/>
        <v>120.90909090909112</v>
      </c>
      <c r="R137" s="7">
        <f t="shared" si="55"/>
        <v>131.51515151515176</v>
      </c>
      <c r="S137" s="7">
        <f t="shared" si="55"/>
        <v>142.66666666666694</v>
      </c>
      <c r="T137" s="7">
        <f t="shared" si="55"/>
        <v>153.66666666666694</v>
      </c>
      <c r="U137" s="7">
        <f t="shared" si="55"/>
        <v>164.666666666667</v>
      </c>
      <c r="V137" s="7">
        <f t="shared" si="55"/>
        <v>175.666666666667</v>
      </c>
      <c r="W137" s="7">
        <f t="shared" si="55"/>
        <v>186.666666666667</v>
      </c>
      <c r="X137" s="7">
        <f t="shared" si="55"/>
        <v>197.666666666667</v>
      </c>
      <c r="Y137" s="7">
        <f t="shared" si="55"/>
        <v>208.666666666667</v>
      </c>
      <c r="Z137" s="7">
        <f t="shared" si="55"/>
        <v>219.666666666667</v>
      </c>
      <c r="AA137" s="7">
        <f t="shared" si="55"/>
        <v>230.66666666666708</v>
      </c>
      <c r="AB137" s="7">
        <f t="shared" si="55"/>
        <v>241.66666666666717</v>
      </c>
      <c r="AC137" s="7">
        <f t="shared" si="55"/>
        <v>252.66666666666725</v>
      </c>
      <c r="AD137" s="7">
        <f t="shared" si="55"/>
        <v>263.66666666666737</v>
      </c>
      <c r="AE137" s="7">
        <f t="shared" si="55"/>
        <v>274.66666666666742</v>
      </c>
      <c r="AF137" s="7">
        <f t="shared" si="55"/>
        <v>285.66666666666748</v>
      </c>
      <c r="AG137" s="7">
        <f t="shared" si="55"/>
        <v>296.6666666666676</v>
      </c>
      <c r="AH137" s="7">
        <f t="shared" si="55"/>
        <v>307.66666666666765</v>
      </c>
      <c r="AI137" s="7">
        <f t="shared" si="55"/>
        <v>318.66666666666777</v>
      </c>
      <c r="AJ137" s="7">
        <f t="shared" si="55"/>
        <v>329.66666666666782</v>
      </c>
      <c r="AK137" s="7">
        <f t="shared" si="55"/>
        <v>340.66666666666794</v>
      </c>
      <c r="AL137" s="7">
        <f t="shared" si="55"/>
        <v>351.66666666666794</v>
      </c>
      <c r="AM137" s="7">
        <f t="shared" si="55"/>
        <v>362.66666666666794</v>
      </c>
      <c r="AN137" s="7">
        <f t="shared" si="55"/>
        <v>373.66666666666805</v>
      </c>
      <c r="AO137" s="7">
        <f t="shared" si="55"/>
        <v>384.66666666666811</v>
      </c>
      <c r="AP137" s="7">
        <f t="shared" si="55"/>
        <v>395.66666666666822</v>
      </c>
      <c r="AQ137" s="7">
        <f t="shared" si="55"/>
        <v>406.66666666666828</v>
      </c>
      <c r="AR137" s="7">
        <f t="shared" si="55"/>
        <v>417.66666666666839</v>
      </c>
      <c r="AS137" s="7">
        <f t="shared" si="55"/>
        <v>428.66666666666845</v>
      </c>
      <c r="AT137" s="7">
        <f t="shared" si="55"/>
        <v>439.66666666666856</v>
      </c>
      <c r="AU137" s="7">
        <f t="shared" si="55"/>
        <v>450.66666666666856</v>
      </c>
      <c r="AV137" s="7">
        <f t="shared" si="55"/>
        <v>461.66666666666862</v>
      </c>
      <c r="AW137" s="7">
        <f t="shared" si="55"/>
        <v>472.66666666666873</v>
      </c>
      <c r="AX137" s="7">
        <f t="shared" si="55"/>
        <v>483.66666666666879</v>
      </c>
      <c r="AY137" s="7">
        <f t="shared" si="55"/>
        <v>494.66666666666879</v>
      </c>
      <c r="AZ137" s="7">
        <f t="shared" si="55"/>
        <v>505.66666666666879</v>
      </c>
      <c r="BA137" s="7">
        <f t="shared" si="55"/>
        <v>516.66666666666879</v>
      </c>
      <c r="BB137" s="7">
        <f t="shared" si="55"/>
        <v>527.66666666666879</v>
      </c>
      <c r="BC137" s="7">
        <f t="shared" si="55"/>
        <v>538.66666666666879</v>
      </c>
      <c r="BD137" s="7">
        <f t="shared" si="55"/>
        <v>549.66666666666879</v>
      </c>
      <c r="BE137" s="7">
        <f t="shared" si="55"/>
        <v>560.66666666666879</v>
      </c>
      <c r="BF137" s="7">
        <f t="shared" si="55"/>
        <v>571.6666666666689</v>
      </c>
      <c r="BG137" s="7">
        <f t="shared" si="55"/>
        <v>582.6666666666689</v>
      </c>
      <c r="BH137" s="7">
        <f t="shared" si="55"/>
        <v>593.6666666666689</v>
      </c>
      <c r="BI137" s="7">
        <f t="shared" si="55"/>
        <v>604.6666666666689</v>
      </c>
    </row>
    <row r="138" spans="1:63" x14ac:dyDescent="0.25">
      <c r="A138" s="13" t="s">
        <v>4</v>
      </c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>
        <f>M137-M135</f>
        <v>-65.272727272727522</v>
      </c>
      <c r="N138" s="7">
        <f t="shared" ref="N138:BI138" si="56">N137-N135</f>
        <v>-65.848484848485072</v>
      </c>
      <c r="O138" s="7">
        <f t="shared" si="56"/>
        <v>-66.060606060606247</v>
      </c>
      <c r="P138" s="7">
        <f t="shared" si="56"/>
        <v>-65.727272727272876</v>
      </c>
      <c r="Q138" s="7">
        <f t="shared" si="56"/>
        <v>-65.757575757575879</v>
      </c>
      <c r="R138" s="7">
        <f t="shared" si="56"/>
        <v>-66.151515151515241</v>
      </c>
      <c r="S138" s="7">
        <f t="shared" si="56"/>
        <v>-66.000000000000057</v>
      </c>
      <c r="T138" s="7">
        <f t="shared" si="56"/>
        <v>-66.000000000000057</v>
      </c>
      <c r="U138" s="7">
        <f t="shared" si="56"/>
        <v>-66</v>
      </c>
      <c r="V138" s="7">
        <f t="shared" si="56"/>
        <v>-66</v>
      </c>
      <c r="W138" s="7">
        <f t="shared" si="56"/>
        <v>-66</v>
      </c>
      <c r="X138" s="7">
        <f t="shared" si="56"/>
        <v>-66.000000000000028</v>
      </c>
      <c r="Y138" s="7">
        <f t="shared" si="56"/>
        <v>-66.000000000000028</v>
      </c>
      <c r="Z138" s="7">
        <f t="shared" si="56"/>
        <v>-66.000000000000995</v>
      </c>
      <c r="AA138" s="7">
        <f t="shared" si="56"/>
        <v>-66.000000000000909</v>
      </c>
      <c r="AB138" s="7">
        <f t="shared" si="56"/>
        <v>-66.000000000000824</v>
      </c>
      <c r="AC138" s="7">
        <f t="shared" si="56"/>
        <v>-66.000000000000739</v>
      </c>
      <c r="AD138" s="7">
        <f t="shared" si="56"/>
        <v>-66.000000000000625</v>
      </c>
      <c r="AE138" s="7">
        <f t="shared" si="56"/>
        <v>-66.000000000000568</v>
      </c>
      <c r="AF138" s="7">
        <f t="shared" si="56"/>
        <v>-66.000000000000512</v>
      </c>
      <c r="AG138" s="7">
        <f t="shared" si="56"/>
        <v>-66.000000000000398</v>
      </c>
      <c r="AH138" s="7">
        <f t="shared" si="56"/>
        <v>-66.000000000000341</v>
      </c>
      <c r="AI138" s="7">
        <f t="shared" si="56"/>
        <v>-66.000000000000227</v>
      </c>
      <c r="AJ138" s="7">
        <f t="shared" si="56"/>
        <v>-66.000000000000171</v>
      </c>
      <c r="AK138" s="7">
        <f t="shared" si="56"/>
        <v>-66.000000000000057</v>
      </c>
      <c r="AL138" s="7">
        <f t="shared" si="56"/>
        <v>-66.000000000000057</v>
      </c>
      <c r="AM138" s="7">
        <f t="shared" si="56"/>
        <v>-66.00000000000108</v>
      </c>
      <c r="AN138" s="7">
        <f t="shared" si="56"/>
        <v>-66.000000000000966</v>
      </c>
      <c r="AO138" s="7">
        <f t="shared" si="56"/>
        <v>-66.000000000000909</v>
      </c>
      <c r="AP138" s="7">
        <f t="shared" si="56"/>
        <v>-66.000000000000796</v>
      </c>
      <c r="AQ138" s="7">
        <f t="shared" si="56"/>
        <v>-66.000000000000739</v>
      </c>
      <c r="AR138" s="7">
        <f t="shared" si="56"/>
        <v>-66.000000000000625</v>
      </c>
      <c r="AS138" s="7">
        <f t="shared" si="56"/>
        <v>-66.000000000000568</v>
      </c>
      <c r="AT138" s="7">
        <f t="shared" si="56"/>
        <v>-65.999999999999432</v>
      </c>
      <c r="AU138" s="7">
        <f t="shared" si="56"/>
        <v>-66.000000000000455</v>
      </c>
      <c r="AV138" s="7">
        <f t="shared" si="56"/>
        <v>-66.000000000000398</v>
      </c>
      <c r="AW138" s="7">
        <f t="shared" si="56"/>
        <v>-66.000000000000284</v>
      </c>
      <c r="AX138" s="7">
        <f t="shared" si="56"/>
        <v>-66.000000000000227</v>
      </c>
      <c r="AY138" s="7">
        <f t="shared" si="56"/>
        <v>-66.000000000000227</v>
      </c>
      <c r="AZ138" s="7">
        <f t="shared" si="56"/>
        <v>-66.000000000000227</v>
      </c>
      <c r="BA138" s="7">
        <f t="shared" si="56"/>
        <v>-66.000000000000227</v>
      </c>
      <c r="BB138" s="7">
        <f t="shared" si="56"/>
        <v>-66.000000000000227</v>
      </c>
      <c r="BC138" s="7">
        <f t="shared" si="56"/>
        <v>-66.000000000000227</v>
      </c>
      <c r="BD138" s="7">
        <f t="shared" si="56"/>
        <v>-66.000000000000227</v>
      </c>
      <c r="BE138" s="7">
        <f t="shared" si="56"/>
        <v>-66.000000000000227</v>
      </c>
      <c r="BF138" s="7">
        <f t="shared" si="56"/>
        <v>-66.000000000000114</v>
      </c>
      <c r="BG138" s="7">
        <f t="shared" si="56"/>
        <v>-66.000000000000114</v>
      </c>
      <c r="BH138" s="7">
        <f t="shared" si="56"/>
        <v>-66.000000000000114</v>
      </c>
      <c r="BI138" s="7">
        <f t="shared" si="56"/>
        <v>-66.000000000000114</v>
      </c>
    </row>
    <row r="139" spans="1:63" x14ac:dyDescent="0.25">
      <c r="A139" s="13" t="s">
        <v>12</v>
      </c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>
        <f>M138^2</f>
        <v>4260.5289256198676</v>
      </c>
      <c r="N139" s="7">
        <f t="shared" ref="N139:BI139" si="57">N138^2</f>
        <v>4336.0229568411678</v>
      </c>
      <c r="O139" s="7">
        <f t="shared" si="57"/>
        <v>4364.0036730946067</v>
      </c>
      <c r="P139" s="7">
        <f t="shared" si="57"/>
        <v>4320.0743801653089</v>
      </c>
      <c r="Q139" s="7">
        <f t="shared" si="57"/>
        <v>4324.0587695133308</v>
      </c>
      <c r="R139" s="7">
        <f t="shared" si="57"/>
        <v>4376.0229568411505</v>
      </c>
      <c r="S139" s="7">
        <f t="shared" si="57"/>
        <v>4356.0000000000073</v>
      </c>
      <c r="T139" s="7">
        <f t="shared" si="57"/>
        <v>4356.0000000000073</v>
      </c>
      <c r="U139" s="7">
        <f t="shared" si="57"/>
        <v>4356</v>
      </c>
      <c r="V139" s="7">
        <f t="shared" si="57"/>
        <v>4356</v>
      </c>
      <c r="W139" s="7">
        <f t="shared" si="57"/>
        <v>4356</v>
      </c>
      <c r="X139" s="7">
        <f t="shared" si="57"/>
        <v>4356.0000000000036</v>
      </c>
      <c r="Y139" s="7">
        <f t="shared" si="57"/>
        <v>4356.0000000000036</v>
      </c>
      <c r="Z139" s="7">
        <f t="shared" si="57"/>
        <v>4356.000000000131</v>
      </c>
      <c r="AA139" s="7">
        <f t="shared" si="57"/>
        <v>4356.0000000001201</v>
      </c>
      <c r="AB139" s="7">
        <f t="shared" si="57"/>
        <v>4356.0000000001091</v>
      </c>
      <c r="AC139" s="7">
        <f t="shared" si="57"/>
        <v>4356.0000000000973</v>
      </c>
      <c r="AD139" s="7">
        <f t="shared" si="57"/>
        <v>4356.0000000000828</v>
      </c>
      <c r="AE139" s="7">
        <f t="shared" si="57"/>
        <v>4356.0000000000746</v>
      </c>
      <c r="AF139" s="7">
        <f t="shared" si="57"/>
        <v>4356.0000000000673</v>
      </c>
      <c r="AG139" s="7">
        <f t="shared" si="57"/>
        <v>4356.0000000000528</v>
      </c>
      <c r="AH139" s="7">
        <f t="shared" si="57"/>
        <v>4356.0000000000455</v>
      </c>
      <c r="AI139" s="7">
        <f t="shared" si="57"/>
        <v>4356.00000000003</v>
      </c>
      <c r="AJ139" s="7">
        <f t="shared" si="57"/>
        <v>4356.0000000000227</v>
      </c>
      <c r="AK139" s="7">
        <f t="shared" si="57"/>
        <v>4356.0000000000073</v>
      </c>
      <c r="AL139" s="7">
        <f t="shared" si="57"/>
        <v>4356.0000000000073</v>
      </c>
      <c r="AM139" s="7">
        <f t="shared" si="57"/>
        <v>4356.0000000001428</v>
      </c>
      <c r="AN139" s="7">
        <f t="shared" si="57"/>
        <v>4356.0000000001273</v>
      </c>
      <c r="AO139" s="7">
        <f t="shared" si="57"/>
        <v>4356.0000000001201</v>
      </c>
      <c r="AP139" s="7">
        <f t="shared" si="57"/>
        <v>4356.0000000001055</v>
      </c>
      <c r="AQ139" s="7">
        <f t="shared" si="57"/>
        <v>4356.0000000000973</v>
      </c>
      <c r="AR139" s="7">
        <f t="shared" si="57"/>
        <v>4356.0000000000828</v>
      </c>
      <c r="AS139" s="7">
        <f t="shared" si="57"/>
        <v>4356.0000000000746</v>
      </c>
      <c r="AT139" s="7">
        <f t="shared" si="57"/>
        <v>4355.9999999999254</v>
      </c>
      <c r="AU139" s="7">
        <f t="shared" si="57"/>
        <v>4356.00000000006</v>
      </c>
      <c r="AV139" s="7">
        <f t="shared" si="57"/>
        <v>4356.0000000000528</v>
      </c>
      <c r="AW139" s="7">
        <f t="shared" si="57"/>
        <v>4356.0000000000373</v>
      </c>
      <c r="AX139" s="7">
        <f t="shared" si="57"/>
        <v>4356.00000000003</v>
      </c>
      <c r="AY139" s="7">
        <f t="shared" si="57"/>
        <v>4356.00000000003</v>
      </c>
      <c r="AZ139" s="7">
        <f t="shared" si="57"/>
        <v>4356.00000000003</v>
      </c>
      <c r="BA139" s="7">
        <f t="shared" si="57"/>
        <v>4356.00000000003</v>
      </c>
      <c r="BB139" s="7">
        <f t="shared" si="57"/>
        <v>4356.00000000003</v>
      </c>
      <c r="BC139" s="7">
        <f t="shared" si="57"/>
        <v>4356.00000000003</v>
      </c>
      <c r="BD139" s="7">
        <f t="shared" si="57"/>
        <v>4356.00000000003</v>
      </c>
      <c r="BE139" s="7">
        <f t="shared" si="57"/>
        <v>4356.00000000003</v>
      </c>
      <c r="BF139" s="7">
        <f t="shared" si="57"/>
        <v>4356.0000000000146</v>
      </c>
      <c r="BG139" s="7">
        <f t="shared" si="57"/>
        <v>4356.0000000000146</v>
      </c>
      <c r="BH139" s="7">
        <f t="shared" si="57"/>
        <v>4356.0000000000146</v>
      </c>
      <c r="BI139" s="7">
        <f t="shared" si="57"/>
        <v>4356.0000000000146</v>
      </c>
    </row>
    <row r="140" spans="1:63" x14ac:dyDescent="0.25">
      <c r="A140" s="38" t="s">
        <v>11</v>
      </c>
      <c r="B140" s="38">
        <v>11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3" x14ac:dyDescent="0.25">
      <c r="A141" s="8" t="s">
        <v>5</v>
      </c>
      <c r="B141" s="8">
        <f>AVERAGE(G139:BI139)</f>
        <v>4352.8308502464761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3" x14ac:dyDescent="0.25">
      <c r="A142" s="7" t="s">
        <v>7</v>
      </c>
      <c r="B142" s="7">
        <f>SUM(AY135:BI135)/B140</f>
        <v>615.6666666666689</v>
      </c>
    </row>
    <row r="143" spans="1:63" x14ac:dyDescent="0.25">
      <c r="A143" s="31" t="s">
        <v>6</v>
      </c>
      <c r="B143" s="7" t="s">
        <v>62</v>
      </c>
      <c r="C143" s="7">
        <v>61</v>
      </c>
      <c r="D143" s="7">
        <v>62</v>
      </c>
      <c r="E143" s="7">
        <v>63</v>
      </c>
      <c r="F143" s="7">
        <v>64</v>
      </c>
      <c r="G143" s="7">
        <v>65</v>
      </c>
      <c r="H143" s="7">
        <v>66</v>
      </c>
      <c r="I143" s="7">
        <v>67</v>
      </c>
      <c r="J143" s="7">
        <v>68</v>
      </c>
      <c r="K143" s="7">
        <v>69</v>
      </c>
      <c r="L143" s="7">
        <v>70</v>
      </c>
      <c r="M143" s="7">
        <v>71</v>
      </c>
      <c r="N143" s="7">
        <v>72</v>
      </c>
    </row>
    <row r="144" spans="1:63" x14ac:dyDescent="0.25">
      <c r="C144" s="7">
        <f>$B$142</f>
        <v>615.6666666666689</v>
      </c>
      <c r="D144" s="7">
        <f t="shared" ref="D144:N144" si="58">$B$142</f>
        <v>615.6666666666689</v>
      </c>
      <c r="E144" s="7">
        <f t="shared" si="58"/>
        <v>615.6666666666689</v>
      </c>
      <c r="F144" s="7">
        <f t="shared" si="58"/>
        <v>615.6666666666689</v>
      </c>
      <c r="G144" s="7">
        <f t="shared" si="58"/>
        <v>615.6666666666689</v>
      </c>
      <c r="H144" s="7">
        <f t="shared" si="58"/>
        <v>615.6666666666689</v>
      </c>
      <c r="I144" s="7">
        <f t="shared" si="58"/>
        <v>615.6666666666689</v>
      </c>
      <c r="J144" s="7">
        <f t="shared" si="58"/>
        <v>615.6666666666689</v>
      </c>
      <c r="K144" s="7">
        <f t="shared" si="58"/>
        <v>615.6666666666689</v>
      </c>
      <c r="L144" s="7">
        <f t="shared" si="58"/>
        <v>615.6666666666689</v>
      </c>
      <c r="M144" s="7">
        <f t="shared" si="58"/>
        <v>615.6666666666689</v>
      </c>
      <c r="N144" s="7">
        <f t="shared" si="58"/>
        <v>615.6666666666689</v>
      </c>
    </row>
    <row r="147" spans="1:63" x14ac:dyDescent="0.25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</row>
    <row r="149" spans="1:63" x14ac:dyDescent="0.25">
      <c r="A149" s="13" t="s">
        <v>1</v>
      </c>
      <c r="B149" s="13">
        <v>1</v>
      </c>
      <c r="C149" s="13">
        <v>2</v>
      </c>
      <c r="D149" s="13">
        <v>3</v>
      </c>
      <c r="E149" s="13">
        <v>4</v>
      </c>
      <c r="F149" s="13">
        <v>5</v>
      </c>
      <c r="G149" s="13">
        <v>6</v>
      </c>
      <c r="H149" s="13">
        <v>7</v>
      </c>
      <c r="I149" s="13">
        <v>8</v>
      </c>
      <c r="J149" s="13">
        <v>9</v>
      </c>
      <c r="K149" s="13">
        <v>10</v>
      </c>
      <c r="L149" s="13">
        <v>11</v>
      </c>
      <c r="M149" s="13">
        <v>12</v>
      </c>
      <c r="N149" s="13">
        <v>13</v>
      </c>
      <c r="O149" s="13">
        <v>14</v>
      </c>
      <c r="P149" s="13">
        <v>15</v>
      </c>
      <c r="Q149" s="13">
        <v>16</v>
      </c>
      <c r="R149" s="13">
        <v>17</v>
      </c>
      <c r="S149" s="13">
        <v>18</v>
      </c>
      <c r="T149" s="13">
        <v>19</v>
      </c>
      <c r="U149" s="13">
        <v>20</v>
      </c>
      <c r="V149" s="13">
        <v>21</v>
      </c>
      <c r="W149" s="13">
        <v>22</v>
      </c>
      <c r="X149" s="13">
        <v>23</v>
      </c>
      <c r="Y149" s="13">
        <v>24</v>
      </c>
      <c r="Z149" s="13">
        <v>25</v>
      </c>
      <c r="AA149" s="13">
        <v>26</v>
      </c>
      <c r="AB149" s="13">
        <v>27</v>
      </c>
      <c r="AC149" s="13">
        <v>28</v>
      </c>
      <c r="AD149" s="13">
        <v>29</v>
      </c>
      <c r="AE149" s="13">
        <v>30</v>
      </c>
      <c r="AF149" s="13">
        <v>31</v>
      </c>
      <c r="AG149" s="13">
        <v>32</v>
      </c>
      <c r="AH149" s="13">
        <v>33</v>
      </c>
      <c r="AI149" s="13">
        <v>34</v>
      </c>
      <c r="AJ149" s="13">
        <v>35</v>
      </c>
      <c r="AK149" s="13">
        <v>36</v>
      </c>
      <c r="AL149" s="13">
        <v>37</v>
      </c>
      <c r="AM149" s="13">
        <v>38</v>
      </c>
      <c r="AN149" s="13">
        <v>39</v>
      </c>
      <c r="AO149" s="13">
        <v>40</v>
      </c>
      <c r="AP149" s="13">
        <v>41</v>
      </c>
      <c r="AQ149" s="13">
        <v>42</v>
      </c>
      <c r="AR149" s="13">
        <v>43</v>
      </c>
      <c r="AS149" s="13">
        <v>44</v>
      </c>
      <c r="AT149" s="13">
        <v>45</v>
      </c>
      <c r="AU149" s="13">
        <v>46</v>
      </c>
      <c r="AV149" s="13">
        <v>47</v>
      </c>
      <c r="AW149" s="13">
        <v>48</v>
      </c>
      <c r="AX149" s="13">
        <v>49</v>
      </c>
      <c r="AY149" s="13">
        <v>50</v>
      </c>
      <c r="AZ149" s="13">
        <v>51</v>
      </c>
      <c r="BA149" s="13">
        <v>52</v>
      </c>
      <c r="BB149" s="13">
        <v>53</v>
      </c>
      <c r="BC149" s="13">
        <v>54</v>
      </c>
      <c r="BD149" s="13">
        <v>55</v>
      </c>
      <c r="BE149" s="13">
        <v>56</v>
      </c>
      <c r="BF149" s="13">
        <v>57</v>
      </c>
      <c r="BG149" s="13">
        <v>58</v>
      </c>
      <c r="BH149" s="13">
        <v>59</v>
      </c>
      <c r="BI149" s="13">
        <v>60</v>
      </c>
    </row>
    <row r="150" spans="1:63" x14ac:dyDescent="0.25">
      <c r="A150" s="13" t="s">
        <v>0</v>
      </c>
      <c r="B150" s="37">
        <f>'הזנת נתונים'!A66</f>
        <v>28</v>
      </c>
      <c r="C150" s="37">
        <f>'הזנת נתונים'!B66</f>
        <v>35</v>
      </c>
      <c r="D150" s="37">
        <f>'הזנת נתונים'!C66</f>
        <v>40</v>
      </c>
      <c r="E150" s="37">
        <f>'הזנת נתונים'!D66</f>
        <v>55</v>
      </c>
      <c r="F150" s="37">
        <f>'הזנת נתונים'!E66</f>
        <v>70</v>
      </c>
      <c r="G150" s="37">
        <f>'הזנת נתונים'!F66</f>
        <v>75</v>
      </c>
      <c r="H150" s="37">
        <f>'הזנת נתונים'!G66</f>
        <v>87.6666666666667</v>
      </c>
      <c r="I150" s="37">
        <f>'הזנת נתונים'!H66</f>
        <v>98.6666666666667</v>
      </c>
      <c r="J150" s="37">
        <f>'הזנת נתונים'!I66</f>
        <v>109.666666666667</v>
      </c>
      <c r="K150" s="37">
        <f>'הזנת נתונים'!J66</f>
        <v>120.666666666667</v>
      </c>
      <c r="L150" s="37">
        <f>'הזנת נתונים'!K66</f>
        <v>131.666666666667</v>
      </c>
      <c r="M150" s="37">
        <f>'הזנת נתונים'!L66</f>
        <v>142.666666666667</v>
      </c>
      <c r="N150" s="37">
        <f>'הזנת נתונים'!M66</f>
        <v>153.666666666667</v>
      </c>
      <c r="O150" s="37">
        <f>'הזנת נתונים'!N66</f>
        <v>164.666666666667</v>
      </c>
      <c r="P150" s="37">
        <f>'הזנת נתונים'!O66</f>
        <v>175.666666666667</v>
      </c>
      <c r="Q150" s="37">
        <f>'הזנת נתונים'!P66</f>
        <v>186.666666666667</v>
      </c>
      <c r="R150" s="37">
        <f>'הזנת נתונים'!Q66</f>
        <v>197.666666666667</v>
      </c>
      <c r="S150" s="37">
        <f>'הזנת נתונים'!R66</f>
        <v>208.666666666667</v>
      </c>
      <c r="T150" s="37">
        <f>'הזנת נתונים'!S66</f>
        <v>219.666666666667</v>
      </c>
      <c r="U150" s="37">
        <f>'הזנת נתונים'!T66</f>
        <v>230.666666666667</v>
      </c>
      <c r="V150" s="37">
        <f>'הזנת נתונים'!U66</f>
        <v>241.666666666667</v>
      </c>
      <c r="W150" s="37">
        <f>'הזנת נתונים'!V66</f>
        <v>252.666666666667</v>
      </c>
      <c r="X150" s="37">
        <f>'הזנת נתונים'!W66</f>
        <v>263.66666666666703</v>
      </c>
      <c r="Y150" s="37">
        <f>'הזנת נתונים'!X66</f>
        <v>274.66666666666703</v>
      </c>
      <c r="Z150" s="37">
        <f>'הזנת נתונים'!Y66</f>
        <v>285.66666666666799</v>
      </c>
      <c r="AA150" s="37">
        <f>'הזנת נתונים'!Z66</f>
        <v>296.66666666666799</v>
      </c>
      <c r="AB150" s="37">
        <f>'הזנת נתונים'!AA66</f>
        <v>307.66666666666799</v>
      </c>
      <c r="AC150" s="37">
        <f>'הזנת נתונים'!AB66</f>
        <v>318.66666666666799</v>
      </c>
      <c r="AD150" s="37">
        <f>'הזנת נתונים'!AC66</f>
        <v>329.66666666666799</v>
      </c>
      <c r="AE150" s="37">
        <f>'הזנת נתונים'!AD66</f>
        <v>340.66666666666799</v>
      </c>
      <c r="AF150" s="37">
        <f>'הזנת נתונים'!AE66</f>
        <v>351.66666666666799</v>
      </c>
      <c r="AG150" s="37">
        <f>'הזנת נתונים'!AF66</f>
        <v>362.66666666666799</v>
      </c>
      <c r="AH150" s="37">
        <f>'הזנת נתונים'!AG66</f>
        <v>373.66666666666799</v>
      </c>
      <c r="AI150" s="37">
        <f>'הזנת נתונים'!AH66</f>
        <v>384.66666666666799</v>
      </c>
      <c r="AJ150" s="37">
        <f>'הזנת נתונים'!AI66</f>
        <v>395.66666666666799</v>
      </c>
      <c r="AK150" s="37">
        <f>'הזנת נתונים'!AJ66</f>
        <v>406.66666666666799</v>
      </c>
      <c r="AL150" s="37">
        <f>'הזנת נתונים'!AK66</f>
        <v>417.66666666666799</v>
      </c>
      <c r="AM150" s="37">
        <f>'הזנת נתונים'!AL66</f>
        <v>428.66666666666902</v>
      </c>
      <c r="AN150" s="37">
        <f>'הזנת נתונים'!AM66</f>
        <v>439.66666666666902</v>
      </c>
      <c r="AO150" s="37">
        <f>'הזנת נתונים'!AN66</f>
        <v>450.66666666666902</v>
      </c>
      <c r="AP150" s="37">
        <f>'הזנת נתונים'!AO66</f>
        <v>461.66666666666902</v>
      </c>
      <c r="AQ150" s="37">
        <f>'הזנת נתונים'!AP66</f>
        <v>472.66666666666902</v>
      </c>
      <c r="AR150" s="37">
        <f>'הזנת נתונים'!AQ66</f>
        <v>483.66666666666902</v>
      </c>
      <c r="AS150" s="37">
        <f>'הזנת נתונים'!AR66</f>
        <v>494.66666666666902</v>
      </c>
      <c r="AT150" s="37">
        <f>'הזנת נתונים'!AS66</f>
        <v>505.66666666666799</v>
      </c>
      <c r="AU150" s="37">
        <f>'הזנת נתונים'!AT66</f>
        <v>516.66666666666902</v>
      </c>
      <c r="AV150" s="37">
        <f>'הזנת נתונים'!AU66</f>
        <v>527.66666666666902</v>
      </c>
      <c r="AW150" s="37">
        <f>'הזנת נתונים'!AV66</f>
        <v>538.66666666666902</v>
      </c>
      <c r="AX150" s="37">
        <f>'הזנת נתונים'!AW66</f>
        <v>549.66666666666902</v>
      </c>
      <c r="AY150" s="37">
        <f>'הזנת נתונים'!AX66</f>
        <v>560.66666666666902</v>
      </c>
      <c r="AZ150" s="37">
        <f>'הזנת נתונים'!AY66</f>
        <v>571.66666666666902</v>
      </c>
      <c r="BA150" s="37">
        <f>'הזנת נתונים'!AZ66</f>
        <v>582.66666666666902</v>
      </c>
      <c r="BB150" s="37">
        <f>'הזנת נתונים'!BA66</f>
        <v>593.66666666666902</v>
      </c>
      <c r="BC150" s="37">
        <f>'הזנת נתונים'!BB66</f>
        <v>604.66666666666902</v>
      </c>
      <c r="BD150" s="37">
        <f>'הזנת נתונים'!BC66</f>
        <v>615.66666666666902</v>
      </c>
      <c r="BE150" s="37">
        <f>'הזנת נתונים'!BD66</f>
        <v>626.66666666666902</v>
      </c>
      <c r="BF150" s="37">
        <f>'הזנת נתונים'!BE66</f>
        <v>637.66666666666902</v>
      </c>
      <c r="BG150" s="37">
        <f>'הזנת נתונים'!BF66</f>
        <v>648.66666666666902</v>
      </c>
      <c r="BH150" s="37">
        <f>'הזנת נתונים'!BG66</f>
        <v>659.66666666666902</v>
      </c>
      <c r="BI150" s="37">
        <f>'הזנת נתונים'!BH66</f>
        <v>670.66666666666902</v>
      </c>
    </row>
    <row r="151" spans="1:63" x14ac:dyDescent="0.25">
      <c r="A151" s="13" t="s">
        <v>2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M151">
        <f t="shared" ref="M151:AR151" si="59">AVERAGE(B150:M150)</f>
        <v>82.833333333333442</v>
      </c>
      <c r="N151">
        <f t="shared" si="59"/>
        <v>93.305555555555699</v>
      </c>
      <c r="O151">
        <f t="shared" si="59"/>
        <v>104.11111111111127</v>
      </c>
      <c r="P151">
        <f t="shared" si="59"/>
        <v>115.41666666666686</v>
      </c>
      <c r="Q151">
        <f t="shared" si="59"/>
        <v>126.3888888888891</v>
      </c>
      <c r="R151">
        <f t="shared" si="59"/>
        <v>137.02777777777803</v>
      </c>
      <c r="S151">
        <f t="shared" si="59"/>
        <v>148.16666666666694</v>
      </c>
      <c r="T151">
        <f t="shared" si="59"/>
        <v>159.16666666666694</v>
      </c>
      <c r="U151">
        <f t="shared" si="59"/>
        <v>170.166666666667</v>
      </c>
      <c r="V151">
        <f t="shared" si="59"/>
        <v>181.166666666667</v>
      </c>
      <c r="W151">
        <f t="shared" si="59"/>
        <v>192.166666666667</v>
      </c>
      <c r="X151">
        <f t="shared" si="59"/>
        <v>203.166666666667</v>
      </c>
      <c r="Y151">
        <f t="shared" si="59"/>
        <v>214.166666666667</v>
      </c>
      <c r="Z151">
        <f t="shared" si="59"/>
        <v>225.16666666666708</v>
      </c>
      <c r="AA151">
        <f t="shared" si="59"/>
        <v>236.16666666666717</v>
      </c>
      <c r="AB151">
        <f t="shared" si="59"/>
        <v>247.16666666666723</v>
      </c>
      <c r="AC151">
        <f t="shared" si="59"/>
        <v>258.16666666666731</v>
      </c>
      <c r="AD151">
        <f t="shared" si="59"/>
        <v>269.16666666666737</v>
      </c>
      <c r="AE151">
        <f t="shared" si="59"/>
        <v>280.16666666666748</v>
      </c>
      <c r="AF151">
        <f t="shared" si="59"/>
        <v>291.16666666666754</v>
      </c>
      <c r="AG151">
        <f t="shared" si="59"/>
        <v>302.1666666666676</v>
      </c>
      <c r="AH151">
        <f t="shared" si="59"/>
        <v>313.16666666666771</v>
      </c>
      <c r="AI151">
        <f t="shared" si="59"/>
        <v>324.16666666666777</v>
      </c>
      <c r="AJ151">
        <f t="shared" si="59"/>
        <v>335.16666666666782</v>
      </c>
      <c r="AK151">
        <f t="shared" si="59"/>
        <v>346.16666666666794</v>
      </c>
      <c r="AL151">
        <f t="shared" si="59"/>
        <v>357.16666666666794</v>
      </c>
      <c r="AM151">
        <f t="shared" si="59"/>
        <v>368.16666666666805</v>
      </c>
      <c r="AN151">
        <f t="shared" si="59"/>
        <v>379.16666666666811</v>
      </c>
      <c r="AO151">
        <f t="shared" si="59"/>
        <v>390.16666666666816</v>
      </c>
      <c r="AP151">
        <f t="shared" si="59"/>
        <v>401.16666666666828</v>
      </c>
      <c r="AQ151">
        <f t="shared" si="59"/>
        <v>412.16666666666833</v>
      </c>
      <c r="AR151">
        <f t="shared" si="59"/>
        <v>423.16666666666839</v>
      </c>
      <c r="AS151">
        <f t="shared" ref="AS151:BI151" si="60">AVERAGE(AH150:AS150)</f>
        <v>434.1666666666685</v>
      </c>
      <c r="AT151">
        <f t="shared" si="60"/>
        <v>445.1666666666685</v>
      </c>
      <c r="AU151">
        <f t="shared" si="60"/>
        <v>456.16666666666856</v>
      </c>
      <c r="AV151">
        <f t="shared" si="60"/>
        <v>467.16666666666862</v>
      </c>
      <c r="AW151">
        <f t="shared" si="60"/>
        <v>478.16666666666873</v>
      </c>
      <c r="AX151">
        <f t="shared" si="60"/>
        <v>489.16666666666879</v>
      </c>
      <c r="AY151">
        <f t="shared" si="60"/>
        <v>500.16666666666879</v>
      </c>
      <c r="AZ151">
        <f t="shared" si="60"/>
        <v>511.16666666666879</v>
      </c>
      <c r="BA151">
        <f t="shared" si="60"/>
        <v>522.16666666666879</v>
      </c>
      <c r="BB151">
        <f t="shared" si="60"/>
        <v>533.16666666666879</v>
      </c>
      <c r="BC151">
        <f t="shared" si="60"/>
        <v>544.16666666666879</v>
      </c>
      <c r="BD151">
        <f t="shared" si="60"/>
        <v>555.16666666666879</v>
      </c>
      <c r="BE151">
        <f t="shared" si="60"/>
        <v>566.16666666666879</v>
      </c>
      <c r="BF151">
        <f t="shared" si="60"/>
        <v>577.1666666666689</v>
      </c>
      <c r="BG151">
        <f t="shared" si="60"/>
        <v>588.1666666666689</v>
      </c>
      <c r="BH151">
        <f t="shared" si="60"/>
        <v>599.1666666666689</v>
      </c>
      <c r="BI151">
        <f t="shared" si="60"/>
        <v>610.1666666666689</v>
      </c>
    </row>
    <row r="152" spans="1:63" x14ac:dyDescent="0.25">
      <c r="A152" s="13" t="s">
        <v>9</v>
      </c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>
        <f>M151</f>
        <v>82.833333333333442</v>
      </c>
      <c r="O152" s="7">
        <f t="shared" ref="O152:BI152" si="61">N151</f>
        <v>93.305555555555699</v>
      </c>
      <c r="P152" s="7">
        <f t="shared" si="61"/>
        <v>104.11111111111127</v>
      </c>
      <c r="Q152" s="7">
        <f t="shared" si="61"/>
        <v>115.41666666666686</v>
      </c>
      <c r="R152" s="7">
        <f t="shared" si="61"/>
        <v>126.3888888888891</v>
      </c>
      <c r="S152" s="7">
        <f t="shared" si="61"/>
        <v>137.02777777777803</v>
      </c>
      <c r="T152" s="7">
        <f t="shared" si="61"/>
        <v>148.16666666666694</v>
      </c>
      <c r="U152" s="7">
        <f t="shared" si="61"/>
        <v>159.16666666666694</v>
      </c>
      <c r="V152" s="7">
        <f t="shared" si="61"/>
        <v>170.166666666667</v>
      </c>
      <c r="W152" s="7">
        <f t="shared" si="61"/>
        <v>181.166666666667</v>
      </c>
      <c r="X152" s="7">
        <f t="shared" si="61"/>
        <v>192.166666666667</v>
      </c>
      <c r="Y152" s="7">
        <f t="shared" si="61"/>
        <v>203.166666666667</v>
      </c>
      <c r="Z152" s="7">
        <f t="shared" si="61"/>
        <v>214.166666666667</v>
      </c>
      <c r="AA152" s="7">
        <f t="shared" si="61"/>
        <v>225.16666666666708</v>
      </c>
      <c r="AB152" s="7">
        <f t="shared" si="61"/>
        <v>236.16666666666717</v>
      </c>
      <c r="AC152" s="7">
        <f t="shared" si="61"/>
        <v>247.16666666666723</v>
      </c>
      <c r="AD152" s="7">
        <f t="shared" si="61"/>
        <v>258.16666666666731</v>
      </c>
      <c r="AE152" s="7">
        <f t="shared" si="61"/>
        <v>269.16666666666737</v>
      </c>
      <c r="AF152" s="7">
        <f t="shared" si="61"/>
        <v>280.16666666666748</v>
      </c>
      <c r="AG152" s="7">
        <f t="shared" si="61"/>
        <v>291.16666666666754</v>
      </c>
      <c r="AH152" s="7">
        <f t="shared" si="61"/>
        <v>302.1666666666676</v>
      </c>
      <c r="AI152" s="7">
        <f t="shared" si="61"/>
        <v>313.16666666666771</v>
      </c>
      <c r="AJ152" s="7">
        <f t="shared" si="61"/>
        <v>324.16666666666777</v>
      </c>
      <c r="AK152" s="7">
        <f t="shared" si="61"/>
        <v>335.16666666666782</v>
      </c>
      <c r="AL152" s="7">
        <f t="shared" si="61"/>
        <v>346.16666666666794</v>
      </c>
      <c r="AM152" s="7">
        <f t="shared" si="61"/>
        <v>357.16666666666794</v>
      </c>
      <c r="AN152" s="7">
        <f t="shared" si="61"/>
        <v>368.16666666666805</v>
      </c>
      <c r="AO152" s="7">
        <f t="shared" si="61"/>
        <v>379.16666666666811</v>
      </c>
      <c r="AP152" s="7">
        <f t="shared" si="61"/>
        <v>390.16666666666816</v>
      </c>
      <c r="AQ152" s="7">
        <f t="shared" si="61"/>
        <v>401.16666666666828</v>
      </c>
      <c r="AR152" s="7">
        <f t="shared" si="61"/>
        <v>412.16666666666833</v>
      </c>
      <c r="AS152" s="7">
        <f t="shared" si="61"/>
        <v>423.16666666666839</v>
      </c>
      <c r="AT152" s="7">
        <f t="shared" si="61"/>
        <v>434.1666666666685</v>
      </c>
      <c r="AU152" s="7">
        <f t="shared" si="61"/>
        <v>445.1666666666685</v>
      </c>
      <c r="AV152" s="7">
        <f t="shared" si="61"/>
        <v>456.16666666666856</v>
      </c>
      <c r="AW152" s="7">
        <f t="shared" si="61"/>
        <v>467.16666666666862</v>
      </c>
      <c r="AX152" s="7">
        <f t="shared" si="61"/>
        <v>478.16666666666873</v>
      </c>
      <c r="AY152" s="7">
        <f t="shared" si="61"/>
        <v>489.16666666666879</v>
      </c>
      <c r="AZ152" s="7">
        <f t="shared" si="61"/>
        <v>500.16666666666879</v>
      </c>
      <c r="BA152" s="7">
        <f t="shared" si="61"/>
        <v>511.16666666666879</v>
      </c>
      <c r="BB152" s="7">
        <f t="shared" si="61"/>
        <v>522.16666666666879</v>
      </c>
      <c r="BC152" s="7">
        <f t="shared" si="61"/>
        <v>533.16666666666879</v>
      </c>
      <c r="BD152" s="7">
        <f t="shared" si="61"/>
        <v>544.16666666666879</v>
      </c>
      <c r="BE152" s="7">
        <f t="shared" si="61"/>
        <v>555.16666666666879</v>
      </c>
      <c r="BF152" s="7">
        <f t="shared" si="61"/>
        <v>566.16666666666879</v>
      </c>
      <c r="BG152" s="7">
        <f t="shared" si="61"/>
        <v>577.1666666666689</v>
      </c>
      <c r="BH152" s="7">
        <f t="shared" si="61"/>
        <v>588.1666666666689</v>
      </c>
      <c r="BI152" s="7">
        <f t="shared" si="61"/>
        <v>599.1666666666689</v>
      </c>
    </row>
    <row r="153" spans="1:63" x14ac:dyDescent="0.25">
      <c r="A153" s="13" t="s">
        <v>4</v>
      </c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>
        <f>N152-N150</f>
        <v>-70.833333333333556</v>
      </c>
      <c r="O153" s="7">
        <f t="shared" ref="O153:BI153" si="62">O152-O150</f>
        <v>-71.361111111111299</v>
      </c>
      <c r="P153" s="7">
        <f t="shared" si="62"/>
        <v>-71.555555555555728</v>
      </c>
      <c r="Q153" s="7">
        <f t="shared" si="62"/>
        <v>-71.250000000000142</v>
      </c>
      <c r="R153" s="7">
        <f t="shared" si="62"/>
        <v>-71.277777777777899</v>
      </c>
      <c r="S153" s="7">
        <f t="shared" si="62"/>
        <v>-71.638888888888971</v>
      </c>
      <c r="T153" s="7">
        <f t="shared" si="62"/>
        <v>-71.500000000000057</v>
      </c>
      <c r="U153" s="7">
        <f t="shared" si="62"/>
        <v>-71.500000000000057</v>
      </c>
      <c r="V153" s="7">
        <f t="shared" si="62"/>
        <v>-71.5</v>
      </c>
      <c r="W153" s="7">
        <f t="shared" si="62"/>
        <v>-71.5</v>
      </c>
      <c r="X153" s="7">
        <f t="shared" si="62"/>
        <v>-71.500000000000028</v>
      </c>
      <c r="Y153" s="7">
        <f t="shared" si="62"/>
        <v>-71.500000000000028</v>
      </c>
      <c r="Z153" s="7">
        <f t="shared" si="62"/>
        <v>-71.500000000000995</v>
      </c>
      <c r="AA153" s="7">
        <f t="shared" si="62"/>
        <v>-71.500000000000909</v>
      </c>
      <c r="AB153" s="7">
        <f t="shared" si="62"/>
        <v>-71.500000000000824</v>
      </c>
      <c r="AC153" s="7">
        <f t="shared" si="62"/>
        <v>-71.500000000000767</v>
      </c>
      <c r="AD153" s="7">
        <f t="shared" si="62"/>
        <v>-71.500000000000682</v>
      </c>
      <c r="AE153" s="7">
        <f t="shared" si="62"/>
        <v>-71.500000000000625</v>
      </c>
      <c r="AF153" s="7">
        <f t="shared" si="62"/>
        <v>-71.500000000000512</v>
      </c>
      <c r="AG153" s="7">
        <f t="shared" si="62"/>
        <v>-71.500000000000455</v>
      </c>
      <c r="AH153" s="7">
        <f t="shared" si="62"/>
        <v>-71.500000000000398</v>
      </c>
      <c r="AI153" s="7">
        <f t="shared" si="62"/>
        <v>-71.500000000000284</v>
      </c>
      <c r="AJ153" s="7">
        <f t="shared" si="62"/>
        <v>-71.500000000000227</v>
      </c>
      <c r="AK153" s="7">
        <f t="shared" si="62"/>
        <v>-71.500000000000171</v>
      </c>
      <c r="AL153" s="7">
        <f t="shared" si="62"/>
        <v>-71.500000000000057</v>
      </c>
      <c r="AM153" s="7">
        <f t="shared" si="62"/>
        <v>-71.50000000000108</v>
      </c>
      <c r="AN153" s="7">
        <f t="shared" si="62"/>
        <v>-71.500000000000966</v>
      </c>
      <c r="AO153" s="7">
        <f t="shared" si="62"/>
        <v>-71.500000000000909</v>
      </c>
      <c r="AP153" s="7">
        <f t="shared" si="62"/>
        <v>-71.500000000000853</v>
      </c>
      <c r="AQ153" s="7">
        <f t="shared" si="62"/>
        <v>-71.500000000000739</v>
      </c>
      <c r="AR153" s="7">
        <f t="shared" si="62"/>
        <v>-71.500000000000682</v>
      </c>
      <c r="AS153" s="7">
        <f t="shared" si="62"/>
        <v>-71.500000000000625</v>
      </c>
      <c r="AT153" s="7">
        <f t="shared" si="62"/>
        <v>-71.499999999999488</v>
      </c>
      <c r="AU153" s="7">
        <f t="shared" si="62"/>
        <v>-71.500000000000512</v>
      </c>
      <c r="AV153" s="7">
        <f t="shared" si="62"/>
        <v>-71.500000000000455</v>
      </c>
      <c r="AW153" s="7">
        <f t="shared" si="62"/>
        <v>-71.500000000000398</v>
      </c>
      <c r="AX153" s="7">
        <f t="shared" si="62"/>
        <v>-71.500000000000284</v>
      </c>
      <c r="AY153" s="7">
        <f t="shared" si="62"/>
        <v>-71.500000000000227</v>
      </c>
      <c r="AZ153" s="7">
        <f t="shared" si="62"/>
        <v>-71.500000000000227</v>
      </c>
      <c r="BA153" s="7">
        <f t="shared" si="62"/>
        <v>-71.500000000000227</v>
      </c>
      <c r="BB153" s="7">
        <f t="shared" si="62"/>
        <v>-71.500000000000227</v>
      </c>
      <c r="BC153" s="7">
        <f t="shared" si="62"/>
        <v>-71.500000000000227</v>
      </c>
      <c r="BD153" s="7">
        <f t="shared" si="62"/>
        <v>-71.500000000000227</v>
      </c>
      <c r="BE153" s="7">
        <f t="shared" si="62"/>
        <v>-71.500000000000227</v>
      </c>
      <c r="BF153" s="7">
        <f t="shared" si="62"/>
        <v>-71.500000000000227</v>
      </c>
      <c r="BG153" s="7">
        <f t="shared" si="62"/>
        <v>-71.500000000000114</v>
      </c>
      <c r="BH153" s="7">
        <f t="shared" si="62"/>
        <v>-71.500000000000114</v>
      </c>
      <c r="BI153" s="7">
        <f t="shared" si="62"/>
        <v>-71.500000000000114</v>
      </c>
    </row>
    <row r="154" spans="1:63" x14ac:dyDescent="0.25">
      <c r="A154" s="13" t="s">
        <v>12</v>
      </c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>
        <f>N153^2</f>
        <v>5017.3611111111422</v>
      </c>
      <c r="O154" s="7">
        <f t="shared" ref="O154:BI154" si="63">O153^2</f>
        <v>5092.4081790123728</v>
      </c>
      <c r="P154" s="7">
        <f t="shared" si="63"/>
        <v>5120.1975308642222</v>
      </c>
      <c r="Q154" s="7">
        <f t="shared" si="63"/>
        <v>5076.56250000002</v>
      </c>
      <c r="R154" s="7">
        <f t="shared" si="63"/>
        <v>5080.5216049382889</v>
      </c>
      <c r="S154" s="7">
        <f t="shared" si="63"/>
        <v>5132.1304012345799</v>
      </c>
      <c r="T154" s="7">
        <f t="shared" si="63"/>
        <v>5112.2500000000082</v>
      </c>
      <c r="U154" s="7">
        <f t="shared" si="63"/>
        <v>5112.2500000000082</v>
      </c>
      <c r="V154" s="7">
        <f t="shared" si="63"/>
        <v>5112.25</v>
      </c>
      <c r="W154" s="7">
        <f t="shared" si="63"/>
        <v>5112.25</v>
      </c>
      <c r="X154" s="7">
        <f t="shared" si="63"/>
        <v>5112.2500000000036</v>
      </c>
      <c r="Y154" s="7">
        <f t="shared" si="63"/>
        <v>5112.2500000000036</v>
      </c>
      <c r="Z154" s="7">
        <f t="shared" si="63"/>
        <v>5112.2500000001419</v>
      </c>
      <c r="AA154" s="7">
        <f t="shared" si="63"/>
        <v>5112.2500000001301</v>
      </c>
      <c r="AB154" s="7">
        <f t="shared" si="63"/>
        <v>5112.2500000001182</v>
      </c>
      <c r="AC154" s="7">
        <f t="shared" si="63"/>
        <v>5112.25000000011</v>
      </c>
      <c r="AD154" s="7">
        <f t="shared" si="63"/>
        <v>5112.2500000000973</v>
      </c>
      <c r="AE154" s="7">
        <f t="shared" si="63"/>
        <v>5112.2500000000891</v>
      </c>
      <c r="AF154" s="7">
        <f t="shared" si="63"/>
        <v>5112.2500000000728</v>
      </c>
      <c r="AG154" s="7">
        <f t="shared" si="63"/>
        <v>5112.2500000000655</v>
      </c>
      <c r="AH154" s="7">
        <f t="shared" si="63"/>
        <v>5112.2500000000573</v>
      </c>
      <c r="AI154" s="7">
        <f t="shared" si="63"/>
        <v>5112.2500000000409</v>
      </c>
      <c r="AJ154" s="7">
        <f t="shared" si="63"/>
        <v>5112.2500000000327</v>
      </c>
      <c r="AK154" s="7">
        <f t="shared" si="63"/>
        <v>5112.2500000000246</v>
      </c>
      <c r="AL154" s="7">
        <f t="shared" si="63"/>
        <v>5112.2500000000082</v>
      </c>
      <c r="AM154" s="7">
        <f t="shared" si="63"/>
        <v>5112.2500000001546</v>
      </c>
      <c r="AN154" s="7">
        <f t="shared" si="63"/>
        <v>5112.2500000001382</v>
      </c>
      <c r="AO154" s="7">
        <f t="shared" si="63"/>
        <v>5112.2500000001301</v>
      </c>
      <c r="AP154" s="7">
        <f t="shared" si="63"/>
        <v>5112.2500000001219</v>
      </c>
      <c r="AQ154" s="7">
        <f t="shared" si="63"/>
        <v>5112.2500000001055</v>
      </c>
      <c r="AR154" s="7">
        <f t="shared" si="63"/>
        <v>5112.2500000000973</v>
      </c>
      <c r="AS154" s="7">
        <f t="shared" si="63"/>
        <v>5112.2500000000891</v>
      </c>
      <c r="AT154" s="7">
        <f t="shared" si="63"/>
        <v>5112.2499999999272</v>
      </c>
      <c r="AU154" s="7">
        <f t="shared" si="63"/>
        <v>5112.2500000000728</v>
      </c>
      <c r="AV154" s="7">
        <f t="shared" si="63"/>
        <v>5112.2500000000655</v>
      </c>
      <c r="AW154" s="7">
        <f t="shared" si="63"/>
        <v>5112.2500000000573</v>
      </c>
      <c r="AX154" s="7">
        <f t="shared" si="63"/>
        <v>5112.2500000000409</v>
      </c>
      <c r="AY154" s="7">
        <f t="shared" si="63"/>
        <v>5112.2500000000327</v>
      </c>
      <c r="AZ154" s="7">
        <f t="shared" si="63"/>
        <v>5112.2500000000327</v>
      </c>
      <c r="BA154" s="7">
        <f t="shared" si="63"/>
        <v>5112.2500000000327</v>
      </c>
      <c r="BB154" s="7">
        <f t="shared" si="63"/>
        <v>5112.2500000000327</v>
      </c>
      <c r="BC154" s="7">
        <f t="shared" si="63"/>
        <v>5112.2500000000327</v>
      </c>
      <c r="BD154" s="7">
        <f t="shared" si="63"/>
        <v>5112.2500000000327</v>
      </c>
      <c r="BE154" s="7">
        <f t="shared" si="63"/>
        <v>5112.2500000000327</v>
      </c>
      <c r="BF154" s="7">
        <f t="shared" si="63"/>
        <v>5112.2500000000327</v>
      </c>
      <c r="BG154" s="7">
        <f t="shared" si="63"/>
        <v>5112.2500000000164</v>
      </c>
      <c r="BH154" s="7">
        <f t="shared" si="63"/>
        <v>5112.2500000000164</v>
      </c>
      <c r="BI154" s="7">
        <f t="shared" si="63"/>
        <v>5112.2500000000164</v>
      </c>
    </row>
    <row r="155" spans="1:63" x14ac:dyDescent="0.25">
      <c r="A155" s="38" t="s">
        <v>11</v>
      </c>
      <c r="B155" s="38">
        <v>12</v>
      </c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3" x14ac:dyDescent="0.25">
      <c r="A156" s="8" t="s">
        <v>5</v>
      </c>
      <c r="B156" s="8">
        <f>AVERAGE(N154:BI154)</f>
        <v>5109.0350276492272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3" x14ac:dyDescent="0.25">
      <c r="A157" s="7" t="s">
        <v>7</v>
      </c>
      <c r="B157" s="7">
        <f>SUM(AX150:BI150)/B155</f>
        <v>610.1666666666689</v>
      </c>
    </row>
    <row r="158" spans="1:63" x14ac:dyDescent="0.25">
      <c r="A158" s="31" t="s">
        <v>6</v>
      </c>
      <c r="B158" s="7" t="s">
        <v>62</v>
      </c>
      <c r="C158" s="7">
        <v>61</v>
      </c>
      <c r="D158" s="7">
        <v>62</v>
      </c>
      <c r="E158" s="7">
        <v>63</v>
      </c>
      <c r="F158" s="7">
        <v>64</v>
      </c>
      <c r="G158" s="7">
        <v>65</v>
      </c>
      <c r="H158" s="7">
        <v>66</v>
      </c>
      <c r="I158" s="7">
        <v>67</v>
      </c>
      <c r="J158" s="7">
        <v>68</v>
      </c>
      <c r="K158" s="7">
        <v>69</v>
      </c>
      <c r="L158" s="7">
        <v>70</v>
      </c>
      <c r="M158" s="7">
        <v>71</v>
      </c>
      <c r="N158" s="7">
        <v>72</v>
      </c>
    </row>
    <row r="159" spans="1:63" x14ac:dyDescent="0.25">
      <c r="C159" s="7">
        <f>$B$157</f>
        <v>610.1666666666689</v>
      </c>
      <c r="D159" s="7">
        <f t="shared" ref="D159:N159" si="64">$B$157</f>
        <v>610.1666666666689</v>
      </c>
      <c r="E159" s="7">
        <f t="shared" si="64"/>
        <v>610.1666666666689</v>
      </c>
      <c r="F159" s="7">
        <f t="shared" si="64"/>
        <v>610.1666666666689</v>
      </c>
      <c r="G159" s="7">
        <f t="shared" si="64"/>
        <v>610.1666666666689</v>
      </c>
      <c r="H159" s="7">
        <f t="shared" si="64"/>
        <v>610.1666666666689</v>
      </c>
      <c r="I159" s="7">
        <f t="shared" si="64"/>
        <v>610.1666666666689</v>
      </c>
      <c r="J159" s="7">
        <f t="shared" si="64"/>
        <v>610.1666666666689</v>
      </c>
      <c r="K159" s="7">
        <f t="shared" si="64"/>
        <v>610.1666666666689</v>
      </c>
      <c r="L159" s="7">
        <f t="shared" si="64"/>
        <v>610.1666666666689</v>
      </c>
      <c r="M159" s="7">
        <f t="shared" si="64"/>
        <v>610.1666666666689</v>
      </c>
      <c r="N159" s="7">
        <f t="shared" si="64"/>
        <v>610.1666666666689</v>
      </c>
    </row>
    <row r="161" spans="1:63" x14ac:dyDescent="0.25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</row>
    <row r="163" spans="1:63" x14ac:dyDescent="0.25">
      <c r="A163" s="13" t="s">
        <v>1</v>
      </c>
      <c r="B163" s="13">
        <v>1</v>
      </c>
      <c r="C163" s="13">
        <v>2</v>
      </c>
      <c r="D163" s="13">
        <v>3</v>
      </c>
      <c r="E163" s="13">
        <v>4</v>
      </c>
      <c r="F163" s="13">
        <v>5</v>
      </c>
      <c r="G163" s="13">
        <v>6</v>
      </c>
      <c r="H163" s="13">
        <v>7</v>
      </c>
      <c r="I163" s="13">
        <v>8</v>
      </c>
      <c r="J163" s="13">
        <v>9</v>
      </c>
      <c r="K163" s="13">
        <v>10</v>
      </c>
      <c r="L163" s="13">
        <v>11</v>
      </c>
      <c r="M163" s="13">
        <v>12</v>
      </c>
      <c r="N163" s="13">
        <v>13</v>
      </c>
      <c r="O163" s="13">
        <v>14</v>
      </c>
      <c r="P163" s="13">
        <v>15</v>
      </c>
      <c r="Q163" s="13">
        <v>16</v>
      </c>
      <c r="R163" s="13">
        <v>17</v>
      </c>
      <c r="S163" s="13">
        <v>18</v>
      </c>
      <c r="T163" s="13">
        <v>19</v>
      </c>
      <c r="U163" s="13">
        <v>20</v>
      </c>
      <c r="V163" s="13">
        <v>21</v>
      </c>
      <c r="W163" s="13">
        <v>22</v>
      </c>
      <c r="X163" s="13">
        <v>23</v>
      </c>
      <c r="Y163" s="13">
        <v>24</v>
      </c>
      <c r="Z163" s="13">
        <v>25</v>
      </c>
      <c r="AA163" s="13">
        <v>26</v>
      </c>
      <c r="AB163" s="13">
        <v>27</v>
      </c>
      <c r="AC163" s="13">
        <v>28</v>
      </c>
      <c r="AD163" s="13">
        <v>29</v>
      </c>
      <c r="AE163" s="13">
        <v>30</v>
      </c>
      <c r="AF163" s="13">
        <v>31</v>
      </c>
      <c r="AG163" s="13">
        <v>32</v>
      </c>
      <c r="AH163" s="13">
        <v>33</v>
      </c>
      <c r="AI163" s="13">
        <v>34</v>
      </c>
      <c r="AJ163" s="13">
        <v>35</v>
      </c>
      <c r="AK163" s="13">
        <v>36</v>
      </c>
      <c r="AL163" s="13">
        <v>37</v>
      </c>
      <c r="AM163" s="13">
        <v>38</v>
      </c>
      <c r="AN163" s="13">
        <v>39</v>
      </c>
      <c r="AO163" s="13">
        <v>40</v>
      </c>
      <c r="AP163" s="13">
        <v>41</v>
      </c>
      <c r="AQ163" s="13">
        <v>42</v>
      </c>
      <c r="AR163" s="13">
        <v>43</v>
      </c>
      <c r="AS163" s="13">
        <v>44</v>
      </c>
      <c r="AT163" s="13">
        <v>45</v>
      </c>
      <c r="AU163" s="13">
        <v>46</v>
      </c>
      <c r="AV163" s="13">
        <v>47</v>
      </c>
      <c r="AW163" s="13">
        <v>48</v>
      </c>
      <c r="AX163" s="13">
        <v>49</v>
      </c>
      <c r="AY163" s="13">
        <v>50</v>
      </c>
      <c r="AZ163" s="13">
        <v>51</v>
      </c>
      <c r="BA163" s="13">
        <v>52</v>
      </c>
      <c r="BB163" s="13">
        <v>53</v>
      </c>
      <c r="BC163" s="13">
        <v>54</v>
      </c>
      <c r="BD163" s="13">
        <v>55</v>
      </c>
      <c r="BE163" s="13">
        <v>56</v>
      </c>
      <c r="BF163" s="13">
        <v>57</v>
      </c>
      <c r="BG163" s="13">
        <v>58</v>
      </c>
      <c r="BH163" s="13">
        <v>59</v>
      </c>
      <c r="BI163" s="13">
        <v>60</v>
      </c>
    </row>
    <row r="164" spans="1:63" x14ac:dyDescent="0.25">
      <c r="A164" s="13" t="s">
        <v>0</v>
      </c>
      <c r="B164" s="37">
        <f>'הזנת נתונים'!A66</f>
        <v>28</v>
      </c>
      <c r="C164" s="37">
        <f>'הזנת נתונים'!B66</f>
        <v>35</v>
      </c>
      <c r="D164" s="37">
        <f>'הזנת נתונים'!C66</f>
        <v>40</v>
      </c>
      <c r="E164" s="37">
        <f>'הזנת נתונים'!D66</f>
        <v>55</v>
      </c>
      <c r="F164" s="37">
        <f>'הזנת נתונים'!E66</f>
        <v>70</v>
      </c>
      <c r="G164" s="37">
        <f>'הזנת נתונים'!F66</f>
        <v>75</v>
      </c>
      <c r="H164" s="37">
        <f>'הזנת נתונים'!G66</f>
        <v>87.6666666666667</v>
      </c>
      <c r="I164" s="37">
        <f>'הזנת נתונים'!H66</f>
        <v>98.6666666666667</v>
      </c>
      <c r="J164" s="37">
        <f>'הזנת נתונים'!I66</f>
        <v>109.666666666667</v>
      </c>
      <c r="K164" s="37">
        <f>'הזנת נתונים'!J66</f>
        <v>120.666666666667</v>
      </c>
      <c r="L164" s="37">
        <f>'הזנת נתונים'!K66</f>
        <v>131.666666666667</v>
      </c>
      <c r="M164" s="37">
        <f>'הזנת נתונים'!L66</f>
        <v>142.666666666667</v>
      </c>
      <c r="N164" s="37">
        <f>'הזנת נתונים'!M66</f>
        <v>153.666666666667</v>
      </c>
      <c r="O164" s="37">
        <f>'הזנת נתונים'!N66</f>
        <v>164.666666666667</v>
      </c>
      <c r="P164" s="37">
        <f>'הזנת נתונים'!O66</f>
        <v>175.666666666667</v>
      </c>
      <c r="Q164" s="37">
        <f>'הזנת נתונים'!P66</f>
        <v>186.666666666667</v>
      </c>
      <c r="R164" s="37">
        <f>'הזנת נתונים'!Q66</f>
        <v>197.666666666667</v>
      </c>
      <c r="S164" s="37">
        <f>'הזנת נתונים'!R66</f>
        <v>208.666666666667</v>
      </c>
      <c r="T164" s="37">
        <f>'הזנת נתונים'!S66</f>
        <v>219.666666666667</v>
      </c>
      <c r="U164" s="37">
        <f>'הזנת נתונים'!T66</f>
        <v>230.666666666667</v>
      </c>
      <c r="V164" s="37">
        <f>'הזנת נתונים'!U66</f>
        <v>241.666666666667</v>
      </c>
      <c r="W164" s="37">
        <f>'הזנת נתונים'!V66</f>
        <v>252.666666666667</v>
      </c>
      <c r="X164" s="37">
        <f>'הזנת נתונים'!W66</f>
        <v>263.66666666666703</v>
      </c>
      <c r="Y164" s="37">
        <f>'הזנת נתונים'!X66</f>
        <v>274.66666666666703</v>
      </c>
      <c r="Z164" s="37">
        <f>'הזנת נתונים'!Y66</f>
        <v>285.66666666666799</v>
      </c>
      <c r="AA164" s="37">
        <f>'הזנת נתונים'!Z66</f>
        <v>296.66666666666799</v>
      </c>
      <c r="AB164" s="37">
        <f>'הזנת נתונים'!AA66</f>
        <v>307.66666666666799</v>
      </c>
      <c r="AC164" s="37">
        <f>'הזנת נתונים'!AB66</f>
        <v>318.66666666666799</v>
      </c>
      <c r="AD164" s="37">
        <f>'הזנת נתונים'!AC66</f>
        <v>329.66666666666799</v>
      </c>
      <c r="AE164" s="37">
        <f>'הזנת נתונים'!AD66</f>
        <v>340.66666666666799</v>
      </c>
      <c r="AF164" s="37">
        <f>'הזנת נתונים'!AE66</f>
        <v>351.66666666666799</v>
      </c>
      <c r="AG164" s="37">
        <f>'הזנת נתונים'!AF66</f>
        <v>362.66666666666799</v>
      </c>
      <c r="AH164" s="37">
        <f>'הזנת נתונים'!AG66</f>
        <v>373.66666666666799</v>
      </c>
      <c r="AI164" s="37">
        <f>'הזנת נתונים'!AH66</f>
        <v>384.66666666666799</v>
      </c>
      <c r="AJ164" s="37">
        <f>'הזנת נתונים'!AI66</f>
        <v>395.66666666666799</v>
      </c>
      <c r="AK164" s="37">
        <f>'הזנת נתונים'!AJ66</f>
        <v>406.66666666666799</v>
      </c>
      <c r="AL164" s="37">
        <f>'הזנת נתונים'!AK66</f>
        <v>417.66666666666799</v>
      </c>
      <c r="AM164" s="37">
        <f>'הזנת נתונים'!AL66</f>
        <v>428.66666666666902</v>
      </c>
      <c r="AN164" s="37">
        <f>'הזנת נתונים'!AM66</f>
        <v>439.66666666666902</v>
      </c>
      <c r="AO164" s="37">
        <f>'הזנת נתונים'!AN66</f>
        <v>450.66666666666902</v>
      </c>
      <c r="AP164" s="37">
        <f>'הזנת נתונים'!AO66</f>
        <v>461.66666666666902</v>
      </c>
      <c r="AQ164" s="37">
        <f>'הזנת נתונים'!AP66</f>
        <v>472.66666666666902</v>
      </c>
      <c r="AR164" s="37">
        <f>'הזנת נתונים'!AQ66</f>
        <v>483.66666666666902</v>
      </c>
      <c r="AS164" s="37">
        <f>'הזנת נתונים'!AR66</f>
        <v>494.66666666666902</v>
      </c>
      <c r="AT164" s="37">
        <f>'הזנת נתונים'!AS66</f>
        <v>505.66666666666799</v>
      </c>
      <c r="AU164" s="37">
        <f>'הזנת נתונים'!AT66</f>
        <v>516.66666666666902</v>
      </c>
      <c r="AV164" s="37">
        <f>'הזנת נתונים'!AU66</f>
        <v>527.66666666666902</v>
      </c>
      <c r="AW164" s="37">
        <f>'הזנת נתונים'!AV66</f>
        <v>538.66666666666902</v>
      </c>
      <c r="AX164" s="37">
        <f>'הזנת נתונים'!AW66</f>
        <v>549.66666666666902</v>
      </c>
      <c r="AY164" s="37">
        <f>'הזנת נתונים'!AX66</f>
        <v>560.66666666666902</v>
      </c>
      <c r="AZ164" s="37">
        <f>'הזנת נתונים'!AY66</f>
        <v>571.66666666666902</v>
      </c>
      <c r="BA164" s="37">
        <f>'הזנת נתונים'!AZ66</f>
        <v>582.66666666666902</v>
      </c>
      <c r="BB164" s="37">
        <f>'הזנת נתונים'!BA66</f>
        <v>593.66666666666902</v>
      </c>
      <c r="BC164" s="37">
        <f>'הזנת נתונים'!BB66</f>
        <v>604.66666666666902</v>
      </c>
      <c r="BD164" s="37">
        <f>'הזנת נתונים'!BC66</f>
        <v>615.66666666666902</v>
      </c>
      <c r="BE164" s="37">
        <f>'הזנת נתונים'!BD66</f>
        <v>626.66666666666902</v>
      </c>
      <c r="BF164" s="37">
        <f>'הזנת נתונים'!BE66</f>
        <v>637.66666666666902</v>
      </c>
      <c r="BG164" s="37">
        <f>'הזנת נתונים'!BF66</f>
        <v>648.66666666666902</v>
      </c>
      <c r="BH164" s="37">
        <f>'הזנת נתונים'!BG66</f>
        <v>659.66666666666902</v>
      </c>
      <c r="BI164" s="37">
        <f>'הזנת נתונים'!BH66</f>
        <v>670.66666666666902</v>
      </c>
    </row>
    <row r="165" spans="1:63" x14ac:dyDescent="0.25">
      <c r="A165" s="13" t="s">
        <v>2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M165" t="e">
        <v>#N/A</v>
      </c>
      <c r="N165">
        <f t="shared" ref="N165:BI165" si="65">AVERAGE(B164:N164)</f>
        <v>88.282051282051412</v>
      </c>
      <c r="O165">
        <f t="shared" si="65"/>
        <v>98.794871794871952</v>
      </c>
      <c r="P165">
        <f t="shared" si="65"/>
        <v>109.61538461538478</v>
      </c>
      <c r="Q165">
        <f t="shared" si="65"/>
        <v>120.8974358974361</v>
      </c>
      <c r="R165">
        <f t="shared" si="65"/>
        <v>131.87179487179509</v>
      </c>
      <c r="S165">
        <f t="shared" si="65"/>
        <v>142.53846153846177</v>
      </c>
      <c r="T165">
        <f t="shared" si="65"/>
        <v>153.66666666666694</v>
      </c>
      <c r="U165">
        <f t="shared" si="65"/>
        <v>164.66666666666697</v>
      </c>
      <c r="V165">
        <f t="shared" si="65"/>
        <v>175.666666666667</v>
      </c>
      <c r="W165">
        <f t="shared" si="65"/>
        <v>186.666666666667</v>
      </c>
      <c r="X165">
        <f t="shared" si="65"/>
        <v>197.666666666667</v>
      </c>
      <c r="Y165">
        <f t="shared" si="65"/>
        <v>208.666666666667</v>
      </c>
      <c r="Z165">
        <f t="shared" si="65"/>
        <v>219.66666666666708</v>
      </c>
      <c r="AA165">
        <f t="shared" si="65"/>
        <v>230.66666666666714</v>
      </c>
      <c r="AB165">
        <f t="shared" si="65"/>
        <v>241.66666666666723</v>
      </c>
      <c r="AC165">
        <f t="shared" si="65"/>
        <v>252.66666666666728</v>
      </c>
      <c r="AD165">
        <f t="shared" si="65"/>
        <v>263.66666666666737</v>
      </c>
      <c r="AE165">
        <f t="shared" si="65"/>
        <v>274.66666666666742</v>
      </c>
      <c r="AF165">
        <f t="shared" si="65"/>
        <v>285.66666666666748</v>
      </c>
      <c r="AG165">
        <f t="shared" si="65"/>
        <v>296.66666666666754</v>
      </c>
      <c r="AH165">
        <f t="shared" si="65"/>
        <v>307.66666666666765</v>
      </c>
      <c r="AI165">
        <f t="shared" si="65"/>
        <v>318.66666666666777</v>
      </c>
      <c r="AJ165">
        <f t="shared" si="65"/>
        <v>329.66666666666782</v>
      </c>
      <c r="AK165">
        <f t="shared" si="65"/>
        <v>340.66666666666788</v>
      </c>
      <c r="AL165">
        <f t="shared" si="65"/>
        <v>351.66666666666794</v>
      </c>
      <c r="AM165">
        <f t="shared" si="65"/>
        <v>362.66666666666799</v>
      </c>
      <c r="AN165">
        <f t="shared" si="65"/>
        <v>373.66666666666811</v>
      </c>
      <c r="AO165">
        <f t="shared" si="65"/>
        <v>384.66666666666816</v>
      </c>
      <c r="AP165">
        <f t="shared" si="65"/>
        <v>395.66666666666822</v>
      </c>
      <c r="AQ165">
        <f t="shared" si="65"/>
        <v>406.66666666666828</v>
      </c>
      <c r="AR165">
        <f t="shared" si="65"/>
        <v>417.66666666666839</v>
      </c>
      <c r="AS165">
        <f t="shared" si="65"/>
        <v>428.66666666666845</v>
      </c>
      <c r="AT165">
        <f t="shared" si="65"/>
        <v>439.66666666666845</v>
      </c>
      <c r="AU165">
        <f t="shared" si="65"/>
        <v>450.6666666666685</v>
      </c>
      <c r="AV165">
        <f t="shared" si="65"/>
        <v>461.66666666666856</v>
      </c>
      <c r="AW165">
        <f t="shared" si="65"/>
        <v>472.66666666666868</v>
      </c>
      <c r="AX165">
        <f t="shared" si="65"/>
        <v>483.66666666666873</v>
      </c>
      <c r="AY165">
        <f t="shared" si="65"/>
        <v>494.66666666666879</v>
      </c>
      <c r="AZ165">
        <f t="shared" si="65"/>
        <v>505.66666666666879</v>
      </c>
      <c r="BA165">
        <f t="shared" si="65"/>
        <v>516.66666666666879</v>
      </c>
      <c r="BB165">
        <f t="shared" si="65"/>
        <v>527.66666666666879</v>
      </c>
      <c r="BC165">
        <f t="shared" si="65"/>
        <v>538.66666666666879</v>
      </c>
      <c r="BD165">
        <f t="shared" si="65"/>
        <v>549.66666666666879</v>
      </c>
      <c r="BE165">
        <f t="shared" si="65"/>
        <v>560.66666666666879</v>
      </c>
      <c r="BF165">
        <f t="shared" si="65"/>
        <v>571.66666666666879</v>
      </c>
      <c r="BG165">
        <f t="shared" si="65"/>
        <v>582.6666666666689</v>
      </c>
      <c r="BH165">
        <f t="shared" si="65"/>
        <v>593.6666666666689</v>
      </c>
      <c r="BI165">
        <f t="shared" si="65"/>
        <v>604.6666666666689</v>
      </c>
    </row>
    <row r="166" spans="1:63" x14ac:dyDescent="0.25">
      <c r="A166" s="13" t="s">
        <v>9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>
        <f>N165</f>
        <v>88.282051282051412</v>
      </c>
      <c r="P166" s="7">
        <f t="shared" ref="P166:BI166" si="66">O165</f>
        <v>98.794871794871952</v>
      </c>
      <c r="Q166" s="7">
        <f t="shared" si="66"/>
        <v>109.61538461538478</v>
      </c>
      <c r="R166" s="7">
        <f t="shared" si="66"/>
        <v>120.8974358974361</v>
      </c>
      <c r="S166" s="7">
        <f t="shared" si="66"/>
        <v>131.87179487179509</v>
      </c>
      <c r="T166" s="7">
        <f t="shared" si="66"/>
        <v>142.53846153846177</v>
      </c>
      <c r="U166" s="7">
        <f t="shared" si="66"/>
        <v>153.66666666666694</v>
      </c>
      <c r="V166" s="7">
        <f t="shared" si="66"/>
        <v>164.66666666666697</v>
      </c>
      <c r="W166" s="7">
        <f t="shared" si="66"/>
        <v>175.666666666667</v>
      </c>
      <c r="X166" s="7">
        <f t="shared" si="66"/>
        <v>186.666666666667</v>
      </c>
      <c r="Y166" s="7">
        <f t="shared" si="66"/>
        <v>197.666666666667</v>
      </c>
      <c r="Z166" s="7">
        <f t="shared" si="66"/>
        <v>208.666666666667</v>
      </c>
      <c r="AA166" s="7">
        <f t="shared" si="66"/>
        <v>219.66666666666708</v>
      </c>
      <c r="AB166" s="7">
        <f t="shared" si="66"/>
        <v>230.66666666666714</v>
      </c>
      <c r="AC166" s="7">
        <f t="shared" si="66"/>
        <v>241.66666666666723</v>
      </c>
      <c r="AD166" s="7">
        <f t="shared" si="66"/>
        <v>252.66666666666728</v>
      </c>
      <c r="AE166" s="7">
        <f t="shared" si="66"/>
        <v>263.66666666666737</v>
      </c>
      <c r="AF166" s="7">
        <f t="shared" si="66"/>
        <v>274.66666666666742</v>
      </c>
      <c r="AG166" s="7">
        <f t="shared" si="66"/>
        <v>285.66666666666748</v>
      </c>
      <c r="AH166" s="7">
        <f t="shared" si="66"/>
        <v>296.66666666666754</v>
      </c>
      <c r="AI166" s="7">
        <f t="shared" si="66"/>
        <v>307.66666666666765</v>
      </c>
      <c r="AJ166" s="7">
        <f t="shared" si="66"/>
        <v>318.66666666666777</v>
      </c>
      <c r="AK166" s="7">
        <f t="shared" si="66"/>
        <v>329.66666666666782</v>
      </c>
      <c r="AL166" s="7">
        <f t="shared" si="66"/>
        <v>340.66666666666788</v>
      </c>
      <c r="AM166" s="7">
        <f t="shared" si="66"/>
        <v>351.66666666666794</v>
      </c>
      <c r="AN166" s="7">
        <f t="shared" si="66"/>
        <v>362.66666666666799</v>
      </c>
      <c r="AO166" s="7">
        <f t="shared" si="66"/>
        <v>373.66666666666811</v>
      </c>
      <c r="AP166" s="7">
        <f t="shared" si="66"/>
        <v>384.66666666666816</v>
      </c>
      <c r="AQ166" s="7">
        <f t="shared" si="66"/>
        <v>395.66666666666822</v>
      </c>
      <c r="AR166" s="7">
        <f t="shared" si="66"/>
        <v>406.66666666666828</v>
      </c>
      <c r="AS166" s="7">
        <f t="shared" si="66"/>
        <v>417.66666666666839</v>
      </c>
      <c r="AT166" s="7">
        <f t="shared" si="66"/>
        <v>428.66666666666845</v>
      </c>
      <c r="AU166" s="7">
        <f t="shared" si="66"/>
        <v>439.66666666666845</v>
      </c>
      <c r="AV166" s="7">
        <f t="shared" si="66"/>
        <v>450.6666666666685</v>
      </c>
      <c r="AW166" s="7">
        <f t="shared" si="66"/>
        <v>461.66666666666856</v>
      </c>
      <c r="AX166" s="7">
        <f t="shared" si="66"/>
        <v>472.66666666666868</v>
      </c>
      <c r="AY166" s="7">
        <f t="shared" si="66"/>
        <v>483.66666666666873</v>
      </c>
      <c r="AZ166" s="7">
        <f t="shared" si="66"/>
        <v>494.66666666666879</v>
      </c>
      <c r="BA166" s="7">
        <f t="shared" si="66"/>
        <v>505.66666666666879</v>
      </c>
      <c r="BB166" s="7">
        <f t="shared" si="66"/>
        <v>516.66666666666879</v>
      </c>
      <c r="BC166" s="7">
        <f t="shared" si="66"/>
        <v>527.66666666666879</v>
      </c>
      <c r="BD166" s="7">
        <f t="shared" si="66"/>
        <v>538.66666666666879</v>
      </c>
      <c r="BE166" s="7">
        <f t="shared" si="66"/>
        <v>549.66666666666879</v>
      </c>
      <c r="BF166" s="7">
        <f t="shared" si="66"/>
        <v>560.66666666666879</v>
      </c>
      <c r="BG166" s="7">
        <f t="shared" si="66"/>
        <v>571.66666666666879</v>
      </c>
      <c r="BH166" s="7">
        <f t="shared" si="66"/>
        <v>582.6666666666689</v>
      </c>
      <c r="BI166" s="7">
        <f t="shared" si="66"/>
        <v>593.6666666666689</v>
      </c>
    </row>
    <row r="167" spans="1:63" x14ac:dyDescent="0.25">
      <c r="A167" s="13" t="s">
        <v>4</v>
      </c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>
        <f>O166-O164</f>
        <v>-76.384615384615586</v>
      </c>
      <c r="P167" s="7">
        <f t="shared" ref="P167:BI167" si="67">P166-P164</f>
        <v>-76.871794871795046</v>
      </c>
      <c r="Q167" s="7">
        <f t="shared" si="67"/>
        <v>-77.051282051282215</v>
      </c>
      <c r="R167" s="7">
        <f t="shared" si="67"/>
        <v>-76.769230769230902</v>
      </c>
      <c r="S167" s="7">
        <f t="shared" si="67"/>
        <v>-76.794871794871909</v>
      </c>
      <c r="T167" s="7">
        <f t="shared" si="67"/>
        <v>-77.128205128205224</v>
      </c>
      <c r="U167" s="7">
        <f t="shared" si="67"/>
        <v>-77.000000000000057</v>
      </c>
      <c r="V167" s="7">
        <f t="shared" si="67"/>
        <v>-77.000000000000028</v>
      </c>
      <c r="W167" s="7">
        <f t="shared" si="67"/>
        <v>-77</v>
      </c>
      <c r="X167" s="7">
        <f t="shared" si="67"/>
        <v>-77.000000000000028</v>
      </c>
      <c r="Y167" s="7">
        <f t="shared" si="67"/>
        <v>-77.000000000000028</v>
      </c>
      <c r="Z167" s="7">
        <f t="shared" si="67"/>
        <v>-77.000000000000995</v>
      </c>
      <c r="AA167" s="7">
        <f t="shared" si="67"/>
        <v>-77.000000000000909</v>
      </c>
      <c r="AB167" s="7">
        <f t="shared" si="67"/>
        <v>-77.000000000000853</v>
      </c>
      <c r="AC167" s="7">
        <f t="shared" si="67"/>
        <v>-77.000000000000767</v>
      </c>
      <c r="AD167" s="7">
        <f t="shared" si="67"/>
        <v>-77.000000000000711</v>
      </c>
      <c r="AE167" s="7">
        <f t="shared" si="67"/>
        <v>-77.000000000000625</v>
      </c>
      <c r="AF167" s="7">
        <f t="shared" si="67"/>
        <v>-77.000000000000568</v>
      </c>
      <c r="AG167" s="7">
        <f t="shared" si="67"/>
        <v>-77.000000000000512</v>
      </c>
      <c r="AH167" s="7">
        <f t="shared" si="67"/>
        <v>-77.000000000000455</v>
      </c>
      <c r="AI167" s="7">
        <f t="shared" si="67"/>
        <v>-77.000000000000341</v>
      </c>
      <c r="AJ167" s="7">
        <f t="shared" si="67"/>
        <v>-77.000000000000227</v>
      </c>
      <c r="AK167" s="7">
        <f t="shared" si="67"/>
        <v>-77.000000000000171</v>
      </c>
      <c r="AL167" s="7">
        <f t="shared" si="67"/>
        <v>-77.000000000000114</v>
      </c>
      <c r="AM167" s="7">
        <f t="shared" si="67"/>
        <v>-77.00000000000108</v>
      </c>
      <c r="AN167" s="7">
        <f t="shared" si="67"/>
        <v>-77.000000000001023</v>
      </c>
      <c r="AO167" s="7">
        <f t="shared" si="67"/>
        <v>-77.000000000000909</v>
      </c>
      <c r="AP167" s="7">
        <f t="shared" si="67"/>
        <v>-77.000000000000853</v>
      </c>
      <c r="AQ167" s="7">
        <f t="shared" si="67"/>
        <v>-77.000000000000796</v>
      </c>
      <c r="AR167" s="7">
        <f t="shared" si="67"/>
        <v>-77.000000000000739</v>
      </c>
      <c r="AS167" s="7">
        <f t="shared" si="67"/>
        <v>-77.000000000000625</v>
      </c>
      <c r="AT167" s="7">
        <f t="shared" si="67"/>
        <v>-76.999999999999545</v>
      </c>
      <c r="AU167" s="7">
        <f t="shared" si="67"/>
        <v>-77.000000000000568</v>
      </c>
      <c r="AV167" s="7">
        <f t="shared" si="67"/>
        <v>-77.000000000000512</v>
      </c>
      <c r="AW167" s="7">
        <f t="shared" si="67"/>
        <v>-77.000000000000455</v>
      </c>
      <c r="AX167" s="7">
        <f t="shared" si="67"/>
        <v>-77.000000000000341</v>
      </c>
      <c r="AY167" s="7">
        <f t="shared" si="67"/>
        <v>-77.000000000000284</v>
      </c>
      <c r="AZ167" s="7">
        <f t="shared" si="67"/>
        <v>-77.000000000000227</v>
      </c>
      <c r="BA167" s="7">
        <f t="shared" si="67"/>
        <v>-77.000000000000227</v>
      </c>
      <c r="BB167" s="7">
        <f t="shared" si="67"/>
        <v>-77.000000000000227</v>
      </c>
      <c r="BC167" s="7">
        <f t="shared" si="67"/>
        <v>-77.000000000000227</v>
      </c>
      <c r="BD167" s="7">
        <f t="shared" si="67"/>
        <v>-77.000000000000227</v>
      </c>
      <c r="BE167" s="7">
        <f t="shared" si="67"/>
        <v>-77.000000000000227</v>
      </c>
      <c r="BF167" s="7">
        <f t="shared" si="67"/>
        <v>-77.000000000000227</v>
      </c>
      <c r="BG167" s="7">
        <f t="shared" si="67"/>
        <v>-77.000000000000227</v>
      </c>
      <c r="BH167" s="7">
        <f t="shared" si="67"/>
        <v>-77.000000000000114</v>
      </c>
      <c r="BI167" s="7">
        <f t="shared" si="67"/>
        <v>-77.000000000000114</v>
      </c>
    </row>
    <row r="168" spans="1:63" x14ac:dyDescent="0.25">
      <c r="A168" s="13" t="s">
        <v>12</v>
      </c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>
        <f>O167^2</f>
        <v>5834.6094674556516</v>
      </c>
      <c r="P168" s="7">
        <f t="shared" ref="P168:BI168" si="68">P167^2</f>
        <v>5909.2728468113355</v>
      </c>
      <c r="Q168" s="7">
        <f t="shared" si="68"/>
        <v>5936.9000657462448</v>
      </c>
      <c r="R168" s="7">
        <f t="shared" si="68"/>
        <v>5893.5147928994284</v>
      </c>
      <c r="S168" s="7">
        <f t="shared" si="68"/>
        <v>5897.4523339908128</v>
      </c>
      <c r="T168" s="7">
        <f t="shared" si="68"/>
        <v>5948.7600262985025</v>
      </c>
      <c r="U168" s="7">
        <f t="shared" si="68"/>
        <v>5929.0000000000091</v>
      </c>
      <c r="V168" s="7">
        <f t="shared" si="68"/>
        <v>5929.0000000000045</v>
      </c>
      <c r="W168" s="7">
        <f t="shared" si="68"/>
        <v>5929</v>
      </c>
      <c r="X168" s="7">
        <f t="shared" si="68"/>
        <v>5929.0000000000045</v>
      </c>
      <c r="Y168" s="7">
        <f t="shared" si="68"/>
        <v>5929.0000000000045</v>
      </c>
      <c r="Z168" s="7">
        <f t="shared" si="68"/>
        <v>5929.0000000001528</v>
      </c>
      <c r="AA168" s="7">
        <f t="shared" si="68"/>
        <v>5929.0000000001401</v>
      </c>
      <c r="AB168" s="7">
        <f t="shared" si="68"/>
        <v>5929.000000000131</v>
      </c>
      <c r="AC168" s="7">
        <f t="shared" si="68"/>
        <v>5929.0000000001182</v>
      </c>
      <c r="AD168" s="7">
        <f t="shared" si="68"/>
        <v>5929.0000000001091</v>
      </c>
      <c r="AE168" s="7">
        <f t="shared" si="68"/>
        <v>5929.0000000000964</v>
      </c>
      <c r="AF168" s="7">
        <f t="shared" si="68"/>
        <v>5929.0000000000873</v>
      </c>
      <c r="AG168" s="7">
        <f t="shared" si="68"/>
        <v>5929.0000000000791</v>
      </c>
      <c r="AH168" s="7">
        <f t="shared" si="68"/>
        <v>5929.00000000007</v>
      </c>
      <c r="AI168" s="7">
        <f t="shared" si="68"/>
        <v>5929.0000000000528</v>
      </c>
      <c r="AJ168" s="7">
        <f t="shared" si="68"/>
        <v>5929.0000000000346</v>
      </c>
      <c r="AK168" s="7">
        <f t="shared" si="68"/>
        <v>5929.0000000000264</v>
      </c>
      <c r="AL168" s="7">
        <f t="shared" si="68"/>
        <v>5929.0000000000173</v>
      </c>
      <c r="AM168" s="7">
        <f t="shared" si="68"/>
        <v>5929.0000000001664</v>
      </c>
      <c r="AN168" s="7">
        <f t="shared" si="68"/>
        <v>5929.0000000001573</v>
      </c>
      <c r="AO168" s="7">
        <f t="shared" si="68"/>
        <v>5929.0000000001401</v>
      </c>
      <c r="AP168" s="7">
        <f t="shared" si="68"/>
        <v>5929.000000000131</v>
      </c>
      <c r="AQ168" s="7">
        <f t="shared" si="68"/>
        <v>5929.0000000001228</v>
      </c>
      <c r="AR168" s="7">
        <f t="shared" si="68"/>
        <v>5929.0000000001137</v>
      </c>
      <c r="AS168" s="7">
        <f t="shared" si="68"/>
        <v>5929.0000000000964</v>
      </c>
      <c r="AT168" s="7">
        <f t="shared" si="68"/>
        <v>5928.99999999993</v>
      </c>
      <c r="AU168" s="7">
        <f t="shared" si="68"/>
        <v>5929.0000000000873</v>
      </c>
      <c r="AV168" s="7">
        <f t="shared" si="68"/>
        <v>5929.0000000000791</v>
      </c>
      <c r="AW168" s="7">
        <f t="shared" si="68"/>
        <v>5929.00000000007</v>
      </c>
      <c r="AX168" s="7">
        <f t="shared" si="68"/>
        <v>5929.0000000000528</v>
      </c>
      <c r="AY168" s="7">
        <f t="shared" si="68"/>
        <v>5929.0000000000437</v>
      </c>
      <c r="AZ168" s="7">
        <f t="shared" si="68"/>
        <v>5929.0000000000346</v>
      </c>
      <c r="BA168" s="7">
        <f t="shared" si="68"/>
        <v>5929.0000000000346</v>
      </c>
      <c r="BB168" s="7">
        <f t="shared" si="68"/>
        <v>5929.0000000000346</v>
      </c>
      <c r="BC168" s="7">
        <f t="shared" si="68"/>
        <v>5929.0000000000346</v>
      </c>
      <c r="BD168" s="7">
        <f t="shared" si="68"/>
        <v>5929.0000000000346</v>
      </c>
      <c r="BE168" s="7">
        <f t="shared" si="68"/>
        <v>5929.0000000000346</v>
      </c>
      <c r="BF168" s="7">
        <f t="shared" si="68"/>
        <v>5929.0000000000346</v>
      </c>
      <c r="BG168" s="7">
        <f t="shared" si="68"/>
        <v>5929.0000000000346</v>
      </c>
      <c r="BH168" s="7">
        <f t="shared" si="68"/>
        <v>5929.0000000000173</v>
      </c>
      <c r="BI168" s="7">
        <f t="shared" si="68"/>
        <v>5929.0000000000173</v>
      </c>
    </row>
    <row r="169" spans="1:63" x14ac:dyDescent="0.25">
      <c r="A169" s="38" t="s">
        <v>11</v>
      </c>
      <c r="B169" s="38">
        <v>13</v>
      </c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3" x14ac:dyDescent="0.25">
      <c r="A170" s="8" t="s">
        <v>5</v>
      </c>
      <c r="B170" s="8">
        <f>AVERAGE(G168:BI168)</f>
        <v>5925.7342453873307</v>
      </c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3" x14ac:dyDescent="0.25">
      <c r="A171" s="7" t="s">
        <v>7</v>
      </c>
      <c r="B171" s="7">
        <f>SUM(AW164:BI164)/B169</f>
        <v>604.6666666666689</v>
      </c>
    </row>
    <row r="172" spans="1:63" x14ac:dyDescent="0.25">
      <c r="A172" s="31" t="s">
        <v>6</v>
      </c>
      <c r="B172" s="7" t="s">
        <v>62</v>
      </c>
      <c r="C172" s="7">
        <v>61</v>
      </c>
      <c r="D172" s="7">
        <v>62</v>
      </c>
      <c r="E172" s="7">
        <v>63</v>
      </c>
      <c r="F172" s="7">
        <v>64</v>
      </c>
      <c r="G172" s="7">
        <v>65</v>
      </c>
      <c r="H172" s="7">
        <v>66</v>
      </c>
      <c r="I172" s="7">
        <v>67</v>
      </c>
      <c r="J172" s="7">
        <v>68</v>
      </c>
      <c r="K172" s="7">
        <v>69</v>
      </c>
      <c r="L172" s="7">
        <v>70</v>
      </c>
      <c r="M172" s="7">
        <v>71</v>
      </c>
      <c r="N172" s="7">
        <v>72</v>
      </c>
    </row>
    <row r="173" spans="1:63" x14ac:dyDescent="0.25">
      <c r="C173" s="7">
        <f>$B$171</f>
        <v>604.6666666666689</v>
      </c>
      <c r="D173" s="7">
        <f t="shared" ref="D173:N173" si="69">$B$171</f>
        <v>604.6666666666689</v>
      </c>
      <c r="E173" s="7">
        <f t="shared" si="69"/>
        <v>604.6666666666689</v>
      </c>
      <c r="F173" s="7">
        <f t="shared" si="69"/>
        <v>604.6666666666689</v>
      </c>
      <c r="G173" s="7">
        <f t="shared" si="69"/>
        <v>604.6666666666689</v>
      </c>
      <c r="H173" s="7">
        <f t="shared" si="69"/>
        <v>604.6666666666689</v>
      </c>
      <c r="I173" s="7">
        <f t="shared" si="69"/>
        <v>604.6666666666689</v>
      </c>
      <c r="J173" s="7">
        <f t="shared" si="69"/>
        <v>604.6666666666689</v>
      </c>
      <c r="K173" s="7">
        <f t="shared" si="69"/>
        <v>604.6666666666689</v>
      </c>
      <c r="L173" s="7">
        <f t="shared" si="69"/>
        <v>604.6666666666689</v>
      </c>
      <c r="M173" s="7">
        <f t="shared" si="69"/>
        <v>604.6666666666689</v>
      </c>
      <c r="N173" s="7">
        <f t="shared" si="69"/>
        <v>604.6666666666689</v>
      </c>
    </row>
    <row r="176" spans="1:63" x14ac:dyDescent="0.25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</row>
    <row r="178" spans="1:63" x14ac:dyDescent="0.25">
      <c r="A178" s="13" t="s">
        <v>1</v>
      </c>
      <c r="B178" s="13">
        <v>1</v>
      </c>
      <c r="C178" s="13">
        <v>2</v>
      </c>
      <c r="D178" s="13">
        <v>3</v>
      </c>
      <c r="E178" s="13">
        <v>4</v>
      </c>
      <c r="F178" s="13">
        <v>5</v>
      </c>
      <c r="G178" s="13">
        <v>6</v>
      </c>
      <c r="H178" s="13">
        <v>7</v>
      </c>
      <c r="I178" s="13">
        <v>8</v>
      </c>
      <c r="J178" s="13">
        <v>9</v>
      </c>
      <c r="K178" s="13">
        <v>10</v>
      </c>
      <c r="L178" s="13">
        <v>11</v>
      </c>
      <c r="M178" s="13">
        <v>12</v>
      </c>
      <c r="N178" s="13">
        <v>13</v>
      </c>
      <c r="O178" s="13">
        <v>14</v>
      </c>
      <c r="P178" s="13">
        <v>15</v>
      </c>
      <c r="Q178" s="13">
        <v>16</v>
      </c>
      <c r="R178" s="13">
        <v>17</v>
      </c>
      <c r="S178" s="13">
        <v>18</v>
      </c>
      <c r="T178" s="13">
        <v>19</v>
      </c>
      <c r="U178" s="13">
        <v>20</v>
      </c>
      <c r="V178" s="13">
        <v>21</v>
      </c>
      <c r="W178" s="13">
        <v>22</v>
      </c>
      <c r="X178" s="13">
        <v>23</v>
      </c>
      <c r="Y178" s="13">
        <v>24</v>
      </c>
      <c r="Z178" s="13">
        <v>25</v>
      </c>
      <c r="AA178" s="13">
        <v>26</v>
      </c>
      <c r="AB178" s="13">
        <v>27</v>
      </c>
      <c r="AC178" s="13">
        <v>28</v>
      </c>
      <c r="AD178" s="13">
        <v>29</v>
      </c>
      <c r="AE178" s="13">
        <v>30</v>
      </c>
      <c r="AF178" s="13">
        <v>31</v>
      </c>
      <c r="AG178" s="13">
        <v>32</v>
      </c>
      <c r="AH178" s="13">
        <v>33</v>
      </c>
      <c r="AI178" s="13">
        <v>34</v>
      </c>
      <c r="AJ178" s="13">
        <v>35</v>
      </c>
      <c r="AK178" s="13">
        <v>36</v>
      </c>
      <c r="AL178" s="13">
        <v>37</v>
      </c>
      <c r="AM178" s="13">
        <v>38</v>
      </c>
      <c r="AN178" s="13">
        <v>39</v>
      </c>
      <c r="AO178" s="13">
        <v>40</v>
      </c>
      <c r="AP178" s="13">
        <v>41</v>
      </c>
      <c r="AQ178" s="13">
        <v>42</v>
      </c>
      <c r="AR178" s="13">
        <v>43</v>
      </c>
      <c r="AS178" s="13">
        <v>44</v>
      </c>
      <c r="AT178" s="13">
        <v>45</v>
      </c>
      <c r="AU178" s="13">
        <v>46</v>
      </c>
      <c r="AV178" s="13">
        <v>47</v>
      </c>
      <c r="AW178" s="13">
        <v>48</v>
      </c>
      <c r="AX178" s="13">
        <v>49</v>
      </c>
      <c r="AY178" s="13">
        <v>50</v>
      </c>
      <c r="AZ178" s="13">
        <v>51</v>
      </c>
      <c r="BA178" s="13">
        <v>52</v>
      </c>
      <c r="BB178" s="13">
        <v>53</v>
      </c>
      <c r="BC178" s="13">
        <v>54</v>
      </c>
      <c r="BD178" s="13">
        <v>55</v>
      </c>
      <c r="BE178" s="13">
        <v>56</v>
      </c>
      <c r="BF178" s="13">
        <v>57</v>
      </c>
      <c r="BG178" s="13">
        <v>58</v>
      </c>
      <c r="BH178" s="13">
        <v>59</v>
      </c>
      <c r="BI178" s="13">
        <v>60</v>
      </c>
    </row>
    <row r="179" spans="1:63" x14ac:dyDescent="0.25">
      <c r="A179" s="13" t="s">
        <v>0</v>
      </c>
      <c r="B179" s="37">
        <f>'הזנת נתונים'!A66</f>
        <v>28</v>
      </c>
      <c r="C179" s="37">
        <f>'הזנת נתונים'!B66</f>
        <v>35</v>
      </c>
      <c r="D179" s="37">
        <f>'הזנת נתונים'!C66</f>
        <v>40</v>
      </c>
      <c r="E179" s="37">
        <f>'הזנת נתונים'!D66</f>
        <v>55</v>
      </c>
      <c r="F179" s="37">
        <f>'הזנת נתונים'!E66</f>
        <v>70</v>
      </c>
      <c r="G179" s="37">
        <f>'הזנת נתונים'!F66</f>
        <v>75</v>
      </c>
      <c r="H179" s="37">
        <f>'הזנת נתונים'!G66</f>
        <v>87.6666666666667</v>
      </c>
      <c r="I179" s="37">
        <f>'הזנת נתונים'!H66</f>
        <v>98.6666666666667</v>
      </c>
      <c r="J179" s="37">
        <f>'הזנת נתונים'!I66</f>
        <v>109.666666666667</v>
      </c>
      <c r="K179" s="37">
        <f>'הזנת נתונים'!J66</f>
        <v>120.666666666667</v>
      </c>
      <c r="L179" s="37">
        <f>'הזנת נתונים'!K66</f>
        <v>131.666666666667</v>
      </c>
      <c r="M179" s="37">
        <f>'הזנת נתונים'!L66</f>
        <v>142.666666666667</v>
      </c>
      <c r="N179" s="37">
        <f>'הזנת נתונים'!M66</f>
        <v>153.666666666667</v>
      </c>
      <c r="O179" s="37">
        <f>'הזנת נתונים'!N66</f>
        <v>164.666666666667</v>
      </c>
      <c r="P179" s="37">
        <f>'הזנת נתונים'!O66</f>
        <v>175.666666666667</v>
      </c>
      <c r="Q179" s="37">
        <f>'הזנת נתונים'!P66</f>
        <v>186.666666666667</v>
      </c>
      <c r="R179" s="37">
        <f>'הזנת נתונים'!Q66</f>
        <v>197.666666666667</v>
      </c>
      <c r="S179" s="37">
        <f>'הזנת נתונים'!R66</f>
        <v>208.666666666667</v>
      </c>
      <c r="T179" s="37">
        <f>'הזנת נתונים'!S66</f>
        <v>219.666666666667</v>
      </c>
      <c r="U179" s="37">
        <f>'הזנת נתונים'!T66</f>
        <v>230.666666666667</v>
      </c>
      <c r="V179" s="37">
        <f>'הזנת נתונים'!U66</f>
        <v>241.666666666667</v>
      </c>
      <c r="W179" s="37">
        <f>'הזנת נתונים'!V66</f>
        <v>252.666666666667</v>
      </c>
      <c r="X179" s="37">
        <f>'הזנת נתונים'!W66</f>
        <v>263.66666666666703</v>
      </c>
      <c r="Y179" s="37">
        <f>'הזנת נתונים'!X66</f>
        <v>274.66666666666703</v>
      </c>
      <c r="Z179" s="37">
        <f>'הזנת נתונים'!Y66</f>
        <v>285.66666666666799</v>
      </c>
      <c r="AA179" s="37">
        <f>'הזנת נתונים'!Z66</f>
        <v>296.66666666666799</v>
      </c>
      <c r="AB179" s="37">
        <f>'הזנת נתונים'!AA66</f>
        <v>307.66666666666799</v>
      </c>
      <c r="AC179" s="37">
        <f>'הזנת נתונים'!AB66</f>
        <v>318.66666666666799</v>
      </c>
      <c r="AD179" s="37">
        <f>'הזנת נתונים'!AC66</f>
        <v>329.66666666666799</v>
      </c>
      <c r="AE179" s="37">
        <f>'הזנת נתונים'!AD66</f>
        <v>340.66666666666799</v>
      </c>
      <c r="AF179" s="37">
        <f>'הזנת נתונים'!AE66</f>
        <v>351.66666666666799</v>
      </c>
      <c r="AG179" s="37">
        <f>'הזנת נתונים'!AF66</f>
        <v>362.66666666666799</v>
      </c>
      <c r="AH179" s="37">
        <f>'הזנת נתונים'!AG66</f>
        <v>373.66666666666799</v>
      </c>
      <c r="AI179" s="37">
        <f>'הזנת נתונים'!AH66</f>
        <v>384.66666666666799</v>
      </c>
      <c r="AJ179" s="37">
        <f>'הזנת נתונים'!AI66</f>
        <v>395.66666666666799</v>
      </c>
      <c r="AK179" s="37">
        <f>'הזנת נתונים'!AJ66</f>
        <v>406.66666666666799</v>
      </c>
      <c r="AL179" s="37">
        <f>'הזנת נתונים'!AK66</f>
        <v>417.66666666666799</v>
      </c>
      <c r="AM179" s="37">
        <f>'הזנת נתונים'!AL66</f>
        <v>428.66666666666902</v>
      </c>
      <c r="AN179" s="37">
        <f>'הזנת נתונים'!AM66</f>
        <v>439.66666666666902</v>
      </c>
      <c r="AO179" s="37">
        <f>'הזנת נתונים'!AN66</f>
        <v>450.66666666666902</v>
      </c>
      <c r="AP179" s="37">
        <f>'הזנת נתונים'!AO66</f>
        <v>461.66666666666902</v>
      </c>
      <c r="AQ179" s="37">
        <f>'הזנת נתונים'!AP66</f>
        <v>472.66666666666902</v>
      </c>
      <c r="AR179" s="37">
        <f>'הזנת נתונים'!AQ66</f>
        <v>483.66666666666902</v>
      </c>
      <c r="AS179" s="37">
        <f>'הזנת נתונים'!AR66</f>
        <v>494.66666666666902</v>
      </c>
      <c r="AT179" s="37">
        <f>'הזנת נתונים'!AS66</f>
        <v>505.66666666666799</v>
      </c>
      <c r="AU179" s="37">
        <f>'הזנת נתונים'!AT66</f>
        <v>516.66666666666902</v>
      </c>
      <c r="AV179" s="37">
        <f>'הזנת נתונים'!AU66</f>
        <v>527.66666666666902</v>
      </c>
      <c r="AW179" s="37">
        <f>'הזנת נתונים'!AV66</f>
        <v>538.66666666666902</v>
      </c>
      <c r="AX179" s="37">
        <f>'הזנת נתונים'!AW66</f>
        <v>549.66666666666902</v>
      </c>
      <c r="AY179" s="37">
        <f>'הזנת נתונים'!AX66</f>
        <v>560.66666666666902</v>
      </c>
      <c r="AZ179" s="37">
        <f>'הזנת נתונים'!AY66</f>
        <v>571.66666666666902</v>
      </c>
      <c r="BA179" s="37">
        <f>'הזנת נתונים'!AZ66</f>
        <v>582.66666666666902</v>
      </c>
      <c r="BB179" s="37">
        <f>'הזנת נתונים'!BA66</f>
        <v>593.66666666666902</v>
      </c>
      <c r="BC179" s="37">
        <f>'הזנת נתונים'!BB66</f>
        <v>604.66666666666902</v>
      </c>
      <c r="BD179" s="37">
        <f>'הזנת נתונים'!BC66</f>
        <v>615.66666666666902</v>
      </c>
      <c r="BE179" s="37">
        <f>'הזנת נתונים'!BD66</f>
        <v>626.66666666666902</v>
      </c>
      <c r="BF179" s="37">
        <f>'הזנת נתונים'!BE66</f>
        <v>637.66666666666902</v>
      </c>
      <c r="BG179" s="37">
        <f>'הזנת נתונים'!BF66</f>
        <v>648.66666666666902</v>
      </c>
      <c r="BH179" s="37">
        <f>'הזנת נתונים'!BG66</f>
        <v>659.66666666666902</v>
      </c>
      <c r="BI179" s="37">
        <f>'הזנת נתונים'!BH66</f>
        <v>670.66666666666902</v>
      </c>
    </row>
    <row r="180" spans="1:63" x14ac:dyDescent="0.25">
      <c r="A180" s="13" t="s">
        <v>2</v>
      </c>
      <c r="B180" t="e">
        <v>#N/A</v>
      </c>
      <c r="C180" t="e">
        <v>#N/A</v>
      </c>
      <c r="D180" t="e">
        <v>#N/A</v>
      </c>
      <c r="E180" t="e">
        <v>#N/A</v>
      </c>
      <c r="F180" t="e">
        <v>#N/A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M180" t="e">
        <v>#N/A</v>
      </c>
      <c r="N180" t="e">
        <v>#N/A</v>
      </c>
      <c r="O180">
        <f t="shared" ref="O180:BI180" si="70">AVERAGE(B179:O179)</f>
        <v>93.738095238095383</v>
      </c>
      <c r="P180">
        <f t="shared" si="70"/>
        <v>104.28571428571445</v>
      </c>
      <c r="Q180">
        <f t="shared" si="70"/>
        <v>115.11904761904781</v>
      </c>
      <c r="R180">
        <f t="shared" si="70"/>
        <v>126.38095238095259</v>
      </c>
      <c r="S180">
        <f t="shared" si="70"/>
        <v>137.35714285714309</v>
      </c>
      <c r="T180">
        <f t="shared" si="70"/>
        <v>148.04761904761929</v>
      </c>
      <c r="U180">
        <f t="shared" si="70"/>
        <v>159.16666666666694</v>
      </c>
      <c r="V180">
        <f t="shared" si="70"/>
        <v>170.16666666666697</v>
      </c>
      <c r="W180">
        <f t="shared" si="70"/>
        <v>181.166666666667</v>
      </c>
      <c r="X180">
        <f t="shared" si="70"/>
        <v>192.166666666667</v>
      </c>
      <c r="Y180">
        <f t="shared" si="70"/>
        <v>203.166666666667</v>
      </c>
      <c r="Z180">
        <f t="shared" si="70"/>
        <v>214.16666666666706</v>
      </c>
      <c r="AA180">
        <f t="shared" si="70"/>
        <v>225.16666666666714</v>
      </c>
      <c r="AB180">
        <f t="shared" si="70"/>
        <v>236.1666666666672</v>
      </c>
      <c r="AC180">
        <f t="shared" si="70"/>
        <v>247.16666666666725</v>
      </c>
      <c r="AD180">
        <f t="shared" si="70"/>
        <v>258.16666666666731</v>
      </c>
      <c r="AE180">
        <f t="shared" si="70"/>
        <v>269.16666666666737</v>
      </c>
      <c r="AF180">
        <f t="shared" si="70"/>
        <v>280.16666666666748</v>
      </c>
      <c r="AG180">
        <f t="shared" si="70"/>
        <v>291.16666666666754</v>
      </c>
      <c r="AH180">
        <f t="shared" si="70"/>
        <v>302.1666666666676</v>
      </c>
      <c r="AI180">
        <f t="shared" si="70"/>
        <v>313.16666666666771</v>
      </c>
      <c r="AJ180">
        <f t="shared" si="70"/>
        <v>324.16666666666777</v>
      </c>
      <c r="AK180">
        <f t="shared" si="70"/>
        <v>335.16666666666782</v>
      </c>
      <c r="AL180">
        <f t="shared" si="70"/>
        <v>346.16666666666788</v>
      </c>
      <c r="AM180">
        <f t="shared" si="70"/>
        <v>357.16666666666799</v>
      </c>
      <c r="AN180">
        <f t="shared" si="70"/>
        <v>368.16666666666805</v>
      </c>
      <c r="AO180">
        <f t="shared" si="70"/>
        <v>379.16666666666816</v>
      </c>
      <c r="AP180">
        <f t="shared" si="70"/>
        <v>390.16666666666822</v>
      </c>
      <c r="AQ180">
        <f t="shared" si="70"/>
        <v>401.16666666666828</v>
      </c>
      <c r="AR180">
        <f t="shared" si="70"/>
        <v>412.16666666666833</v>
      </c>
      <c r="AS180">
        <f t="shared" si="70"/>
        <v>423.16666666666839</v>
      </c>
      <c r="AT180">
        <f t="shared" si="70"/>
        <v>434.16666666666839</v>
      </c>
      <c r="AU180">
        <f t="shared" si="70"/>
        <v>445.16666666666845</v>
      </c>
      <c r="AV180">
        <f t="shared" si="70"/>
        <v>456.1666666666685</v>
      </c>
      <c r="AW180">
        <f t="shared" si="70"/>
        <v>467.16666666666862</v>
      </c>
      <c r="AX180">
        <f t="shared" si="70"/>
        <v>478.16666666666868</v>
      </c>
      <c r="AY180">
        <f t="shared" si="70"/>
        <v>489.16666666666873</v>
      </c>
      <c r="AZ180">
        <f t="shared" si="70"/>
        <v>500.16666666666879</v>
      </c>
      <c r="BA180">
        <f t="shared" si="70"/>
        <v>511.16666666666879</v>
      </c>
      <c r="BB180">
        <f t="shared" si="70"/>
        <v>522.16666666666879</v>
      </c>
      <c r="BC180">
        <f t="shared" si="70"/>
        <v>533.16666666666879</v>
      </c>
      <c r="BD180">
        <f t="shared" si="70"/>
        <v>544.16666666666879</v>
      </c>
      <c r="BE180">
        <f t="shared" si="70"/>
        <v>555.16666666666879</v>
      </c>
      <c r="BF180">
        <f t="shared" si="70"/>
        <v>566.16666666666879</v>
      </c>
      <c r="BG180">
        <f t="shared" si="70"/>
        <v>577.16666666666879</v>
      </c>
      <c r="BH180">
        <f t="shared" si="70"/>
        <v>588.1666666666689</v>
      </c>
      <c r="BI180">
        <f t="shared" si="70"/>
        <v>599.1666666666689</v>
      </c>
    </row>
    <row r="181" spans="1:63" x14ac:dyDescent="0.25">
      <c r="A181" s="13" t="s">
        <v>9</v>
      </c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>
        <f>O180</f>
        <v>93.738095238095383</v>
      </c>
      <c r="Q181" s="7">
        <f t="shared" ref="Q181:BI181" si="71">P180</f>
        <v>104.28571428571445</v>
      </c>
      <c r="R181" s="7">
        <f t="shared" si="71"/>
        <v>115.11904761904781</v>
      </c>
      <c r="S181" s="7">
        <f t="shared" si="71"/>
        <v>126.38095238095259</v>
      </c>
      <c r="T181" s="7">
        <f t="shared" si="71"/>
        <v>137.35714285714309</v>
      </c>
      <c r="U181" s="7">
        <f t="shared" si="71"/>
        <v>148.04761904761929</v>
      </c>
      <c r="V181" s="7">
        <f t="shared" si="71"/>
        <v>159.16666666666694</v>
      </c>
      <c r="W181" s="7">
        <f t="shared" si="71"/>
        <v>170.16666666666697</v>
      </c>
      <c r="X181" s="7">
        <f t="shared" si="71"/>
        <v>181.166666666667</v>
      </c>
      <c r="Y181" s="7">
        <f t="shared" si="71"/>
        <v>192.166666666667</v>
      </c>
      <c r="Z181" s="7">
        <f t="shared" si="71"/>
        <v>203.166666666667</v>
      </c>
      <c r="AA181" s="7">
        <f t="shared" si="71"/>
        <v>214.16666666666706</v>
      </c>
      <c r="AB181" s="7">
        <f t="shared" si="71"/>
        <v>225.16666666666714</v>
      </c>
      <c r="AC181" s="7">
        <f t="shared" si="71"/>
        <v>236.1666666666672</v>
      </c>
      <c r="AD181" s="7">
        <f t="shared" si="71"/>
        <v>247.16666666666725</v>
      </c>
      <c r="AE181" s="7">
        <f t="shared" si="71"/>
        <v>258.16666666666731</v>
      </c>
      <c r="AF181" s="7">
        <f t="shared" si="71"/>
        <v>269.16666666666737</v>
      </c>
      <c r="AG181" s="7">
        <f t="shared" si="71"/>
        <v>280.16666666666748</v>
      </c>
      <c r="AH181" s="7">
        <f t="shared" si="71"/>
        <v>291.16666666666754</v>
      </c>
      <c r="AI181" s="7">
        <f t="shared" si="71"/>
        <v>302.1666666666676</v>
      </c>
      <c r="AJ181" s="7">
        <f t="shared" si="71"/>
        <v>313.16666666666771</v>
      </c>
      <c r="AK181" s="7">
        <f t="shared" si="71"/>
        <v>324.16666666666777</v>
      </c>
      <c r="AL181" s="7">
        <f t="shared" si="71"/>
        <v>335.16666666666782</v>
      </c>
      <c r="AM181" s="7">
        <f t="shared" si="71"/>
        <v>346.16666666666788</v>
      </c>
      <c r="AN181" s="7">
        <f t="shared" si="71"/>
        <v>357.16666666666799</v>
      </c>
      <c r="AO181" s="7">
        <f t="shared" si="71"/>
        <v>368.16666666666805</v>
      </c>
      <c r="AP181" s="7">
        <f t="shared" si="71"/>
        <v>379.16666666666816</v>
      </c>
      <c r="AQ181" s="7">
        <f t="shared" si="71"/>
        <v>390.16666666666822</v>
      </c>
      <c r="AR181" s="7">
        <f t="shared" si="71"/>
        <v>401.16666666666828</v>
      </c>
      <c r="AS181" s="7">
        <f t="shared" si="71"/>
        <v>412.16666666666833</v>
      </c>
      <c r="AT181" s="7">
        <f t="shared" si="71"/>
        <v>423.16666666666839</v>
      </c>
      <c r="AU181" s="7">
        <f t="shared" si="71"/>
        <v>434.16666666666839</v>
      </c>
      <c r="AV181" s="7">
        <f t="shared" si="71"/>
        <v>445.16666666666845</v>
      </c>
      <c r="AW181" s="7">
        <f t="shared" si="71"/>
        <v>456.1666666666685</v>
      </c>
      <c r="AX181" s="7">
        <f t="shared" si="71"/>
        <v>467.16666666666862</v>
      </c>
      <c r="AY181" s="7">
        <f t="shared" si="71"/>
        <v>478.16666666666868</v>
      </c>
      <c r="AZ181" s="7">
        <f t="shared" si="71"/>
        <v>489.16666666666873</v>
      </c>
      <c r="BA181" s="7">
        <f t="shared" si="71"/>
        <v>500.16666666666879</v>
      </c>
      <c r="BB181" s="7">
        <f t="shared" si="71"/>
        <v>511.16666666666879</v>
      </c>
      <c r="BC181" s="7">
        <f t="shared" si="71"/>
        <v>522.16666666666879</v>
      </c>
      <c r="BD181" s="7">
        <f t="shared" si="71"/>
        <v>533.16666666666879</v>
      </c>
      <c r="BE181" s="7">
        <f t="shared" si="71"/>
        <v>544.16666666666879</v>
      </c>
      <c r="BF181" s="7">
        <f t="shared" si="71"/>
        <v>555.16666666666879</v>
      </c>
      <c r="BG181" s="7">
        <f t="shared" si="71"/>
        <v>566.16666666666879</v>
      </c>
      <c r="BH181" s="7">
        <f t="shared" si="71"/>
        <v>577.16666666666879</v>
      </c>
      <c r="BI181" s="7">
        <f t="shared" si="71"/>
        <v>588.1666666666689</v>
      </c>
    </row>
    <row r="182" spans="1:63" x14ac:dyDescent="0.25">
      <c r="A182" s="13" t="s">
        <v>4</v>
      </c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>
        <f>P181-P179</f>
        <v>-81.928571428571615</v>
      </c>
      <c r="Q182" s="7">
        <f t="shared" ref="Q182:BI182" si="72">Q181-Q179</f>
        <v>-82.38095238095255</v>
      </c>
      <c r="R182" s="7">
        <f t="shared" si="72"/>
        <v>-82.547619047619193</v>
      </c>
      <c r="S182" s="7">
        <f t="shared" si="72"/>
        <v>-82.285714285714405</v>
      </c>
      <c r="T182" s="7">
        <f t="shared" si="72"/>
        <v>-82.30952380952391</v>
      </c>
      <c r="U182" s="7">
        <f t="shared" si="72"/>
        <v>-82.619047619047706</v>
      </c>
      <c r="V182" s="7">
        <f t="shared" si="72"/>
        <v>-82.500000000000057</v>
      </c>
      <c r="W182" s="7">
        <f t="shared" si="72"/>
        <v>-82.500000000000028</v>
      </c>
      <c r="X182" s="7">
        <f t="shared" si="72"/>
        <v>-82.500000000000028</v>
      </c>
      <c r="Y182" s="7">
        <f t="shared" si="72"/>
        <v>-82.500000000000028</v>
      </c>
      <c r="Z182" s="7">
        <f t="shared" si="72"/>
        <v>-82.500000000000995</v>
      </c>
      <c r="AA182" s="7">
        <f t="shared" si="72"/>
        <v>-82.500000000000938</v>
      </c>
      <c r="AB182" s="7">
        <f t="shared" si="72"/>
        <v>-82.500000000000853</v>
      </c>
      <c r="AC182" s="7">
        <f t="shared" si="72"/>
        <v>-82.500000000000796</v>
      </c>
      <c r="AD182" s="7">
        <f t="shared" si="72"/>
        <v>-82.500000000000739</v>
      </c>
      <c r="AE182" s="7">
        <f t="shared" si="72"/>
        <v>-82.500000000000682</v>
      </c>
      <c r="AF182" s="7">
        <f t="shared" si="72"/>
        <v>-82.500000000000625</v>
      </c>
      <c r="AG182" s="7">
        <f t="shared" si="72"/>
        <v>-82.500000000000512</v>
      </c>
      <c r="AH182" s="7">
        <f t="shared" si="72"/>
        <v>-82.500000000000455</v>
      </c>
      <c r="AI182" s="7">
        <f t="shared" si="72"/>
        <v>-82.500000000000398</v>
      </c>
      <c r="AJ182" s="7">
        <f t="shared" si="72"/>
        <v>-82.500000000000284</v>
      </c>
      <c r="AK182" s="7">
        <f t="shared" si="72"/>
        <v>-82.500000000000227</v>
      </c>
      <c r="AL182" s="7">
        <f t="shared" si="72"/>
        <v>-82.500000000000171</v>
      </c>
      <c r="AM182" s="7">
        <f t="shared" si="72"/>
        <v>-82.500000000001137</v>
      </c>
      <c r="AN182" s="7">
        <f t="shared" si="72"/>
        <v>-82.500000000001023</v>
      </c>
      <c r="AO182" s="7">
        <f t="shared" si="72"/>
        <v>-82.500000000000966</v>
      </c>
      <c r="AP182" s="7">
        <f t="shared" si="72"/>
        <v>-82.500000000000853</v>
      </c>
      <c r="AQ182" s="7">
        <f t="shared" si="72"/>
        <v>-82.500000000000796</v>
      </c>
      <c r="AR182" s="7">
        <f t="shared" si="72"/>
        <v>-82.500000000000739</v>
      </c>
      <c r="AS182" s="7">
        <f t="shared" si="72"/>
        <v>-82.500000000000682</v>
      </c>
      <c r="AT182" s="7">
        <f t="shared" si="72"/>
        <v>-82.499999999999602</v>
      </c>
      <c r="AU182" s="7">
        <f t="shared" si="72"/>
        <v>-82.500000000000625</v>
      </c>
      <c r="AV182" s="7">
        <f t="shared" si="72"/>
        <v>-82.500000000000568</v>
      </c>
      <c r="AW182" s="7">
        <f t="shared" si="72"/>
        <v>-82.500000000000512</v>
      </c>
      <c r="AX182" s="7">
        <f t="shared" si="72"/>
        <v>-82.500000000000398</v>
      </c>
      <c r="AY182" s="7">
        <f t="shared" si="72"/>
        <v>-82.500000000000341</v>
      </c>
      <c r="AZ182" s="7">
        <f t="shared" si="72"/>
        <v>-82.500000000000284</v>
      </c>
      <c r="BA182" s="7">
        <f t="shared" si="72"/>
        <v>-82.500000000000227</v>
      </c>
      <c r="BB182" s="7">
        <f t="shared" si="72"/>
        <v>-82.500000000000227</v>
      </c>
      <c r="BC182" s="7">
        <f t="shared" si="72"/>
        <v>-82.500000000000227</v>
      </c>
      <c r="BD182" s="7">
        <f t="shared" si="72"/>
        <v>-82.500000000000227</v>
      </c>
      <c r="BE182" s="7">
        <f t="shared" si="72"/>
        <v>-82.500000000000227</v>
      </c>
      <c r="BF182" s="7">
        <f t="shared" si="72"/>
        <v>-82.500000000000227</v>
      </c>
      <c r="BG182" s="7">
        <f t="shared" si="72"/>
        <v>-82.500000000000227</v>
      </c>
      <c r="BH182" s="7">
        <f t="shared" si="72"/>
        <v>-82.500000000000227</v>
      </c>
      <c r="BI182" s="7">
        <f t="shared" si="72"/>
        <v>-82.500000000000114</v>
      </c>
    </row>
    <row r="183" spans="1:63" x14ac:dyDescent="0.25">
      <c r="A183" s="13" t="s">
        <v>12</v>
      </c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>
        <f>P182^2</f>
        <v>6712.2908163265611</v>
      </c>
      <c r="Q183" s="7">
        <f t="shared" ref="Q183:BI183" si="73">Q182^2</f>
        <v>6786.6213151927714</v>
      </c>
      <c r="R183" s="7">
        <f t="shared" si="73"/>
        <v>6814.1094104308631</v>
      </c>
      <c r="S183" s="7">
        <f t="shared" si="73"/>
        <v>6770.9387755102234</v>
      </c>
      <c r="T183" s="7">
        <f t="shared" si="73"/>
        <v>6774.8577097505831</v>
      </c>
      <c r="U183" s="7">
        <f t="shared" si="73"/>
        <v>6825.9070294784724</v>
      </c>
      <c r="V183" s="7">
        <f t="shared" si="73"/>
        <v>6806.2500000000091</v>
      </c>
      <c r="W183" s="7">
        <f t="shared" si="73"/>
        <v>6806.2500000000045</v>
      </c>
      <c r="X183" s="7">
        <f t="shared" si="73"/>
        <v>6806.2500000000045</v>
      </c>
      <c r="Y183" s="7">
        <f t="shared" si="73"/>
        <v>6806.2500000000045</v>
      </c>
      <c r="Z183" s="7">
        <f t="shared" si="73"/>
        <v>6806.2500000001637</v>
      </c>
      <c r="AA183" s="7">
        <f t="shared" si="73"/>
        <v>6806.2500000001546</v>
      </c>
      <c r="AB183" s="7">
        <f t="shared" si="73"/>
        <v>6806.250000000141</v>
      </c>
      <c r="AC183" s="7">
        <f t="shared" si="73"/>
        <v>6806.250000000131</v>
      </c>
      <c r="AD183" s="7">
        <f t="shared" si="73"/>
        <v>6806.2500000001219</v>
      </c>
      <c r="AE183" s="7">
        <f t="shared" si="73"/>
        <v>6806.2500000001128</v>
      </c>
      <c r="AF183" s="7">
        <f t="shared" si="73"/>
        <v>6806.2500000001028</v>
      </c>
      <c r="AG183" s="7">
        <f t="shared" si="73"/>
        <v>6806.2500000000846</v>
      </c>
      <c r="AH183" s="7">
        <f t="shared" si="73"/>
        <v>6806.2500000000746</v>
      </c>
      <c r="AI183" s="7">
        <f t="shared" si="73"/>
        <v>6806.2500000000655</v>
      </c>
      <c r="AJ183" s="7">
        <f t="shared" si="73"/>
        <v>6806.2500000000473</v>
      </c>
      <c r="AK183" s="7">
        <f t="shared" si="73"/>
        <v>6806.2500000000373</v>
      </c>
      <c r="AL183" s="7">
        <f t="shared" si="73"/>
        <v>6806.2500000000282</v>
      </c>
      <c r="AM183" s="7">
        <f t="shared" si="73"/>
        <v>6806.2500000001874</v>
      </c>
      <c r="AN183" s="7">
        <f t="shared" si="73"/>
        <v>6806.2500000001692</v>
      </c>
      <c r="AO183" s="7">
        <f t="shared" si="73"/>
        <v>6806.2500000001592</v>
      </c>
      <c r="AP183" s="7">
        <f t="shared" si="73"/>
        <v>6806.250000000141</v>
      </c>
      <c r="AQ183" s="7">
        <f t="shared" si="73"/>
        <v>6806.250000000131</v>
      </c>
      <c r="AR183" s="7">
        <f t="shared" si="73"/>
        <v>6806.2500000001219</v>
      </c>
      <c r="AS183" s="7">
        <f t="shared" si="73"/>
        <v>6806.2500000001128</v>
      </c>
      <c r="AT183" s="7">
        <f t="shared" si="73"/>
        <v>6806.2499999999345</v>
      </c>
      <c r="AU183" s="7">
        <f t="shared" si="73"/>
        <v>6806.2500000001028</v>
      </c>
      <c r="AV183" s="7">
        <f t="shared" si="73"/>
        <v>6806.2500000000937</v>
      </c>
      <c r="AW183" s="7">
        <f t="shared" si="73"/>
        <v>6806.2500000000846</v>
      </c>
      <c r="AX183" s="7">
        <f t="shared" si="73"/>
        <v>6806.2500000000655</v>
      </c>
      <c r="AY183" s="7">
        <f t="shared" si="73"/>
        <v>6806.2500000000564</v>
      </c>
      <c r="AZ183" s="7">
        <f t="shared" si="73"/>
        <v>6806.2500000000473</v>
      </c>
      <c r="BA183" s="7">
        <f t="shared" si="73"/>
        <v>6806.2500000000373</v>
      </c>
      <c r="BB183" s="7">
        <f t="shared" si="73"/>
        <v>6806.2500000000373</v>
      </c>
      <c r="BC183" s="7">
        <f t="shared" si="73"/>
        <v>6806.2500000000373</v>
      </c>
      <c r="BD183" s="7">
        <f t="shared" si="73"/>
        <v>6806.2500000000373</v>
      </c>
      <c r="BE183" s="7">
        <f t="shared" si="73"/>
        <v>6806.2500000000373</v>
      </c>
      <c r="BF183" s="7">
        <f t="shared" si="73"/>
        <v>6806.2500000000373</v>
      </c>
      <c r="BG183" s="7">
        <f t="shared" si="73"/>
        <v>6806.2500000000373</v>
      </c>
      <c r="BH183" s="7">
        <f t="shared" si="73"/>
        <v>6806.2500000000373</v>
      </c>
      <c r="BI183" s="7">
        <f t="shared" si="73"/>
        <v>6806.2500000000191</v>
      </c>
    </row>
    <row r="184" spans="1:63" x14ac:dyDescent="0.25">
      <c r="A184" s="38" t="s">
        <v>11</v>
      </c>
      <c r="B184" s="38">
        <v>14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3" x14ac:dyDescent="0.25">
      <c r="A185" s="8" t="s">
        <v>5</v>
      </c>
      <c r="B185" s="8">
        <f>AVERAGE(G183:BI183)</f>
        <v>6802.9288055802745</v>
      </c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3" x14ac:dyDescent="0.25">
      <c r="A186" s="7" t="s">
        <v>7</v>
      </c>
      <c r="B186" s="7">
        <f>SUM(AV179:BI179)/B184</f>
        <v>599.1666666666689</v>
      </c>
    </row>
    <row r="187" spans="1:63" x14ac:dyDescent="0.25">
      <c r="A187" s="31" t="s">
        <v>6</v>
      </c>
      <c r="B187" s="7" t="s">
        <v>62</v>
      </c>
      <c r="C187" s="7">
        <v>61</v>
      </c>
      <c r="D187" s="7">
        <v>62</v>
      </c>
      <c r="E187" s="7">
        <v>63</v>
      </c>
      <c r="F187" s="7">
        <v>64</v>
      </c>
      <c r="G187" s="7">
        <v>65</v>
      </c>
      <c r="H187" s="7">
        <v>66</v>
      </c>
      <c r="I187" s="7">
        <v>67</v>
      </c>
      <c r="J187" s="7">
        <v>68</v>
      </c>
      <c r="K187" s="7">
        <v>69</v>
      </c>
      <c r="L187" s="7">
        <v>70</v>
      </c>
      <c r="M187" s="7">
        <v>71</v>
      </c>
      <c r="N187" s="7">
        <v>72</v>
      </c>
    </row>
    <row r="188" spans="1:63" x14ac:dyDescent="0.25">
      <c r="C188" s="7">
        <f>$B$186</f>
        <v>599.1666666666689</v>
      </c>
      <c r="D188" s="7">
        <f t="shared" ref="D188:N188" si="74">$B$186</f>
        <v>599.1666666666689</v>
      </c>
      <c r="E188" s="7">
        <f t="shared" si="74"/>
        <v>599.1666666666689</v>
      </c>
      <c r="F188" s="7">
        <f t="shared" si="74"/>
        <v>599.1666666666689</v>
      </c>
      <c r="G188" s="7">
        <f t="shared" si="74"/>
        <v>599.1666666666689</v>
      </c>
      <c r="H188" s="7">
        <f t="shared" si="74"/>
        <v>599.1666666666689</v>
      </c>
      <c r="I188" s="7">
        <f t="shared" si="74"/>
        <v>599.1666666666689</v>
      </c>
      <c r="J188" s="7">
        <f t="shared" si="74"/>
        <v>599.1666666666689</v>
      </c>
      <c r="K188" s="7">
        <f t="shared" si="74"/>
        <v>599.1666666666689</v>
      </c>
      <c r="L188" s="7">
        <f t="shared" si="74"/>
        <v>599.1666666666689</v>
      </c>
      <c r="M188" s="7">
        <f t="shared" si="74"/>
        <v>599.1666666666689</v>
      </c>
      <c r="N188" s="7">
        <f t="shared" si="74"/>
        <v>599.1666666666689</v>
      </c>
    </row>
    <row r="192" spans="1:63" x14ac:dyDescent="0.25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</row>
    <row r="194" spans="1:63" x14ac:dyDescent="0.25">
      <c r="A194" s="13" t="s">
        <v>1</v>
      </c>
      <c r="B194" s="13">
        <v>1</v>
      </c>
      <c r="C194" s="13">
        <v>2</v>
      </c>
      <c r="D194" s="13">
        <v>3</v>
      </c>
      <c r="E194" s="13">
        <v>4</v>
      </c>
      <c r="F194" s="13">
        <v>5</v>
      </c>
      <c r="G194" s="13">
        <v>6</v>
      </c>
      <c r="H194" s="13">
        <v>7</v>
      </c>
      <c r="I194" s="13">
        <v>8</v>
      </c>
      <c r="J194" s="13">
        <v>9</v>
      </c>
      <c r="K194" s="13">
        <v>10</v>
      </c>
      <c r="L194" s="13">
        <v>11</v>
      </c>
      <c r="M194" s="13">
        <v>12</v>
      </c>
      <c r="N194" s="13">
        <v>13</v>
      </c>
      <c r="O194" s="13">
        <v>14</v>
      </c>
      <c r="P194" s="13">
        <v>15</v>
      </c>
      <c r="Q194" s="13">
        <v>16</v>
      </c>
      <c r="R194" s="13">
        <v>17</v>
      </c>
      <c r="S194" s="13">
        <v>18</v>
      </c>
      <c r="T194" s="13">
        <v>19</v>
      </c>
      <c r="U194" s="13">
        <v>20</v>
      </c>
      <c r="V194" s="13">
        <v>21</v>
      </c>
      <c r="W194" s="13">
        <v>22</v>
      </c>
      <c r="X194" s="13">
        <v>23</v>
      </c>
      <c r="Y194" s="13">
        <v>24</v>
      </c>
      <c r="Z194" s="13">
        <v>25</v>
      </c>
      <c r="AA194" s="13">
        <v>26</v>
      </c>
      <c r="AB194" s="13">
        <v>27</v>
      </c>
      <c r="AC194" s="13">
        <v>28</v>
      </c>
      <c r="AD194" s="13">
        <v>29</v>
      </c>
      <c r="AE194" s="13">
        <v>30</v>
      </c>
      <c r="AF194" s="13">
        <v>31</v>
      </c>
      <c r="AG194" s="13">
        <v>32</v>
      </c>
      <c r="AH194" s="13">
        <v>33</v>
      </c>
      <c r="AI194" s="13">
        <v>34</v>
      </c>
      <c r="AJ194" s="13">
        <v>35</v>
      </c>
      <c r="AK194" s="13">
        <v>36</v>
      </c>
      <c r="AL194" s="13">
        <v>37</v>
      </c>
      <c r="AM194" s="13">
        <v>38</v>
      </c>
      <c r="AN194" s="13">
        <v>39</v>
      </c>
      <c r="AO194" s="13">
        <v>40</v>
      </c>
      <c r="AP194" s="13">
        <v>41</v>
      </c>
      <c r="AQ194" s="13">
        <v>42</v>
      </c>
      <c r="AR194" s="13">
        <v>43</v>
      </c>
      <c r="AS194" s="13">
        <v>44</v>
      </c>
      <c r="AT194" s="13">
        <v>45</v>
      </c>
      <c r="AU194" s="13">
        <v>46</v>
      </c>
      <c r="AV194" s="13">
        <v>47</v>
      </c>
      <c r="AW194" s="13">
        <v>48</v>
      </c>
      <c r="AX194" s="13">
        <v>49</v>
      </c>
      <c r="AY194" s="13">
        <v>50</v>
      </c>
      <c r="AZ194" s="13">
        <v>51</v>
      </c>
      <c r="BA194" s="13">
        <v>52</v>
      </c>
      <c r="BB194" s="13">
        <v>53</v>
      </c>
      <c r="BC194" s="13">
        <v>54</v>
      </c>
      <c r="BD194" s="13">
        <v>55</v>
      </c>
      <c r="BE194" s="13">
        <v>56</v>
      </c>
      <c r="BF194" s="13">
        <v>57</v>
      </c>
      <c r="BG194" s="13">
        <v>58</v>
      </c>
      <c r="BH194" s="13">
        <v>59</v>
      </c>
      <c r="BI194" s="13">
        <v>60</v>
      </c>
    </row>
    <row r="195" spans="1:63" x14ac:dyDescent="0.25">
      <c r="A195" s="13" t="s">
        <v>0</v>
      </c>
      <c r="B195" s="37">
        <f>'הזנת נתונים'!A66</f>
        <v>28</v>
      </c>
      <c r="C195" s="37">
        <f>'הזנת נתונים'!B66</f>
        <v>35</v>
      </c>
      <c r="D195" s="37">
        <f>'הזנת נתונים'!C66</f>
        <v>40</v>
      </c>
      <c r="E195" s="37">
        <f>'הזנת נתונים'!D66</f>
        <v>55</v>
      </c>
      <c r="F195" s="37">
        <f>'הזנת נתונים'!E66</f>
        <v>70</v>
      </c>
      <c r="G195" s="37">
        <f>'הזנת נתונים'!F66</f>
        <v>75</v>
      </c>
      <c r="H195" s="37">
        <f>'הזנת נתונים'!G66</f>
        <v>87.6666666666667</v>
      </c>
      <c r="I195" s="37">
        <f>'הזנת נתונים'!H66</f>
        <v>98.6666666666667</v>
      </c>
      <c r="J195" s="37">
        <f>'הזנת נתונים'!I66</f>
        <v>109.666666666667</v>
      </c>
      <c r="K195" s="37">
        <f>'הזנת נתונים'!J66</f>
        <v>120.666666666667</v>
      </c>
      <c r="L195" s="37">
        <f>'הזנת נתונים'!K66</f>
        <v>131.666666666667</v>
      </c>
      <c r="M195" s="37">
        <f>'הזנת נתונים'!L66</f>
        <v>142.666666666667</v>
      </c>
      <c r="N195" s="37">
        <f>'הזנת נתונים'!M66</f>
        <v>153.666666666667</v>
      </c>
      <c r="O195" s="37">
        <f>'הזנת נתונים'!N66</f>
        <v>164.666666666667</v>
      </c>
      <c r="P195" s="37">
        <f>'הזנת נתונים'!O66</f>
        <v>175.666666666667</v>
      </c>
      <c r="Q195" s="37">
        <f>'הזנת נתונים'!P66</f>
        <v>186.666666666667</v>
      </c>
      <c r="R195" s="37">
        <f>'הזנת נתונים'!Q66</f>
        <v>197.666666666667</v>
      </c>
      <c r="S195" s="37">
        <f>'הזנת נתונים'!R66</f>
        <v>208.666666666667</v>
      </c>
      <c r="T195" s="37">
        <f>'הזנת נתונים'!S66</f>
        <v>219.666666666667</v>
      </c>
      <c r="U195" s="37">
        <f>'הזנת נתונים'!T66</f>
        <v>230.666666666667</v>
      </c>
      <c r="V195" s="37">
        <f>'הזנת נתונים'!U66</f>
        <v>241.666666666667</v>
      </c>
      <c r="W195" s="37">
        <f>'הזנת נתונים'!V66</f>
        <v>252.666666666667</v>
      </c>
      <c r="X195" s="37">
        <f>'הזנת נתונים'!W66</f>
        <v>263.66666666666703</v>
      </c>
      <c r="Y195" s="37">
        <f>'הזנת נתונים'!X66</f>
        <v>274.66666666666703</v>
      </c>
      <c r="Z195" s="37">
        <f>'הזנת נתונים'!Y66</f>
        <v>285.66666666666799</v>
      </c>
      <c r="AA195" s="37">
        <f>'הזנת נתונים'!Z66</f>
        <v>296.66666666666799</v>
      </c>
      <c r="AB195" s="37">
        <f>'הזנת נתונים'!AA66</f>
        <v>307.66666666666799</v>
      </c>
      <c r="AC195" s="37">
        <f>'הזנת נתונים'!AB66</f>
        <v>318.66666666666799</v>
      </c>
      <c r="AD195" s="37">
        <f>'הזנת נתונים'!AC66</f>
        <v>329.66666666666799</v>
      </c>
      <c r="AE195" s="37">
        <f>'הזנת נתונים'!AD66</f>
        <v>340.66666666666799</v>
      </c>
      <c r="AF195" s="37">
        <f>'הזנת נתונים'!AE66</f>
        <v>351.66666666666799</v>
      </c>
      <c r="AG195" s="37">
        <f>'הזנת נתונים'!AF66</f>
        <v>362.66666666666799</v>
      </c>
      <c r="AH195" s="37">
        <f>'הזנת נתונים'!AG66</f>
        <v>373.66666666666799</v>
      </c>
      <c r="AI195" s="37">
        <f>'הזנת נתונים'!AH66</f>
        <v>384.66666666666799</v>
      </c>
      <c r="AJ195" s="37">
        <f>'הזנת נתונים'!AI66</f>
        <v>395.66666666666799</v>
      </c>
      <c r="AK195" s="37">
        <f>'הזנת נתונים'!AJ66</f>
        <v>406.66666666666799</v>
      </c>
      <c r="AL195" s="37">
        <f>'הזנת נתונים'!AK66</f>
        <v>417.66666666666799</v>
      </c>
      <c r="AM195" s="37">
        <f>'הזנת נתונים'!AL66</f>
        <v>428.66666666666902</v>
      </c>
      <c r="AN195" s="37">
        <f>'הזנת נתונים'!AM66</f>
        <v>439.66666666666902</v>
      </c>
      <c r="AO195" s="37">
        <f>'הזנת נתונים'!AN66</f>
        <v>450.66666666666902</v>
      </c>
      <c r="AP195" s="37">
        <f>'הזנת נתונים'!AO66</f>
        <v>461.66666666666902</v>
      </c>
      <c r="AQ195" s="37">
        <f>'הזנת נתונים'!AP66</f>
        <v>472.66666666666902</v>
      </c>
      <c r="AR195" s="37">
        <f>'הזנת נתונים'!AQ66</f>
        <v>483.66666666666902</v>
      </c>
      <c r="AS195" s="37">
        <f>'הזנת נתונים'!AR66</f>
        <v>494.66666666666902</v>
      </c>
      <c r="AT195" s="37">
        <f>'הזנת נתונים'!AS66</f>
        <v>505.66666666666799</v>
      </c>
      <c r="AU195" s="37">
        <f>'הזנת נתונים'!AT66</f>
        <v>516.66666666666902</v>
      </c>
      <c r="AV195" s="37">
        <f>'הזנת נתונים'!AU66</f>
        <v>527.66666666666902</v>
      </c>
      <c r="AW195" s="37">
        <f>'הזנת נתונים'!AV66</f>
        <v>538.66666666666902</v>
      </c>
      <c r="AX195" s="37">
        <f>'הזנת נתונים'!AW66</f>
        <v>549.66666666666902</v>
      </c>
      <c r="AY195" s="37">
        <f>'הזנת נתונים'!AX66</f>
        <v>560.66666666666902</v>
      </c>
      <c r="AZ195" s="37">
        <f>'הזנת נתונים'!AY66</f>
        <v>571.66666666666902</v>
      </c>
      <c r="BA195" s="37">
        <f>'הזנת נתונים'!AZ66</f>
        <v>582.66666666666902</v>
      </c>
      <c r="BB195" s="37">
        <f>'הזנת נתונים'!BA66</f>
        <v>593.66666666666902</v>
      </c>
      <c r="BC195" s="37">
        <f>'הזנת נתונים'!BB66</f>
        <v>604.66666666666902</v>
      </c>
      <c r="BD195" s="37">
        <f>'הזנת נתונים'!BC66</f>
        <v>615.66666666666902</v>
      </c>
      <c r="BE195" s="37">
        <f>'הזנת נתונים'!BD66</f>
        <v>626.66666666666902</v>
      </c>
      <c r="BF195" s="37">
        <f>'הזנת נתונים'!BE66</f>
        <v>637.66666666666902</v>
      </c>
      <c r="BG195" s="37">
        <f>'הזנת נתונים'!BF66</f>
        <v>648.66666666666902</v>
      </c>
      <c r="BH195" s="37">
        <f>'הזנת נתונים'!BG66</f>
        <v>659.66666666666902</v>
      </c>
      <c r="BI195" s="37">
        <f>'הזנת נתונים'!BH66</f>
        <v>670.66666666666902</v>
      </c>
    </row>
    <row r="196" spans="1:63" x14ac:dyDescent="0.25">
      <c r="A196" s="13" t="s">
        <v>2</v>
      </c>
      <c r="B196" t="e">
        <v>#N/A</v>
      </c>
      <c r="C196" t="e">
        <v>#N/A</v>
      </c>
      <c r="D196" t="e">
        <v>#N/A</v>
      </c>
      <c r="E196" t="e">
        <v>#N/A</v>
      </c>
      <c r="F196" t="e">
        <v>#N/A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M196" t="e">
        <v>#N/A</v>
      </c>
      <c r="N196" t="e">
        <v>#N/A</v>
      </c>
      <c r="O196" t="e">
        <v>#N/A</v>
      </c>
      <c r="P196">
        <f t="shared" ref="P196:BI196" si="75">AVERAGE(B195:P195)</f>
        <v>99.200000000000145</v>
      </c>
      <c r="Q196">
        <f t="shared" si="75"/>
        <v>109.77777777777796</v>
      </c>
      <c r="R196">
        <f t="shared" si="75"/>
        <v>120.62222222222242</v>
      </c>
      <c r="S196">
        <f t="shared" si="75"/>
        <v>131.86666666666687</v>
      </c>
      <c r="T196">
        <f t="shared" si="75"/>
        <v>142.84444444444469</v>
      </c>
      <c r="U196">
        <f t="shared" si="75"/>
        <v>153.5555555555558</v>
      </c>
      <c r="V196">
        <f t="shared" si="75"/>
        <v>164.66666666666694</v>
      </c>
      <c r="W196">
        <f t="shared" si="75"/>
        <v>175.66666666666697</v>
      </c>
      <c r="X196">
        <f t="shared" si="75"/>
        <v>186.666666666667</v>
      </c>
      <c r="Y196">
        <f t="shared" si="75"/>
        <v>197.666666666667</v>
      </c>
      <c r="Z196">
        <f t="shared" si="75"/>
        <v>208.66666666666706</v>
      </c>
      <c r="AA196">
        <f t="shared" si="75"/>
        <v>219.66666666666711</v>
      </c>
      <c r="AB196">
        <f t="shared" si="75"/>
        <v>230.66666666666717</v>
      </c>
      <c r="AC196">
        <f t="shared" si="75"/>
        <v>241.66666666666725</v>
      </c>
      <c r="AD196">
        <f t="shared" si="75"/>
        <v>252.66666666666731</v>
      </c>
      <c r="AE196">
        <f t="shared" si="75"/>
        <v>263.66666666666737</v>
      </c>
      <c r="AF196">
        <f t="shared" si="75"/>
        <v>274.66666666666748</v>
      </c>
      <c r="AG196">
        <f t="shared" si="75"/>
        <v>285.66666666666754</v>
      </c>
      <c r="AH196">
        <f t="shared" si="75"/>
        <v>296.6666666666676</v>
      </c>
      <c r="AI196">
        <f t="shared" si="75"/>
        <v>307.66666666666765</v>
      </c>
      <c r="AJ196">
        <f t="shared" si="75"/>
        <v>318.66666666666771</v>
      </c>
      <c r="AK196">
        <f t="shared" si="75"/>
        <v>329.66666666666777</v>
      </c>
      <c r="AL196">
        <f t="shared" si="75"/>
        <v>340.66666666666782</v>
      </c>
      <c r="AM196">
        <f t="shared" si="75"/>
        <v>351.66666666666794</v>
      </c>
      <c r="AN196">
        <f t="shared" si="75"/>
        <v>362.66666666666805</v>
      </c>
      <c r="AO196">
        <f t="shared" si="75"/>
        <v>373.66666666666811</v>
      </c>
      <c r="AP196">
        <f t="shared" si="75"/>
        <v>384.66666666666816</v>
      </c>
      <c r="AQ196">
        <f t="shared" si="75"/>
        <v>395.66666666666822</v>
      </c>
      <c r="AR196">
        <f t="shared" si="75"/>
        <v>406.66666666666828</v>
      </c>
      <c r="AS196">
        <f t="shared" si="75"/>
        <v>417.66666666666839</v>
      </c>
      <c r="AT196">
        <f t="shared" si="75"/>
        <v>428.66666666666839</v>
      </c>
      <c r="AU196">
        <f t="shared" si="75"/>
        <v>439.66666666666845</v>
      </c>
      <c r="AV196">
        <f t="shared" si="75"/>
        <v>450.6666666666685</v>
      </c>
      <c r="AW196">
        <f t="shared" si="75"/>
        <v>461.66666666666856</v>
      </c>
      <c r="AX196">
        <f t="shared" si="75"/>
        <v>472.66666666666862</v>
      </c>
      <c r="AY196">
        <f t="shared" si="75"/>
        <v>483.66666666666868</v>
      </c>
      <c r="AZ196">
        <f t="shared" si="75"/>
        <v>494.66666666666873</v>
      </c>
      <c r="BA196">
        <f t="shared" si="75"/>
        <v>505.66666666666879</v>
      </c>
      <c r="BB196">
        <f t="shared" si="75"/>
        <v>516.66666666666879</v>
      </c>
      <c r="BC196">
        <f t="shared" si="75"/>
        <v>527.66666666666879</v>
      </c>
      <c r="BD196">
        <f t="shared" si="75"/>
        <v>538.66666666666879</v>
      </c>
      <c r="BE196">
        <f t="shared" si="75"/>
        <v>549.6666666666689</v>
      </c>
      <c r="BF196">
        <f t="shared" si="75"/>
        <v>560.6666666666689</v>
      </c>
      <c r="BG196">
        <f t="shared" si="75"/>
        <v>571.6666666666689</v>
      </c>
      <c r="BH196">
        <f t="shared" si="75"/>
        <v>582.6666666666689</v>
      </c>
      <c r="BI196">
        <f t="shared" si="75"/>
        <v>593.66666666666902</v>
      </c>
    </row>
    <row r="197" spans="1:63" x14ac:dyDescent="0.25">
      <c r="A197" s="13" t="s">
        <v>9</v>
      </c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>
        <f t="shared" ref="Q197:BI197" si="76">P196</f>
        <v>99.200000000000145</v>
      </c>
      <c r="R197" s="7">
        <f t="shared" si="76"/>
        <v>109.77777777777796</v>
      </c>
      <c r="S197" s="7">
        <f t="shared" si="76"/>
        <v>120.62222222222242</v>
      </c>
      <c r="T197" s="7">
        <f t="shared" si="76"/>
        <v>131.86666666666687</v>
      </c>
      <c r="U197" s="7">
        <f t="shared" si="76"/>
        <v>142.84444444444469</v>
      </c>
      <c r="V197" s="7">
        <f t="shared" si="76"/>
        <v>153.5555555555558</v>
      </c>
      <c r="W197" s="7">
        <f t="shared" si="76"/>
        <v>164.66666666666694</v>
      </c>
      <c r="X197" s="7">
        <f t="shared" si="76"/>
        <v>175.66666666666697</v>
      </c>
      <c r="Y197" s="7">
        <f t="shared" si="76"/>
        <v>186.666666666667</v>
      </c>
      <c r="Z197" s="7">
        <f t="shared" si="76"/>
        <v>197.666666666667</v>
      </c>
      <c r="AA197" s="7">
        <f t="shared" si="76"/>
        <v>208.66666666666706</v>
      </c>
      <c r="AB197" s="7">
        <f t="shared" si="76"/>
        <v>219.66666666666711</v>
      </c>
      <c r="AC197" s="7">
        <f t="shared" si="76"/>
        <v>230.66666666666717</v>
      </c>
      <c r="AD197" s="7">
        <f t="shared" si="76"/>
        <v>241.66666666666725</v>
      </c>
      <c r="AE197" s="7">
        <f t="shared" si="76"/>
        <v>252.66666666666731</v>
      </c>
      <c r="AF197" s="7">
        <f t="shared" si="76"/>
        <v>263.66666666666737</v>
      </c>
      <c r="AG197" s="7">
        <f t="shared" si="76"/>
        <v>274.66666666666748</v>
      </c>
      <c r="AH197" s="7">
        <f t="shared" si="76"/>
        <v>285.66666666666754</v>
      </c>
      <c r="AI197" s="7">
        <f t="shared" si="76"/>
        <v>296.6666666666676</v>
      </c>
      <c r="AJ197" s="7">
        <f t="shared" si="76"/>
        <v>307.66666666666765</v>
      </c>
      <c r="AK197" s="7">
        <f t="shared" si="76"/>
        <v>318.66666666666771</v>
      </c>
      <c r="AL197" s="7">
        <f t="shared" si="76"/>
        <v>329.66666666666777</v>
      </c>
      <c r="AM197" s="7">
        <f t="shared" si="76"/>
        <v>340.66666666666782</v>
      </c>
      <c r="AN197" s="7">
        <f t="shared" si="76"/>
        <v>351.66666666666794</v>
      </c>
      <c r="AO197" s="7">
        <f t="shared" si="76"/>
        <v>362.66666666666805</v>
      </c>
      <c r="AP197" s="7">
        <f t="shared" si="76"/>
        <v>373.66666666666811</v>
      </c>
      <c r="AQ197" s="7">
        <f t="shared" si="76"/>
        <v>384.66666666666816</v>
      </c>
      <c r="AR197" s="7">
        <f t="shared" si="76"/>
        <v>395.66666666666822</v>
      </c>
      <c r="AS197" s="7">
        <f t="shared" si="76"/>
        <v>406.66666666666828</v>
      </c>
      <c r="AT197" s="7">
        <f t="shared" si="76"/>
        <v>417.66666666666839</v>
      </c>
      <c r="AU197" s="7">
        <f t="shared" si="76"/>
        <v>428.66666666666839</v>
      </c>
      <c r="AV197" s="7">
        <f t="shared" si="76"/>
        <v>439.66666666666845</v>
      </c>
      <c r="AW197" s="7">
        <f t="shared" si="76"/>
        <v>450.6666666666685</v>
      </c>
      <c r="AX197" s="7">
        <f t="shared" si="76"/>
        <v>461.66666666666856</v>
      </c>
      <c r="AY197" s="7">
        <f t="shared" si="76"/>
        <v>472.66666666666862</v>
      </c>
      <c r="AZ197" s="7">
        <f t="shared" si="76"/>
        <v>483.66666666666868</v>
      </c>
      <c r="BA197" s="7">
        <f t="shared" si="76"/>
        <v>494.66666666666873</v>
      </c>
      <c r="BB197" s="7">
        <f t="shared" si="76"/>
        <v>505.66666666666879</v>
      </c>
      <c r="BC197" s="7">
        <f t="shared" si="76"/>
        <v>516.66666666666879</v>
      </c>
      <c r="BD197" s="7">
        <f t="shared" si="76"/>
        <v>527.66666666666879</v>
      </c>
      <c r="BE197" s="7">
        <f t="shared" si="76"/>
        <v>538.66666666666879</v>
      </c>
      <c r="BF197" s="7">
        <f t="shared" si="76"/>
        <v>549.6666666666689</v>
      </c>
      <c r="BG197" s="7">
        <f t="shared" si="76"/>
        <v>560.6666666666689</v>
      </c>
      <c r="BH197" s="7">
        <f t="shared" si="76"/>
        <v>571.6666666666689</v>
      </c>
      <c r="BI197" s="7">
        <f t="shared" si="76"/>
        <v>582.6666666666689</v>
      </c>
    </row>
    <row r="198" spans="1:63" x14ac:dyDescent="0.25">
      <c r="A198" s="13" t="s">
        <v>4</v>
      </c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>
        <f t="shared" ref="Q198" si="77">Q197-Q195</f>
        <v>-87.466666666666853</v>
      </c>
      <c r="R198" s="7">
        <f t="shared" ref="R198" si="78">R197-R195</f>
        <v>-87.888888888889042</v>
      </c>
      <c r="S198" s="7">
        <f t="shared" ref="S198" si="79">S197-S195</f>
        <v>-88.044444444444579</v>
      </c>
      <c r="T198" s="7">
        <f t="shared" ref="T198" si="80">T197-T195</f>
        <v>-87.800000000000125</v>
      </c>
      <c r="U198" s="7">
        <f t="shared" ref="U198" si="81">U197-U195</f>
        <v>-87.822222222222308</v>
      </c>
      <c r="V198" s="7">
        <f t="shared" ref="V198" si="82">V197-V195</f>
        <v>-88.1111111111112</v>
      </c>
      <c r="W198" s="7">
        <f t="shared" ref="W198" si="83">W197-W195</f>
        <v>-88.000000000000057</v>
      </c>
      <c r="X198" s="7">
        <f t="shared" ref="X198" si="84">X197-X195</f>
        <v>-88.000000000000057</v>
      </c>
      <c r="Y198" s="7">
        <f t="shared" ref="Y198" si="85">Y197-Y195</f>
        <v>-88.000000000000028</v>
      </c>
      <c r="Z198" s="7">
        <f t="shared" ref="Z198" si="86">Z197-Z195</f>
        <v>-88.000000000000995</v>
      </c>
      <c r="AA198" s="7">
        <f t="shared" ref="AA198" si="87">AA197-AA195</f>
        <v>-88.000000000000938</v>
      </c>
      <c r="AB198" s="7">
        <f t="shared" ref="AB198" si="88">AB197-AB195</f>
        <v>-88.000000000000881</v>
      </c>
      <c r="AC198" s="7">
        <f t="shared" ref="AC198" si="89">AC197-AC195</f>
        <v>-88.000000000000824</v>
      </c>
      <c r="AD198" s="7">
        <f t="shared" ref="AD198" si="90">AD197-AD195</f>
        <v>-88.000000000000739</v>
      </c>
      <c r="AE198" s="7">
        <f t="shared" ref="AE198" si="91">AE197-AE195</f>
        <v>-88.000000000000682</v>
      </c>
      <c r="AF198" s="7">
        <f t="shared" ref="AF198" si="92">AF197-AF195</f>
        <v>-88.000000000000625</v>
      </c>
      <c r="AG198" s="7">
        <f t="shared" ref="AG198" si="93">AG197-AG195</f>
        <v>-88.000000000000512</v>
      </c>
      <c r="AH198" s="7">
        <f t="shared" ref="AH198" si="94">AH197-AH195</f>
        <v>-88.000000000000455</v>
      </c>
      <c r="AI198" s="7">
        <f t="shared" ref="AI198" si="95">AI197-AI195</f>
        <v>-88.000000000000398</v>
      </c>
      <c r="AJ198" s="7">
        <f t="shared" ref="AJ198" si="96">AJ197-AJ195</f>
        <v>-88.000000000000341</v>
      </c>
      <c r="AK198" s="7">
        <f t="shared" ref="AK198" si="97">AK197-AK195</f>
        <v>-88.000000000000284</v>
      </c>
      <c r="AL198" s="7">
        <f t="shared" ref="AL198" si="98">AL197-AL195</f>
        <v>-88.000000000000227</v>
      </c>
      <c r="AM198" s="7">
        <f t="shared" ref="AM198" si="99">AM197-AM195</f>
        <v>-88.000000000001194</v>
      </c>
      <c r="AN198" s="7">
        <f t="shared" ref="AN198" si="100">AN197-AN195</f>
        <v>-88.00000000000108</v>
      </c>
      <c r="AO198" s="7">
        <f t="shared" ref="AO198" si="101">AO197-AO195</f>
        <v>-88.000000000000966</v>
      </c>
      <c r="AP198" s="7">
        <f t="shared" ref="AP198" si="102">AP197-AP195</f>
        <v>-88.000000000000909</v>
      </c>
      <c r="AQ198" s="7">
        <f t="shared" ref="AQ198" si="103">AQ197-AQ195</f>
        <v>-88.000000000000853</v>
      </c>
      <c r="AR198" s="7">
        <f t="shared" ref="AR198" si="104">AR197-AR195</f>
        <v>-88.000000000000796</v>
      </c>
      <c r="AS198" s="7">
        <f t="shared" ref="AS198" si="105">AS197-AS195</f>
        <v>-88.000000000000739</v>
      </c>
      <c r="AT198" s="7">
        <f t="shared" ref="AT198" si="106">AT197-AT195</f>
        <v>-87.999999999999602</v>
      </c>
      <c r="AU198" s="7">
        <f t="shared" ref="AU198" si="107">AU197-AU195</f>
        <v>-88.000000000000625</v>
      </c>
      <c r="AV198" s="7">
        <f t="shared" ref="AV198" si="108">AV197-AV195</f>
        <v>-88.000000000000568</v>
      </c>
      <c r="AW198" s="7">
        <f t="shared" ref="AW198" si="109">AW197-AW195</f>
        <v>-88.000000000000512</v>
      </c>
      <c r="AX198" s="7">
        <f t="shared" ref="AX198" si="110">AX197-AX195</f>
        <v>-88.000000000000455</v>
      </c>
      <c r="AY198" s="7">
        <f t="shared" ref="AY198" si="111">AY197-AY195</f>
        <v>-88.000000000000398</v>
      </c>
      <c r="AZ198" s="7">
        <f t="shared" ref="AZ198" si="112">AZ197-AZ195</f>
        <v>-88.000000000000341</v>
      </c>
      <c r="BA198" s="7">
        <f t="shared" ref="BA198" si="113">BA197-BA195</f>
        <v>-88.000000000000284</v>
      </c>
      <c r="BB198" s="7">
        <f t="shared" ref="BB198" si="114">BB197-BB195</f>
        <v>-88.000000000000227</v>
      </c>
      <c r="BC198" s="7">
        <f t="shared" ref="BC198" si="115">BC197-BC195</f>
        <v>-88.000000000000227</v>
      </c>
      <c r="BD198" s="7">
        <f t="shared" ref="BD198" si="116">BD197-BD195</f>
        <v>-88.000000000000227</v>
      </c>
      <c r="BE198" s="7">
        <f t="shared" ref="BE198" si="117">BE197-BE195</f>
        <v>-88.000000000000227</v>
      </c>
      <c r="BF198" s="7">
        <f t="shared" ref="BF198" si="118">BF197-BF195</f>
        <v>-88.000000000000114</v>
      </c>
      <c r="BG198" s="7">
        <f t="shared" ref="BG198" si="119">BG197-BG195</f>
        <v>-88.000000000000114</v>
      </c>
      <c r="BH198" s="7">
        <f t="shared" ref="BH198" si="120">BH197-BH195</f>
        <v>-88.000000000000114</v>
      </c>
      <c r="BI198" s="7">
        <f t="shared" ref="BI198" si="121">BI197-BI195</f>
        <v>-88.000000000000114</v>
      </c>
    </row>
    <row r="199" spans="1:63" x14ac:dyDescent="0.25">
      <c r="A199" s="13" t="s">
        <v>12</v>
      </c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>
        <f t="shared" ref="Q199" si="122">Q198^2</f>
        <v>7650.4177777778104</v>
      </c>
      <c r="R199" s="7">
        <f t="shared" ref="R199" si="123">R198^2</f>
        <v>7724.4567901234841</v>
      </c>
      <c r="S199" s="7">
        <f t="shared" ref="S199" si="124">S198^2</f>
        <v>7751.8241975308883</v>
      </c>
      <c r="T199" s="7">
        <f t="shared" ref="T199" si="125">T198^2</f>
        <v>7708.840000000022</v>
      </c>
      <c r="U199" s="7">
        <f t="shared" ref="U199" si="126">U198^2</f>
        <v>7712.742716049398</v>
      </c>
      <c r="V199" s="7">
        <f t="shared" ref="V199" si="127">V198^2</f>
        <v>7763.5679012345836</v>
      </c>
      <c r="W199" s="7">
        <f t="shared" ref="W199" si="128">W198^2</f>
        <v>7744.00000000001</v>
      </c>
      <c r="X199" s="7">
        <f t="shared" ref="X199" si="129">X198^2</f>
        <v>7744.00000000001</v>
      </c>
      <c r="Y199" s="7">
        <f t="shared" ref="Y199" si="130">Y198^2</f>
        <v>7744.0000000000055</v>
      </c>
      <c r="Z199" s="7">
        <f t="shared" ref="Z199" si="131">Z198^2</f>
        <v>7744.0000000001746</v>
      </c>
      <c r="AA199" s="7">
        <f t="shared" ref="AA199" si="132">AA198^2</f>
        <v>7744.0000000001655</v>
      </c>
      <c r="AB199" s="7">
        <f t="shared" ref="AB199" si="133">AB198^2</f>
        <v>7744.0000000001546</v>
      </c>
      <c r="AC199" s="7">
        <f t="shared" ref="AC199" si="134">AC198^2</f>
        <v>7744.0000000001455</v>
      </c>
      <c r="AD199" s="7">
        <f t="shared" ref="AD199" si="135">AD198^2</f>
        <v>7744.0000000001301</v>
      </c>
      <c r="AE199" s="7">
        <f t="shared" ref="AE199" si="136">AE198^2</f>
        <v>7744.0000000001201</v>
      </c>
      <c r="AF199" s="7">
        <f t="shared" ref="AF199" si="137">AF198^2</f>
        <v>7744.00000000011</v>
      </c>
      <c r="AG199" s="7">
        <f t="shared" ref="AG199" si="138">AG198^2</f>
        <v>7744.00000000009</v>
      </c>
      <c r="AH199" s="7">
        <f t="shared" ref="AH199" si="139">AH198^2</f>
        <v>7744.00000000008</v>
      </c>
      <c r="AI199" s="7">
        <f t="shared" ref="AI199" si="140">AI198^2</f>
        <v>7744.00000000007</v>
      </c>
      <c r="AJ199" s="7">
        <f t="shared" ref="AJ199" si="141">AJ198^2</f>
        <v>7744.00000000006</v>
      </c>
      <c r="AK199" s="7">
        <f t="shared" ref="AK199" si="142">AK198^2</f>
        <v>7744.00000000005</v>
      </c>
      <c r="AL199" s="7">
        <f t="shared" ref="AL199" si="143">AL198^2</f>
        <v>7744.00000000004</v>
      </c>
      <c r="AM199" s="7">
        <f t="shared" ref="AM199" si="144">AM198^2</f>
        <v>7744.0000000002101</v>
      </c>
      <c r="AN199" s="7">
        <f t="shared" ref="AN199" si="145">AN198^2</f>
        <v>7744.0000000001901</v>
      </c>
      <c r="AO199" s="7">
        <f t="shared" ref="AO199" si="146">AO198^2</f>
        <v>7744.0000000001701</v>
      </c>
      <c r="AP199" s="7">
        <f t="shared" ref="AP199" si="147">AP198^2</f>
        <v>7744.0000000001601</v>
      </c>
      <c r="AQ199" s="7">
        <f t="shared" ref="AQ199" si="148">AQ198^2</f>
        <v>7744.0000000001501</v>
      </c>
      <c r="AR199" s="7">
        <f t="shared" ref="AR199" si="149">AR198^2</f>
        <v>7744.0000000001401</v>
      </c>
      <c r="AS199" s="7">
        <f t="shared" ref="AS199" si="150">AS198^2</f>
        <v>7744.0000000001301</v>
      </c>
      <c r="AT199" s="7">
        <f t="shared" ref="AT199" si="151">AT198^2</f>
        <v>7743.99999999993</v>
      </c>
      <c r="AU199" s="7">
        <f t="shared" ref="AU199" si="152">AU198^2</f>
        <v>7744.00000000011</v>
      </c>
      <c r="AV199" s="7">
        <f t="shared" ref="AV199" si="153">AV198^2</f>
        <v>7744.0000000001</v>
      </c>
      <c r="AW199" s="7">
        <f t="shared" ref="AW199" si="154">AW198^2</f>
        <v>7744.00000000009</v>
      </c>
      <c r="AX199" s="7">
        <f t="shared" ref="AX199" si="155">AX198^2</f>
        <v>7744.00000000008</v>
      </c>
      <c r="AY199" s="7">
        <f t="shared" ref="AY199" si="156">AY198^2</f>
        <v>7744.00000000007</v>
      </c>
      <c r="AZ199" s="7">
        <f t="shared" ref="AZ199" si="157">AZ198^2</f>
        <v>7744.00000000006</v>
      </c>
      <c r="BA199" s="7">
        <f t="shared" ref="BA199" si="158">BA198^2</f>
        <v>7744.00000000005</v>
      </c>
      <c r="BB199" s="7">
        <f t="shared" ref="BB199" si="159">BB198^2</f>
        <v>7744.00000000004</v>
      </c>
      <c r="BC199" s="7">
        <f t="shared" ref="BC199" si="160">BC198^2</f>
        <v>7744.00000000004</v>
      </c>
      <c r="BD199" s="7">
        <f t="shared" ref="BD199" si="161">BD198^2</f>
        <v>7744.00000000004</v>
      </c>
      <c r="BE199" s="7">
        <f t="shared" ref="BE199" si="162">BE198^2</f>
        <v>7744.00000000004</v>
      </c>
      <c r="BF199" s="7">
        <f t="shared" ref="BF199" si="163">BF198^2</f>
        <v>7744.00000000002</v>
      </c>
      <c r="BG199" s="7">
        <f t="shared" ref="BG199" si="164">BG198^2</f>
        <v>7744.00000000002</v>
      </c>
      <c r="BH199" s="7">
        <f t="shared" ref="BH199" si="165">BH198^2</f>
        <v>7744.00000000002</v>
      </c>
      <c r="BI199" s="7">
        <f t="shared" ref="BI199" si="166">BI198^2</f>
        <v>7744.00000000002</v>
      </c>
    </row>
    <row r="200" spans="1:63" x14ac:dyDescent="0.25">
      <c r="A200" s="38" t="s">
        <v>11</v>
      </c>
      <c r="B200" s="38">
        <v>15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3" x14ac:dyDescent="0.25">
      <c r="A201" s="8" t="s">
        <v>5</v>
      </c>
      <c r="B201" s="8">
        <f>AVERAGE(G199:BI199)</f>
        <v>7740.6188751715426</v>
      </c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3" x14ac:dyDescent="0.25">
      <c r="A202" s="7" t="s">
        <v>7</v>
      </c>
      <c r="B202" s="7">
        <f>SUM(AU195:BI195)/B200</f>
        <v>593.66666666666902</v>
      </c>
    </row>
    <row r="203" spans="1:63" x14ac:dyDescent="0.25">
      <c r="A203" s="31" t="s">
        <v>6</v>
      </c>
      <c r="B203" s="7" t="s">
        <v>62</v>
      </c>
      <c r="C203" s="7">
        <v>61</v>
      </c>
      <c r="D203" s="7">
        <v>62</v>
      </c>
      <c r="E203" s="7">
        <v>63</v>
      </c>
      <c r="F203" s="7">
        <v>64</v>
      </c>
      <c r="G203" s="7">
        <v>65</v>
      </c>
      <c r="H203" s="7">
        <v>66</v>
      </c>
      <c r="I203" s="7">
        <v>67</v>
      </c>
      <c r="J203" s="7">
        <v>68</v>
      </c>
      <c r="K203" s="7">
        <v>69</v>
      </c>
      <c r="L203" s="7">
        <v>70</v>
      </c>
      <c r="M203" s="7">
        <v>71</v>
      </c>
      <c r="N203" s="7">
        <v>72</v>
      </c>
    </row>
    <row r="204" spans="1:63" x14ac:dyDescent="0.25"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7" spans="1:63" x14ac:dyDescent="0.25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</row>
    <row r="209" spans="1:63" x14ac:dyDescent="0.25">
      <c r="A209" s="13" t="s">
        <v>1</v>
      </c>
      <c r="B209" s="13">
        <v>1</v>
      </c>
      <c r="C209" s="13">
        <v>2</v>
      </c>
      <c r="D209" s="13">
        <v>3</v>
      </c>
      <c r="E209" s="13">
        <v>4</v>
      </c>
      <c r="F209" s="13">
        <v>5</v>
      </c>
      <c r="G209" s="13">
        <v>6</v>
      </c>
      <c r="H209" s="13">
        <v>7</v>
      </c>
      <c r="I209" s="13">
        <v>8</v>
      </c>
      <c r="J209" s="13">
        <v>9</v>
      </c>
      <c r="K209" s="13">
        <v>10</v>
      </c>
      <c r="L209" s="13">
        <v>11</v>
      </c>
      <c r="M209" s="13">
        <v>12</v>
      </c>
      <c r="N209" s="13">
        <v>13</v>
      </c>
      <c r="O209" s="13">
        <v>14</v>
      </c>
      <c r="P209" s="13">
        <v>15</v>
      </c>
      <c r="Q209" s="13">
        <v>16</v>
      </c>
      <c r="R209" s="13">
        <v>17</v>
      </c>
      <c r="S209" s="13">
        <v>18</v>
      </c>
      <c r="T209" s="13">
        <v>19</v>
      </c>
      <c r="U209" s="13">
        <v>20</v>
      </c>
      <c r="V209" s="13">
        <v>21</v>
      </c>
      <c r="W209" s="13">
        <v>22</v>
      </c>
      <c r="X209" s="13">
        <v>23</v>
      </c>
      <c r="Y209" s="13">
        <v>24</v>
      </c>
      <c r="Z209" s="13">
        <v>25</v>
      </c>
      <c r="AA209" s="13">
        <v>26</v>
      </c>
      <c r="AB209" s="13">
        <v>27</v>
      </c>
      <c r="AC209" s="13">
        <v>28</v>
      </c>
      <c r="AD209" s="13">
        <v>29</v>
      </c>
      <c r="AE209" s="13">
        <v>30</v>
      </c>
      <c r="AF209" s="13">
        <v>31</v>
      </c>
      <c r="AG209" s="13">
        <v>32</v>
      </c>
      <c r="AH209" s="13">
        <v>33</v>
      </c>
      <c r="AI209" s="13">
        <v>34</v>
      </c>
      <c r="AJ209" s="13">
        <v>35</v>
      </c>
      <c r="AK209" s="13">
        <v>36</v>
      </c>
      <c r="AL209" s="13">
        <v>37</v>
      </c>
      <c r="AM209" s="13">
        <v>38</v>
      </c>
      <c r="AN209" s="13">
        <v>39</v>
      </c>
      <c r="AO209" s="13">
        <v>40</v>
      </c>
      <c r="AP209" s="13">
        <v>41</v>
      </c>
      <c r="AQ209" s="13">
        <v>42</v>
      </c>
      <c r="AR209" s="13">
        <v>43</v>
      </c>
      <c r="AS209" s="13">
        <v>44</v>
      </c>
      <c r="AT209" s="13">
        <v>45</v>
      </c>
      <c r="AU209" s="13">
        <v>46</v>
      </c>
      <c r="AV209" s="13">
        <v>47</v>
      </c>
      <c r="AW209" s="13">
        <v>48</v>
      </c>
      <c r="AX209" s="13">
        <v>49</v>
      </c>
      <c r="AY209" s="13">
        <v>50</v>
      </c>
      <c r="AZ209" s="13">
        <v>51</v>
      </c>
      <c r="BA209" s="13">
        <v>52</v>
      </c>
      <c r="BB209" s="13">
        <v>53</v>
      </c>
      <c r="BC209" s="13">
        <v>54</v>
      </c>
      <c r="BD209" s="13">
        <v>55</v>
      </c>
      <c r="BE209" s="13">
        <v>56</v>
      </c>
      <c r="BF209" s="13">
        <v>57</v>
      </c>
      <c r="BG209" s="13">
        <v>58</v>
      </c>
      <c r="BH209" s="13">
        <v>59</v>
      </c>
      <c r="BI209" s="13">
        <v>60</v>
      </c>
    </row>
    <row r="210" spans="1:63" x14ac:dyDescent="0.25">
      <c r="A210" s="13" t="s">
        <v>0</v>
      </c>
      <c r="B210" s="37">
        <f>'הזנת נתונים'!A66</f>
        <v>28</v>
      </c>
      <c r="C210" s="37">
        <f>'הזנת נתונים'!B66</f>
        <v>35</v>
      </c>
      <c r="D210" s="37">
        <f>'הזנת נתונים'!C66</f>
        <v>40</v>
      </c>
      <c r="E210" s="37">
        <f>'הזנת נתונים'!D66</f>
        <v>55</v>
      </c>
      <c r="F210" s="37">
        <f>'הזנת נתונים'!E66</f>
        <v>70</v>
      </c>
      <c r="G210" s="37">
        <f>'הזנת נתונים'!F66</f>
        <v>75</v>
      </c>
      <c r="H210" s="37">
        <f>'הזנת נתונים'!G66</f>
        <v>87.6666666666667</v>
      </c>
      <c r="I210" s="37">
        <f>'הזנת נתונים'!H66</f>
        <v>98.6666666666667</v>
      </c>
      <c r="J210" s="37">
        <f>'הזנת נתונים'!I66</f>
        <v>109.666666666667</v>
      </c>
      <c r="K210" s="37">
        <f>'הזנת נתונים'!J66</f>
        <v>120.666666666667</v>
      </c>
      <c r="L210" s="37">
        <f>'הזנת נתונים'!K66</f>
        <v>131.666666666667</v>
      </c>
      <c r="M210" s="37">
        <f>'הזנת נתונים'!L66</f>
        <v>142.666666666667</v>
      </c>
      <c r="N210" s="37">
        <f>'הזנת נתונים'!M66</f>
        <v>153.666666666667</v>
      </c>
      <c r="O210" s="37">
        <f>'הזנת נתונים'!N66</f>
        <v>164.666666666667</v>
      </c>
      <c r="P210" s="37">
        <f>'הזנת נתונים'!O66</f>
        <v>175.666666666667</v>
      </c>
      <c r="Q210" s="37">
        <f>'הזנת נתונים'!P66</f>
        <v>186.666666666667</v>
      </c>
      <c r="R210" s="37">
        <f>'הזנת נתונים'!Q66</f>
        <v>197.666666666667</v>
      </c>
      <c r="S210" s="37">
        <f>'הזנת נתונים'!R66</f>
        <v>208.666666666667</v>
      </c>
      <c r="T210" s="37">
        <f>'הזנת נתונים'!S66</f>
        <v>219.666666666667</v>
      </c>
      <c r="U210" s="37">
        <f>'הזנת נתונים'!T66</f>
        <v>230.666666666667</v>
      </c>
      <c r="V210" s="37">
        <f>'הזנת נתונים'!U66</f>
        <v>241.666666666667</v>
      </c>
      <c r="W210" s="37">
        <f>'הזנת נתונים'!V66</f>
        <v>252.666666666667</v>
      </c>
      <c r="X210" s="37">
        <f>'הזנת נתונים'!W66</f>
        <v>263.66666666666703</v>
      </c>
      <c r="Y210" s="37">
        <f>'הזנת נתונים'!X66</f>
        <v>274.66666666666703</v>
      </c>
      <c r="Z210" s="37">
        <f>'הזנת נתונים'!Y66</f>
        <v>285.66666666666799</v>
      </c>
      <c r="AA210" s="37">
        <f>'הזנת נתונים'!Z66</f>
        <v>296.66666666666799</v>
      </c>
      <c r="AB210" s="37">
        <f>'הזנת נתונים'!AA66</f>
        <v>307.66666666666799</v>
      </c>
      <c r="AC210" s="37">
        <f>'הזנת נתונים'!AB66</f>
        <v>318.66666666666799</v>
      </c>
      <c r="AD210" s="37">
        <f>'הזנת נתונים'!AC66</f>
        <v>329.66666666666799</v>
      </c>
      <c r="AE210" s="37">
        <f>'הזנת נתונים'!AD66</f>
        <v>340.66666666666799</v>
      </c>
      <c r="AF210" s="37">
        <f>'הזנת נתונים'!AE66</f>
        <v>351.66666666666799</v>
      </c>
      <c r="AG210" s="37">
        <f>'הזנת נתונים'!AF66</f>
        <v>362.66666666666799</v>
      </c>
      <c r="AH210" s="37">
        <f>'הזנת נתונים'!AG66</f>
        <v>373.66666666666799</v>
      </c>
      <c r="AI210" s="37">
        <f>'הזנת נתונים'!AH66</f>
        <v>384.66666666666799</v>
      </c>
      <c r="AJ210" s="37">
        <f>'הזנת נתונים'!AI66</f>
        <v>395.66666666666799</v>
      </c>
      <c r="AK210" s="37">
        <f>'הזנת נתונים'!AJ66</f>
        <v>406.66666666666799</v>
      </c>
      <c r="AL210" s="37">
        <f>'הזנת נתונים'!AK66</f>
        <v>417.66666666666799</v>
      </c>
      <c r="AM210" s="37">
        <f>'הזנת נתונים'!AL66</f>
        <v>428.66666666666902</v>
      </c>
      <c r="AN210" s="37">
        <f>'הזנת נתונים'!AM66</f>
        <v>439.66666666666902</v>
      </c>
      <c r="AO210" s="37">
        <f>'הזנת נתונים'!AN66</f>
        <v>450.66666666666902</v>
      </c>
      <c r="AP210" s="37">
        <f>'הזנת נתונים'!AO66</f>
        <v>461.66666666666902</v>
      </c>
      <c r="AQ210" s="37">
        <f>'הזנת נתונים'!AP66</f>
        <v>472.66666666666902</v>
      </c>
      <c r="AR210" s="37">
        <f>'הזנת נתונים'!AQ66</f>
        <v>483.66666666666902</v>
      </c>
      <c r="AS210" s="37">
        <f>'הזנת נתונים'!AR66</f>
        <v>494.66666666666902</v>
      </c>
      <c r="AT210" s="37">
        <f>'הזנת נתונים'!AS66</f>
        <v>505.66666666666799</v>
      </c>
      <c r="AU210" s="37">
        <f>'הזנת נתונים'!AT66</f>
        <v>516.66666666666902</v>
      </c>
      <c r="AV210" s="37">
        <f>'הזנת נתונים'!AU66</f>
        <v>527.66666666666902</v>
      </c>
      <c r="AW210" s="37">
        <f>'הזנת נתונים'!AV66</f>
        <v>538.66666666666902</v>
      </c>
      <c r="AX210" s="37">
        <f>'הזנת נתונים'!AW66</f>
        <v>549.66666666666902</v>
      </c>
      <c r="AY210" s="37">
        <f>'הזנת נתונים'!AX66</f>
        <v>560.66666666666902</v>
      </c>
      <c r="AZ210" s="37">
        <f>'הזנת נתונים'!AY66</f>
        <v>571.66666666666902</v>
      </c>
      <c r="BA210" s="37">
        <f>'הזנת נתונים'!AZ66</f>
        <v>582.66666666666902</v>
      </c>
      <c r="BB210" s="37">
        <f>'הזנת נתונים'!BA66</f>
        <v>593.66666666666902</v>
      </c>
      <c r="BC210" s="37">
        <f>'הזנת נתונים'!BB66</f>
        <v>604.66666666666902</v>
      </c>
      <c r="BD210" s="37">
        <f>'הזנת נתונים'!BC66</f>
        <v>615.66666666666902</v>
      </c>
      <c r="BE210" s="37">
        <f>'הזנת נתונים'!BD66</f>
        <v>626.66666666666902</v>
      </c>
      <c r="BF210" s="37">
        <f>'הזנת נתונים'!BE66</f>
        <v>637.66666666666902</v>
      </c>
      <c r="BG210" s="37">
        <f>'הזנת נתונים'!BF66</f>
        <v>648.66666666666902</v>
      </c>
      <c r="BH210" s="37">
        <f>'הזנת נתונים'!BG66</f>
        <v>659.66666666666902</v>
      </c>
      <c r="BI210" s="37">
        <f>'הזנת נתונים'!BH66</f>
        <v>670.66666666666902</v>
      </c>
    </row>
    <row r="211" spans="1:63" x14ac:dyDescent="0.25">
      <c r="A211" s="13" t="s">
        <v>2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  <c r="H211" t="e">
        <v>#N/A</v>
      </c>
      <c r="I211" t="e">
        <v>#N/A</v>
      </c>
      <c r="J211" t="e">
        <v>#N/A</v>
      </c>
      <c r="K211" t="e">
        <v>#N/A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>
        <f t="shared" ref="Q211:BI211" si="167">AVERAGE(B210:Q210)</f>
        <v>104.66666666666683</v>
      </c>
      <c r="R211">
        <f t="shared" si="167"/>
        <v>115.27083333333351</v>
      </c>
      <c r="S211">
        <f t="shared" si="167"/>
        <v>126.1250000000002</v>
      </c>
      <c r="T211">
        <f t="shared" si="167"/>
        <v>137.35416666666688</v>
      </c>
      <c r="U211">
        <f t="shared" si="167"/>
        <v>148.33333333333357</v>
      </c>
      <c r="V211">
        <f t="shared" si="167"/>
        <v>159.06250000000026</v>
      </c>
      <c r="W211">
        <f t="shared" si="167"/>
        <v>170.16666666666694</v>
      </c>
      <c r="X211">
        <f t="shared" si="167"/>
        <v>181.16666666666697</v>
      </c>
      <c r="Y211">
        <f t="shared" si="167"/>
        <v>192.166666666667</v>
      </c>
      <c r="Z211">
        <f t="shared" si="167"/>
        <v>203.16666666666706</v>
      </c>
      <c r="AA211">
        <f t="shared" si="167"/>
        <v>214.16666666666711</v>
      </c>
      <c r="AB211">
        <f t="shared" si="167"/>
        <v>225.16666666666717</v>
      </c>
      <c r="AC211">
        <f t="shared" si="167"/>
        <v>236.16666666666723</v>
      </c>
      <c r="AD211">
        <f t="shared" si="167"/>
        <v>247.16666666666728</v>
      </c>
      <c r="AE211">
        <f t="shared" si="167"/>
        <v>258.16666666666737</v>
      </c>
      <c r="AF211">
        <f t="shared" si="167"/>
        <v>269.16666666666742</v>
      </c>
      <c r="AG211">
        <f t="shared" si="167"/>
        <v>280.16666666666748</v>
      </c>
      <c r="AH211">
        <f t="shared" si="167"/>
        <v>291.16666666666754</v>
      </c>
      <c r="AI211">
        <f t="shared" si="167"/>
        <v>302.1666666666676</v>
      </c>
      <c r="AJ211">
        <f t="shared" si="167"/>
        <v>313.16666666666765</v>
      </c>
      <c r="AK211">
        <f t="shared" si="167"/>
        <v>324.16666666666771</v>
      </c>
      <c r="AL211">
        <f t="shared" si="167"/>
        <v>335.16666666666777</v>
      </c>
      <c r="AM211">
        <f t="shared" si="167"/>
        <v>346.16666666666788</v>
      </c>
      <c r="AN211">
        <f t="shared" si="167"/>
        <v>357.16666666666799</v>
      </c>
      <c r="AO211">
        <f t="shared" si="167"/>
        <v>368.16666666666811</v>
      </c>
      <c r="AP211">
        <f t="shared" si="167"/>
        <v>379.16666666666816</v>
      </c>
      <c r="AQ211">
        <f t="shared" si="167"/>
        <v>390.16666666666822</v>
      </c>
      <c r="AR211">
        <f t="shared" si="167"/>
        <v>401.16666666666828</v>
      </c>
      <c r="AS211">
        <f t="shared" si="167"/>
        <v>412.16666666666833</v>
      </c>
      <c r="AT211">
        <f t="shared" si="167"/>
        <v>423.16666666666833</v>
      </c>
      <c r="AU211">
        <f t="shared" si="167"/>
        <v>434.16666666666839</v>
      </c>
      <c r="AV211">
        <f t="shared" si="167"/>
        <v>445.16666666666845</v>
      </c>
      <c r="AW211">
        <f t="shared" si="167"/>
        <v>456.1666666666685</v>
      </c>
      <c r="AX211">
        <f t="shared" si="167"/>
        <v>467.16666666666856</v>
      </c>
      <c r="AY211">
        <f t="shared" si="167"/>
        <v>478.16666666666862</v>
      </c>
      <c r="AZ211">
        <f t="shared" si="167"/>
        <v>489.16666666666868</v>
      </c>
      <c r="BA211">
        <f t="shared" si="167"/>
        <v>500.16666666666873</v>
      </c>
      <c r="BB211">
        <f t="shared" si="167"/>
        <v>511.16666666666879</v>
      </c>
      <c r="BC211">
        <f t="shared" si="167"/>
        <v>522.16666666666879</v>
      </c>
      <c r="BD211">
        <f t="shared" si="167"/>
        <v>533.16666666666879</v>
      </c>
      <c r="BE211">
        <f t="shared" si="167"/>
        <v>544.16666666666879</v>
      </c>
      <c r="BF211">
        <f t="shared" si="167"/>
        <v>555.1666666666689</v>
      </c>
      <c r="BG211">
        <f t="shared" si="167"/>
        <v>566.1666666666689</v>
      </c>
      <c r="BH211">
        <f t="shared" si="167"/>
        <v>577.1666666666689</v>
      </c>
      <c r="BI211">
        <f t="shared" si="167"/>
        <v>588.1666666666689</v>
      </c>
    </row>
    <row r="212" spans="1:63" x14ac:dyDescent="0.25">
      <c r="A212" s="13" t="s">
        <v>9</v>
      </c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>
        <f t="shared" ref="R212:BI212" si="168">Q211</f>
        <v>104.66666666666683</v>
      </c>
      <c r="S212" s="7">
        <f t="shared" si="168"/>
        <v>115.27083333333351</v>
      </c>
      <c r="T212" s="7">
        <f t="shared" si="168"/>
        <v>126.1250000000002</v>
      </c>
      <c r="U212" s="7">
        <f t="shared" si="168"/>
        <v>137.35416666666688</v>
      </c>
      <c r="V212" s="7">
        <f t="shared" si="168"/>
        <v>148.33333333333357</v>
      </c>
      <c r="W212" s="7">
        <f t="shared" si="168"/>
        <v>159.06250000000026</v>
      </c>
      <c r="X212" s="7">
        <f t="shared" si="168"/>
        <v>170.16666666666694</v>
      </c>
      <c r="Y212" s="7">
        <f t="shared" si="168"/>
        <v>181.16666666666697</v>
      </c>
      <c r="Z212" s="7">
        <f t="shared" si="168"/>
        <v>192.166666666667</v>
      </c>
      <c r="AA212" s="7">
        <f t="shared" si="168"/>
        <v>203.16666666666706</v>
      </c>
      <c r="AB212" s="7">
        <f t="shared" si="168"/>
        <v>214.16666666666711</v>
      </c>
      <c r="AC212" s="7">
        <f t="shared" si="168"/>
        <v>225.16666666666717</v>
      </c>
      <c r="AD212" s="7">
        <f t="shared" si="168"/>
        <v>236.16666666666723</v>
      </c>
      <c r="AE212" s="7">
        <f t="shared" si="168"/>
        <v>247.16666666666728</v>
      </c>
      <c r="AF212" s="7">
        <f t="shared" si="168"/>
        <v>258.16666666666737</v>
      </c>
      <c r="AG212" s="7">
        <f t="shared" si="168"/>
        <v>269.16666666666742</v>
      </c>
      <c r="AH212" s="7">
        <f t="shared" si="168"/>
        <v>280.16666666666748</v>
      </c>
      <c r="AI212" s="7">
        <f t="shared" si="168"/>
        <v>291.16666666666754</v>
      </c>
      <c r="AJ212" s="7">
        <f t="shared" si="168"/>
        <v>302.1666666666676</v>
      </c>
      <c r="AK212" s="7">
        <f t="shared" si="168"/>
        <v>313.16666666666765</v>
      </c>
      <c r="AL212" s="7">
        <f t="shared" si="168"/>
        <v>324.16666666666771</v>
      </c>
      <c r="AM212" s="7">
        <f t="shared" si="168"/>
        <v>335.16666666666777</v>
      </c>
      <c r="AN212" s="7">
        <f t="shared" si="168"/>
        <v>346.16666666666788</v>
      </c>
      <c r="AO212" s="7">
        <f t="shared" si="168"/>
        <v>357.16666666666799</v>
      </c>
      <c r="AP212" s="7">
        <f t="shared" si="168"/>
        <v>368.16666666666811</v>
      </c>
      <c r="AQ212" s="7">
        <f t="shared" si="168"/>
        <v>379.16666666666816</v>
      </c>
      <c r="AR212" s="7">
        <f t="shared" si="168"/>
        <v>390.16666666666822</v>
      </c>
      <c r="AS212" s="7">
        <f t="shared" si="168"/>
        <v>401.16666666666828</v>
      </c>
      <c r="AT212" s="7">
        <f t="shared" si="168"/>
        <v>412.16666666666833</v>
      </c>
      <c r="AU212" s="7">
        <f t="shared" si="168"/>
        <v>423.16666666666833</v>
      </c>
      <c r="AV212" s="7">
        <f t="shared" si="168"/>
        <v>434.16666666666839</v>
      </c>
      <c r="AW212" s="7">
        <f t="shared" si="168"/>
        <v>445.16666666666845</v>
      </c>
      <c r="AX212" s="7">
        <f t="shared" si="168"/>
        <v>456.1666666666685</v>
      </c>
      <c r="AY212" s="7">
        <f t="shared" si="168"/>
        <v>467.16666666666856</v>
      </c>
      <c r="AZ212" s="7">
        <f t="shared" si="168"/>
        <v>478.16666666666862</v>
      </c>
      <c r="BA212" s="7">
        <f t="shared" si="168"/>
        <v>489.16666666666868</v>
      </c>
      <c r="BB212" s="7">
        <f t="shared" si="168"/>
        <v>500.16666666666873</v>
      </c>
      <c r="BC212" s="7">
        <f t="shared" si="168"/>
        <v>511.16666666666879</v>
      </c>
      <c r="BD212" s="7">
        <f t="shared" si="168"/>
        <v>522.16666666666879</v>
      </c>
      <c r="BE212" s="7">
        <f t="shared" si="168"/>
        <v>533.16666666666879</v>
      </c>
      <c r="BF212" s="7">
        <f t="shared" si="168"/>
        <v>544.16666666666879</v>
      </c>
      <c r="BG212" s="7">
        <f t="shared" si="168"/>
        <v>555.1666666666689</v>
      </c>
      <c r="BH212" s="7">
        <f t="shared" si="168"/>
        <v>566.1666666666689</v>
      </c>
      <c r="BI212" s="7">
        <f t="shared" si="168"/>
        <v>577.1666666666689</v>
      </c>
    </row>
    <row r="213" spans="1:63" x14ac:dyDescent="0.25">
      <c r="A213" s="13" t="s">
        <v>4</v>
      </c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>
        <f t="shared" ref="R213" si="169">R212-R210</f>
        <v>-93.000000000000171</v>
      </c>
      <c r="S213" s="7">
        <f t="shared" ref="S213" si="170">S212-S210</f>
        <v>-93.395833333333485</v>
      </c>
      <c r="T213" s="7">
        <f t="shared" ref="T213" si="171">T212-T210</f>
        <v>-93.541666666666799</v>
      </c>
      <c r="U213" s="7">
        <f t="shared" ref="U213" si="172">U212-U210</f>
        <v>-93.312500000000114</v>
      </c>
      <c r="V213" s="7">
        <f t="shared" ref="V213" si="173">V212-V210</f>
        <v>-93.333333333333428</v>
      </c>
      <c r="W213" s="7">
        <f t="shared" ref="W213" si="174">W212-W210</f>
        <v>-93.604166666666742</v>
      </c>
      <c r="X213" s="7">
        <f t="shared" ref="X213" si="175">X212-X210</f>
        <v>-93.500000000000085</v>
      </c>
      <c r="Y213" s="7">
        <f t="shared" ref="Y213" si="176">Y212-Y210</f>
        <v>-93.500000000000057</v>
      </c>
      <c r="Z213" s="7">
        <f t="shared" ref="Z213" si="177">Z212-Z210</f>
        <v>-93.500000000000995</v>
      </c>
      <c r="AA213" s="7">
        <f t="shared" ref="AA213" si="178">AA212-AA210</f>
        <v>-93.500000000000938</v>
      </c>
      <c r="AB213" s="7">
        <f t="shared" ref="AB213" si="179">AB212-AB210</f>
        <v>-93.500000000000881</v>
      </c>
      <c r="AC213" s="7">
        <f t="shared" ref="AC213" si="180">AC212-AC210</f>
        <v>-93.500000000000824</v>
      </c>
      <c r="AD213" s="7">
        <f t="shared" ref="AD213" si="181">AD212-AD210</f>
        <v>-93.500000000000767</v>
      </c>
      <c r="AE213" s="7">
        <f t="shared" ref="AE213" si="182">AE212-AE210</f>
        <v>-93.500000000000711</v>
      </c>
      <c r="AF213" s="7">
        <f t="shared" ref="AF213" si="183">AF212-AF210</f>
        <v>-93.500000000000625</v>
      </c>
      <c r="AG213" s="7">
        <f t="shared" ref="AG213" si="184">AG212-AG210</f>
        <v>-93.500000000000568</v>
      </c>
      <c r="AH213" s="7">
        <f t="shared" ref="AH213" si="185">AH212-AH210</f>
        <v>-93.500000000000512</v>
      </c>
      <c r="AI213" s="7">
        <f t="shared" ref="AI213" si="186">AI212-AI210</f>
        <v>-93.500000000000455</v>
      </c>
      <c r="AJ213" s="7">
        <f t="shared" ref="AJ213" si="187">AJ212-AJ210</f>
        <v>-93.500000000000398</v>
      </c>
      <c r="AK213" s="7">
        <f t="shared" ref="AK213" si="188">AK212-AK210</f>
        <v>-93.500000000000341</v>
      </c>
      <c r="AL213" s="7">
        <f t="shared" ref="AL213" si="189">AL212-AL210</f>
        <v>-93.500000000000284</v>
      </c>
      <c r="AM213" s="7">
        <f t="shared" ref="AM213" si="190">AM212-AM210</f>
        <v>-93.500000000001251</v>
      </c>
      <c r="AN213" s="7">
        <f t="shared" ref="AN213" si="191">AN212-AN210</f>
        <v>-93.500000000001137</v>
      </c>
      <c r="AO213" s="7">
        <f t="shared" ref="AO213" si="192">AO212-AO210</f>
        <v>-93.500000000001023</v>
      </c>
      <c r="AP213" s="7">
        <f t="shared" ref="AP213" si="193">AP212-AP210</f>
        <v>-93.500000000000909</v>
      </c>
      <c r="AQ213" s="7">
        <f t="shared" ref="AQ213" si="194">AQ212-AQ210</f>
        <v>-93.500000000000853</v>
      </c>
      <c r="AR213" s="7">
        <f t="shared" ref="AR213" si="195">AR212-AR210</f>
        <v>-93.500000000000796</v>
      </c>
      <c r="AS213" s="7">
        <f t="shared" ref="AS213" si="196">AS212-AS210</f>
        <v>-93.500000000000739</v>
      </c>
      <c r="AT213" s="7">
        <f t="shared" ref="AT213" si="197">AT212-AT210</f>
        <v>-93.499999999999659</v>
      </c>
      <c r="AU213" s="7">
        <f t="shared" ref="AU213" si="198">AU212-AU210</f>
        <v>-93.500000000000682</v>
      </c>
      <c r="AV213" s="7">
        <f t="shared" ref="AV213" si="199">AV212-AV210</f>
        <v>-93.500000000000625</v>
      </c>
      <c r="AW213" s="7">
        <f t="shared" ref="AW213" si="200">AW212-AW210</f>
        <v>-93.500000000000568</v>
      </c>
      <c r="AX213" s="7">
        <f t="shared" ref="AX213" si="201">AX212-AX210</f>
        <v>-93.500000000000512</v>
      </c>
      <c r="AY213" s="7">
        <f t="shared" ref="AY213" si="202">AY212-AY210</f>
        <v>-93.500000000000455</v>
      </c>
      <c r="AZ213" s="7">
        <f t="shared" ref="AZ213" si="203">AZ212-AZ210</f>
        <v>-93.500000000000398</v>
      </c>
      <c r="BA213" s="7">
        <f t="shared" ref="BA213" si="204">BA212-BA210</f>
        <v>-93.500000000000341</v>
      </c>
      <c r="BB213" s="7">
        <f t="shared" ref="BB213" si="205">BB212-BB210</f>
        <v>-93.500000000000284</v>
      </c>
      <c r="BC213" s="7">
        <f t="shared" ref="BC213" si="206">BC212-BC210</f>
        <v>-93.500000000000227</v>
      </c>
      <c r="BD213" s="7">
        <f t="shared" ref="BD213" si="207">BD212-BD210</f>
        <v>-93.500000000000227</v>
      </c>
      <c r="BE213" s="7">
        <f t="shared" ref="BE213" si="208">BE212-BE210</f>
        <v>-93.500000000000227</v>
      </c>
      <c r="BF213" s="7">
        <f t="shared" ref="BF213" si="209">BF212-BF210</f>
        <v>-93.500000000000227</v>
      </c>
      <c r="BG213" s="7">
        <f t="shared" ref="BG213" si="210">BG212-BG210</f>
        <v>-93.500000000000114</v>
      </c>
      <c r="BH213" s="7">
        <f t="shared" ref="BH213" si="211">BH212-BH210</f>
        <v>-93.500000000000114</v>
      </c>
      <c r="BI213" s="7">
        <f t="shared" ref="BI213" si="212">BI212-BI210</f>
        <v>-93.500000000000114</v>
      </c>
    </row>
    <row r="214" spans="1:63" x14ac:dyDescent="0.25">
      <c r="A214" s="13" t="s">
        <v>12</v>
      </c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>
        <f t="shared" ref="R214" si="213">R213^2</f>
        <v>8649.0000000000309</v>
      </c>
      <c r="S214" s="7">
        <f t="shared" ref="S214" si="214">S213^2</f>
        <v>8722.7816840278065</v>
      </c>
      <c r="T214" s="7">
        <f t="shared" ref="T214" si="215">T213^2</f>
        <v>8750.0434027778028</v>
      </c>
      <c r="U214" s="7">
        <f t="shared" ref="U214" si="216">U213^2</f>
        <v>8707.2226562500218</v>
      </c>
      <c r="V214" s="7">
        <f t="shared" ref="V214" si="217">V213^2</f>
        <v>8711.1111111111295</v>
      </c>
      <c r="W214" s="7">
        <f t="shared" ref="W214" si="218">W213^2</f>
        <v>8761.7400173611259</v>
      </c>
      <c r="X214" s="7">
        <f t="shared" ref="X214" si="219">X213^2</f>
        <v>8742.2500000000164</v>
      </c>
      <c r="Y214" s="7">
        <f t="shared" ref="Y214" si="220">Y213^2</f>
        <v>8742.2500000000109</v>
      </c>
      <c r="Z214" s="7">
        <f t="shared" ref="Z214" si="221">Z213^2</f>
        <v>8742.2500000001855</v>
      </c>
      <c r="AA214" s="7">
        <f t="shared" ref="AA214" si="222">AA213^2</f>
        <v>8742.2500000001746</v>
      </c>
      <c r="AB214" s="7">
        <f t="shared" ref="AB214" si="223">AB213^2</f>
        <v>8742.2500000001655</v>
      </c>
      <c r="AC214" s="7">
        <f t="shared" ref="AC214" si="224">AC213^2</f>
        <v>8742.2500000001546</v>
      </c>
      <c r="AD214" s="7">
        <f t="shared" ref="AD214" si="225">AD213^2</f>
        <v>8742.2500000001437</v>
      </c>
      <c r="AE214" s="7">
        <f t="shared" ref="AE214" si="226">AE213^2</f>
        <v>8742.2500000001328</v>
      </c>
      <c r="AF214" s="7">
        <f t="shared" ref="AF214" si="227">AF213^2</f>
        <v>8742.2500000001164</v>
      </c>
      <c r="AG214" s="7">
        <f t="shared" ref="AG214" si="228">AG213^2</f>
        <v>8742.2500000001055</v>
      </c>
      <c r="AH214" s="7">
        <f t="shared" ref="AH214" si="229">AH213^2</f>
        <v>8742.2500000000964</v>
      </c>
      <c r="AI214" s="7">
        <f t="shared" ref="AI214" si="230">AI213^2</f>
        <v>8742.2500000000855</v>
      </c>
      <c r="AJ214" s="7">
        <f t="shared" ref="AJ214" si="231">AJ213^2</f>
        <v>8742.2500000000746</v>
      </c>
      <c r="AK214" s="7">
        <f t="shared" ref="AK214" si="232">AK213^2</f>
        <v>8742.2500000000637</v>
      </c>
      <c r="AL214" s="7">
        <f t="shared" ref="AL214" si="233">AL213^2</f>
        <v>8742.2500000000528</v>
      </c>
      <c r="AM214" s="7">
        <f t="shared" ref="AM214" si="234">AM213^2</f>
        <v>8742.2500000002346</v>
      </c>
      <c r="AN214" s="7">
        <f t="shared" ref="AN214" si="235">AN213^2</f>
        <v>8742.2500000002128</v>
      </c>
      <c r="AO214" s="7">
        <f t="shared" ref="AO214" si="236">AO213^2</f>
        <v>8742.250000000191</v>
      </c>
      <c r="AP214" s="7">
        <f t="shared" ref="AP214" si="237">AP213^2</f>
        <v>8742.250000000171</v>
      </c>
      <c r="AQ214" s="7">
        <f t="shared" ref="AQ214" si="238">AQ213^2</f>
        <v>8742.2500000001601</v>
      </c>
      <c r="AR214" s="7">
        <f t="shared" ref="AR214" si="239">AR213^2</f>
        <v>8742.2500000001492</v>
      </c>
      <c r="AS214" s="7">
        <f t="shared" ref="AS214" si="240">AS213^2</f>
        <v>8742.2500000001382</v>
      </c>
      <c r="AT214" s="7">
        <f t="shared" ref="AT214" si="241">AT213^2</f>
        <v>8742.2499999999363</v>
      </c>
      <c r="AU214" s="7">
        <f t="shared" ref="AU214" si="242">AU213^2</f>
        <v>8742.2500000001273</v>
      </c>
      <c r="AV214" s="7">
        <f t="shared" ref="AV214" si="243">AV213^2</f>
        <v>8742.2500000001164</v>
      </c>
      <c r="AW214" s="7">
        <f t="shared" ref="AW214" si="244">AW213^2</f>
        <v>8742.2500000001055</v>
      </c>
      <c r="AX214" s="7">
        <f t="shared" ref="AX214" si="245">AX213^2</f>
        <v>8742.2500000000964</v>
      </c>
      <c r="AY214" s="7">
        <f t="shared" ref="AY214" si="246">AY213^2</f>
        <v>8742.2500000000855</v>
      </c>
      <c r="AZ214" s="7">
        <f t="shared" ref="AZ214" si="247">AZ213^2</f>
        <v>8742.2500000000746</v>
      </c>
      <c r="BA214" s="7">
        <f t="shared" ref="BA214" si="248">BA213^2</f>
        <v>8742.2500000000637</v>
      </c>
      <c r="BB214" s="7">
        <f t="shared" ref="BB214" si="249">BB213^2</f>
        <v>8742.2500000000528</v>
      </c>
      <c r="BC214" s="7">
        <f t="shared" ref="BC214" si="250">BC213^2</f>
        <v>8742.2500000000418</v>
      </c>
      <c r="BD214" s="7">
        <f t="shared" ref="BD214" si="251">BD213^2</f>
        <v>8742.2500000000418</v>
      </c>
      <c r="BE214" s="7">
        <f t="shared" ref="BE214" si="252">BE213^2</f>
        <v>8742.2500000000418</v>
      </c>
      <c r="BF214" s="7">
        <f t="shared" ref="BF214" si="253">BF213^2</f>
        <v>8742.2500000000418</v>
      </c>
      <c r="BG214" s="7">
        <f t="shared" ref="BG214" si="254">BG213^2</f>
        <v>8742.2500000000218</v>
      </c>
      <c r="BH214" s="7">
        <f t="shared" ref="BH214" si="255">BH213^2</f>
        <v>8742.2500000000218</v>
      </c>
      <c r="BI214" s="7">
        <f t="shared" ref="BI214" si="256">BI213^2</f>
        <v>8742.2500000000218</v>
      </c>
    </row>
    <row r="215" spans="1:63" x14ac:dyDescent="0.25">
      <c r="A215" s="38" t="s">
        <v>11</v>
      </c>
      <c r="B215" s="38">
        <v>16</v>
      </c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3" x14ac:dyDescent="0.25">
      <c r="A216" s="8" t="s">
        <v>5</v>
      </c>
      <c r="B216" s="8">
        <f>AVERAGE(G214:BI214)</f>
        <v>8738.8045198075379</v>
      </c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3" x14ac:dyDescent="0.25">
      <c r="A217" s="7" t="s">
        <v>7</v>
      </c>
      <c r="B217" s="7">
        <f>SUM(AT210:BI210)/B215</f>
        <v>588.1666666666689</v>
      </c>
    </row>
    <row r="218" spans="1:63" x14ac:dyDescent="0.25">
      <c r="A218" s="31" t="s">
        <v>6</v>
      </c>
      <c r="B218" s="7" t="s">
        <v>62</v>
      </c>
      <c r="C218" s="7">
        <v>61</v>
      </c>
      <c r="D218" s="7">
        <v>62</v>
      </c>
      <c r="E218" s="7">
        <v>63</v>
      </c>
      <c r="F218" s="7">
        <v>64</v>
      </c>
      <c r="G218" s="7">
        <v>65</v>
      </c>
      <c r="H218" s="7">
        <v>66</v>
      </c>
      <c r="I218" s="7">
        <v>67</v>
      </c>
      <c r="J218" s="7">
        <v>68</v>
      </c>
      <c r="K218" s="7">
        <v>69</v>
      </c>
      <c r="L218" s="7">
        <v>70</v>
      </c>
      <c r="M218" s="7">
        <v>71</v>
      </c>
      <c r="N218" s="7">
        <v>72</v>
      </c>
    </row>
    <row r="219" spans="1:63" x14ac:dyDescent="0.25">
      <c r="C219" s="7">
        <f>$B$217</f>
        <v>588.1666666666689</v>
      </c>
      <c r="D219" s="7">
        <f t="shared" ref="D219:N219" si="257">$B$217</f>
        <v>588.1666666666689</v>
      </c>
      <c r="E219" s="7">
        <f t="shared" si="257"/>
        <v>588.1666666666689</v>
      </c>
      <c r="F219" s="7">
        <f t="shared" si="257"/>
        <v>588.1666666666689</v>
      </c>
      <c r="G219" s="7">
        <f t="shared" si="257"/>
        <v>588.1666666666689</v>
      </c>
      <c r="H219" s="7">
        <f t="shared" si="257"/>
        <v>588.1666666666689</v>
      </c>
      <c r="I219" s="7">
        <f t="shared" si="257"/>
        <v>588.1666666666689</v>
      </c>
      <c r="J219" s="7">
        <f t="shared" si="257"/>
        <v>588.1666666666689</v>
      </c>
      <c r="K219" s="7">
        <f t="shared" si="257"/>
        <v>588.1666666666689</v>
      </c>
      <c r="L219" s="7">
        <f t="shared" si="257"/>
        <v>588.1666666666689</v>
      </c>
      <c r="M219" s="7">
        <f t="shared" si="257"/>
        <v>588.1666666666689</v>
      </c>
      <c r="N219" s="7">
        <f t="shared" si="257"/>
        <v>588.1666666666689</v>
      </c>
    </row>
    <row r="221" spans="1:63" x14ac:dyDescent="0.25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</row>
    <row r="223" spans="1:63" x14ac:dyDescent="0.25">
      <c r="A223" s="13" t="s">
        <v>1</v>
      </c>
      <c r="B223" s="13">
        <v>1</v>
      </c>
      <c r="C223" s="13">
        <v>2</v>
      </c>
      <c r="D223" s="13">
        <v>3</v>
      </c>
      <c r="E223" s="13">
        <v>4</v>
      </c>
      <c r="F223" s="13">
        <v>5</v>
      </c>
      <c r="G223" s="13">
        <v>6</v>
      </c>
      <c r="H223" s="13">
        <v>7</v>
      </c>
      <c r="I223" s="13">
        <v>8</v>
      </c>
      <c r="J223" s="13">
        <v>9</v>
      </c>
      <c r="K223" s="13">
        <v>10</v>
      </c>
      <c r="L223" s="13">
        <v>11</v>
      </c>
      <c r="M223" s="13">
        <v>12</v>
      </c>
      <c r="N223" s="13">
        <v>13</v>
      </c>
      <c r="O223" s="13">
        <v>14</v>
      </c>
      <c r="P223" s="13">
        <v>15</v>
      </c>
      <c r="Q223" s="13">
        <v>16</v>
      </c>
      <c r="R223" s="13">
        <v>17</v>
      </c>
      <c r="S223" s="13">
        <v>18</v>
      </c>
      <c r="T223" s="13">
        <v>19</v>
      </c>
      <c r="U223" s="13">
        <v>20</v>
      </c>
      <c r="V223" s="13">
        <v>21</v>
      </c>
      <c r="W223" s="13">
        <v>22</v>
      </c>
      <c r="X223" s="13">
        <v>23</v>
      </c>
      <c r="Y223" s="13">
        <v>24</v>
      </c>
      <c r="Z223" s="13">
        <v>25</v>
      </c>
      <c r="AA223" s="13">
        <v>26</v>
      </c>
      <c r="AB223" s="13">
        <v>27</v>
      </c>
      <c r="AC223" s="13">
        <v>28</v>
      </c>
      <c r="AD223" s="13">
        <v>29</v>
      </c>
      <c r="AE223" s="13">
        <v>30</v>
      </c>
      <c r="AF223" s="13">
        <v>31</v>
      </c>
      <c r="AG223" s="13">
        <v>32</v>
      </c>
      <c r="AH223" s="13">
        <v>33</v>
      </c>
      <c r="AI223" s="13">
        <v>34</v>
      </c>
      <c r="AJ223" s="13">
        <v>35</v>
      </c>
      <c r="AK223" s="13">
        <v>36</v>
      </c>
      <c r="AL223" s="13">
        <v>37</v>
      </c>
      <c r="AM223" s="13">
        <v>38</v>
      </c>
      <c r="AN223" s="13">
        <v>39</v>
      </c>
      <c r="AO223" s="13">
        <v>40</v>
      </c>
      <c r="AP223" s="13">
        <v>41</v>
      </c>
      <c r="AQ223" s="13">
        <v>42</v>
      </c>
      <c r="AR223" s="13">
        <v>43</v>
      </c>
      <c r="AS223" s="13">
        <v>44</v>
      </c>
      <c r="AT223" s="13">
        <v>45</v>
      </c>
      <c r="AU223" s="13">
        <v>46</v>
      </c>
      <c r="AV223" s="13">
        <v>47</v>
      </c>
      <c r="AW223" s="13">
        <v>48</v>
      </c>
      <c r="AX223" s="13">
        <v>49</v>
      </c>
      <c r="AY223" s="13">
        <v>50</v>
      </c>
      <c r="AZ223" s="13">
        <v>51</v>
      </c>
      <c r="BA223" s="13">
        <v>52</v>
      </c>
      <c r="BB223" s="13">
        <v>53</v>
      </c>
      <c r="BC223" s="13">
        <v>54</v>
      </c>
      <c r="BD223" s="13">
        <v>55</v>
      </c>
      <c r="BE223" s="13">
        <v>56</v>
      </c>
      <c r="BF223" s="13">
        <v>57</v>
      </c>
      <c r="BG223" s="13">
        <v>58</v>
      </c>
      <c r="BH223" s="13">
        <v>59</v>
      </c>
      <c r="BI223" s="13">
        <v>60</v>
      </c>
    </row>
    <row r="224" spans="1:63" x14ac:dyDescent="0.25">
      <c r="A224" s="13" t="s">
        <v>0</v>
      </c>
      <c r="B224" s="37">
        <f>'הזנת נתונים'!A66</f>
        <v>28</v>
      </c>
      <c r="C224" s="37">
        <f>'הזנת נתונים'!B66</f>
        <v>35</v>
      </c>
      <c r="D224" s="37">
        <f>'הזנת נתונים'!C66</f>
        <v>40</v>
      </c>
      <c r="E224" s="37">
        <f>'הזנת נתונים'!D66</f>
        <v>55</v>
      </c>
      <c r="F224" s="37">
        <f>'הזנת נתונים'!E66</f>
        <v>70</v>
      </c>
      <c r="G224" s="37">
        <f>'הזנת נתונים'!F66</f>
        <v>75</v>
      </c>
      <c r="H224" s="37">
        <f>'הזנת נתונים'!G66</f>
        <v>87.6666666666667</v>
      </c>
      <c r="I224" s="37">
        <f>'הזנת נתונים'!H66</f>
        <v>98.6666666666667</v>
      </c>
      <c r="J224" s="37">
        <f>'הזנת נתונים'!I66</f>
        <v>109.666666666667</v>
      </c>
      <c r="K224" s="37">
        <f>'הזנת נתונים'!J66</f>
        <v>120.666666666667</v>
      </c>
      <c r="L224" s="37">
        <f>'הזנת נתונים'!K66</f>
        <v>131.666666666667</v>
      </c>
      <c r="M224" s="37">
        <f>'הזנת נתונים'!L66</f>
        <v>142.666666666667</v>
      </c>
      <c r="N224" s="37">
        <f>'הזנת נתונים'!M66</f>
        <v>153.666666666667</v>
      </c>
      <c r="O224" s="37">
        <f>'הזנת נתונים'!N66</f>
        <v>164.666666666667</v>
      </c>
      <c r="P224" s="37">
        <f>'הזנת נתונים'!O66</f>
        <v>175.666666666667</v>
      </c>
      <c r="Q224" s="37">
        <f>'הזנת נתונים'!P66</f>
        <v>186.666666666667</v>
      </c>
      <c r="R224" s="37">
        <f>'הזנת נתונים'!Q66</f>
        <v>197.666666666667</v>
      </c>
      <c r="S224" s="37">
        <f>'הזנת נתונים'!R66</f>
        <v>208.666666666667</v>
      </c>
      <c r="T224" s="37">
        <f>'הזנת נתונים'!S66</f>
        <v>219.666666666667</v>
      </c>
      <c r="U224" s="37">
        <f>'הזנת נתונים'!T66</f>
        <v>230.666666666667</v>
      </c>
      <c r="V224" s="37">
        <f>'הזנת נתונים'!U66</f>
        <v>241.666666666667</v>
      </c>
      <c r="W224" s="37">
        <f>'הזנת נתונים'!V66</f>
        <v>252.666666666667</v>
      </c>
      <c r="X224" s="37">
        <f>'הזנת נתונים'!W66</f>
        <v>263.66666666666703</v>
      </c>
      <c r="Y224" s="37">
        <f>'הזנת נתונים'!X66</f>
        <v>274.66666666666703</v>
      </c>
      <c r="Z224" s="37">
        <f>'הזנת נתונים'!Y66</f>
        <v>285.66666666666799</v>
      </c>
      <c r="AA224" s="37">
        <f>'הזנת נתונים'!Z66</f>
        <v>296.66666666666799</v>
      </c>
      <c r="AB224" s="37">
        <f>'הזנת נתונים'!AA66</f>
        <v>307.66666666666799</v>
      </c>
      <c r="AC224" s="37">
        <f>'הזנת נתונים'!AB66</f>
        <v>318.66666666666799</v>
      </c>
      <c r="AD224" s="37">
        <f>'הזנת נתונים'!AC66</f>
        <v>329.66666666666799</v>
      </c>
      <c r="AE224" s="37">
        <f>'הזנת נתונים'!AD66</f>
        <v>340.66666666666799</v>
      </c>
      <c r="AF224" s="37">
        <f>'הזנת נתונים'!AE66</f>
        <v>351.66666666666799</v>
      </c>
      <c r="AG224" s="37">
        <f>'הזנת נתונים'!AF66</f>
        <v>362.66666666666799</v>
      </c>
      <c r="AH224" s="37">
        <f>'הזנת נתונים'!AG66</f>
        <v>373.66666666666799</v>
      </c>
      <c r="AI224" s="37">
        <f>'הזנת נתונים'!AH66</f>
        <v>384.66666666666799</v>
      </c>
      <c r="AJ224" s="37">
        <f>'הזנת נתונים'!AI66</f>
        <v>395.66666666666799</v>
      </c>
      <c r="AK224" s="37">
        <f>'הזנת נתונים'!AJ66</f>
        <v>406.66666666666799</v>
      </c>
      <c r="AL224" s="37">
        <f>'הזנת נתונים'!AK66</f>
        <v>417.66666666666799</v>
      </c>
      <c r="AM224" s="37">
        <f>'הזנת נתונים'!AL66</f>
        <v>428.66666666666902</v>
      </c>
      <c r="AN224" s="37">
        <f>'הזנת נתונים'!AM66</f>
        <v>439.66666666666902</v>
      </c>
      <c r="AO224" s="37">
        <f>'הזנת נתונים'!AN66</f>
        <v>450.66666666666902</v>
      </c>
      <c r="AP224" s="37">
        <f>'הזנת נתונים'!AO66</f>
        <v>461.66666666666902</v>
      </c>
      <c r="AQ224" s="37">
        <f>'הזנת נתונים'!AP66</f>
        <v>472.66666666666902</v>
      </c>
      <c r="AR224" s="37">
        <f>'הזנת נתונים'!AQ66</f>
        <v>483.66666666666902</v>
      </c>
      <c r="AS224" s="37">
        <f>'הזנת נתונים'!AR66</f>
        <v>494.66666666666902</v>
      </c>
      <c r="AT224" s="37">
        <f>'הזנת נתונים'!AS66</f>
        <v>505.66666666666799</v>
      </c>
      <c r="AU224" s="37">
        <f>'הזנת נתונים'!AT66</f>
        <v>516.66666666666902</v>
      </c>
      <c r="AV224" s="37">
        <f>'הזנת נתונים'!AU66</f>
        <v>527.66666666666902</v>
      </c>
      <c r="AW224" s="37">
        <f>'הזנת נתונים'!AV66</f>
        <v>538.66666666666902</v>
      </c>
      <c r="AX224" s="37">
        <f>'הזנת נתונים'!AW66</f>
        <v>549.66666666666902</v>
      </c>
      <c r="AY224" s="37">
        <f>'הזנת נתונים'!AX66</f>
        <v>560.66666666666902</v>
      </c>
      <c r="AZ224" s="37">
        <f>'הזנת נתונים'!AY66</f>
        <v>571.66666666666902</v>
      </c>
      <c r="BA224" s="37">
        <f>'הזנת נתונים'!AZ66</f>
        <v>582.66666666666902</v>
      </c>
      <c r="BB224" s="37">
        <f>'הזנת נתונים'!BA66</f>
        <v>593.66666666666902</v>
      </c>
      <c r="BC224" s="37">
        <f>'הזנת נתונים'!BB66</f>
        <v>604.66666666666902</v>
      </c>
      <c r="BD224" s="37">
        <f>'הזנת נתונים'!BC66</f>
        <v>615.66666666666902</v>
      </c>
      <c r="BE224" s="37">
        <f>'הזנת נתונים'!BD66</f>
        <v>626.66666666666902</v>
      </c>
      <c r="BF224" s="37">
        <f>'הזנת נתונים'!BE66</f>
        <v>637.66666666666902</v>
      </c>
      <c r="BG224" s="37">
        <f>'הזנת נתונים'!BF66</f>
        <v>648.66666666666902</v>
      </c>
      <c r="BH224" s="37">
        <f>'הזנת נתונים'!BG66</f>
        <v>659.66666666666902</v>
      </c>
      <c r="BI224" s="37">
        <f>'הזנת נתונים'!BH66</f>
        <v>670.66666666666902</v>
      </c>
    </row>
    <row r="225" spans="1:63" x14ac:dyDescent="0.25">
      <c r="A225" s="13" t="s">
        <v>2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>
        <f t="shared" ref="R225:BI225" si="258">AVERAGE(B224:R224)</f>
        <v>110.13725490196096</v>
      </c>
      <c r="S225">
        <f t="shared" si="258"/>
        <v>120.76470588235313</v>
      </c>
      <c r="T225">
        <f t="shared" si="258"/>
        <v>131.62745098039235</v>
      </c>
      <c r="U225">
        <f t="shared" si="258"/>
        <v>142.84313725490219</v>
      </c>
      <c r="V225">
        <f t="shared" si="258"/>
        <v>153.82352941176495</v>
      </c>
      <c r="W225">
        <f t="shared" si="258"/>
        <v>164.56862745098064</v>
      </c>
      <c r="X225">
        <f t="shared" si="258"/>
        <v>175.66666666666694</v>
      </c>
      <c r="Y225">
        <f t="shared" si="258"/>
        <v>186.66666666666697</v>
      </c>
      <c r="Z225">
        <f t="shared" si="258"/>
        <v>197.66666666666706</v>
      </c>
      <c r="AA225">
        <f t="shared" si="258"/>
        <v>208.66666666666711</v>
      </c>
      <c r="AB225">
        <f t="shared" si="258"/>
        <v>219.66666666666717</v>
      </c>
      <c r="AC225">
        <f t="shared" si="258"/>
        <v>230.6666666666672</v>
      </c>
      <c r="AD225">
        <f t="shared" si="258"/>
        <v>241.66666666666728</v>
      </c>
      <c r="AE225">
        <f t="shared" si="258"/>
        <v>252.66666666666734</v>
      </c>
      <c r="AF225">
        <f t="shared" si="258"/>
        <v>263.66666666666742</v>
      </c>
      <c r="AG225">
        <f t="shared" si="258"/>
        <v>274.66666666666742</v>
      </c>
      <c r="AH225">
        <f t="shared" si="258"/>
        <v>285.66666666666748</v>
      </c>
      <c r="AI225">
        <f t="shared" si="258"/>
        <v>296.66666666666754</v>
      </c>
      <c r="AJ225">
        <f t="shared" si="258"/>
        <v>307.6666666666676</v>
      </c>
      <c r="AK225">
        <f t="shared" si="258"/>
        <v>318.66666666666765</v>
      </c>
      <c r="AL225">
        <f t="shared" si="258"/>
        <v>329.66666666666771</v>
      </c>
      <c r="AM225">
        <f t="shared" si="258"/>
        <v>340.66666666666782</v>
      </c>
      <c r="AN225">
        <f t="shared" si="258"/>
        <v>351.66666666666794</v>
      </c>
      <c r="AO225">
        <f t="shared" si="258"/>
        <v>362.66666666666805</v>
      </c>
      <c r="AP225">
        <f t="shared" si="258"/>
        <v>373.66666666666816</v>
      </c>
      <c r="AQ225">
        <f t="shared" si="258"/>
        <v>384.66666666666822</v>
      </c>
      <c r="AR225">
        <f t="shared" si="258"/>
        <v>395.66666666666828</v>
      </c>
      <c r="AS225">
        <f t="shared" si="258"/>
        <v>406.66666666666833</v>
      </c>
      <c r="AT225">
        <f t="shared" si="258"/>
        <v>417.66666666666833</v>
      </c>
      <c r="AU225">
        <f t="shared" si="258"/>
        <v>428.66666666666833</v>
      </c>
      <c r="AV225">
        <f t="shared" si="258"/>
        <v>439.66666666666839</v>
      </c>
      <c r="AW225">
        <f t="shared" si="258"/>
        <v>450.66666666666845</v>
      </c>
      <c r="AX225">
        <f t="shared" si="258"/>
        <v>461.6666666666685</v>
      </c>
      <c r="AY225">
        <f t="shared" si="258"/>
        <v>472.66666666666856</v>
      </c>
      <c r="AZ225">
        <f t="shared" si="258"/>
        <v>483.66666666666862</v>
      </c>
      <c r="BA225">
        <f t="shared" si="258"/>
        <v>494.66666666666873</v>
      </c>
      <c r="BB225">
        <f t="shared" si="258"/>
        <v>505.66666666666873</v>
      </c>
      <c r="BC225">
        <f t="shared" si="258"/>
        <v>516.66666666666879</v>
      </c>
      <c r="BD225">
        <f t="shared" si="258"/>
        <v>527.66666666666879</v>
      </c>
      <c r="BE225">
        <f t="shared" si="258"/>
        <v>538.66666666666879</v>
      </c>
      <c r="BF225">
        <f t="shared" si="258"/>
        <v>549.66666666666879</v>
      </c>
      <c r="BG225">
        <f t="shared" si="258"/>
        <v>560.6666666666689</v>
      </c>
      <c r="BH225">
        <f t="shared" si="258"/>
        <v>571.6666666666689</v>
      </c>
      <c r="BI225">
        <f t="shared" si="258"/>
        <v>582.6666666666689</v>
      </c>
    </row>
    <row r="226" spans="1:63" x14ac:dyDescent="0.25">
      <c r="A226" s="13" t="s">
        <v>9</v>
      </c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>
        <f t="shared" ref="S226:BI226" si="259">R225</f>
        <v>110.13725490196096</v>
      </c>
      <c r="T226" s="7">
        <f t="shared" si="259"/>
        <v>120.76470588235313</v>
      </c>
      <c r="U226" s="7">
        <f t="shared" si="259"/>
        <v>131.62745098039235</v>
      </c>
      <c r="V226" s="7">
        <f t="shared" si="259"/>
        <v>142.84313725490219</v>
      </c>
      <c r="W226" s="7">
        <f t="shared" si="259"/>
        <v>153.82352941176495</v>
      </c>
      <c r="X226" s="7">
        <f t="shared" si="259"/>
        <v>164.56862745098064</v>
      </c>
      <c r="Y226" s="7">
        <f t="shared" si="259"/>
        <v>175.66666666666694</v>
      </c>
      <c r="Z226" s="7">
        <f t="shared" si="259"/>
        <v>186.66666666666697</v>
      </c>
      <c r="AA226" s="7">
        <f t="shared" si="259"/>
        <v>197.66666666666706</v>
      </c>
      <c r="AB226" s="7">
        <f t="shared" si="259"/>
        <v>208.66666666666711</v>
      </c>
      <c r="AC226" s="7">
        <f t="shared" si="259"/>
        <v>219.66666666666717</v>
      </c>
      <c r="AD226" s="7">
        <f t="shared" si="259"/>
        <v>230.6666666666672</v>
      </c>
      <c r="AE226" s="7">
        <f t="shared" si="259"/>
        <v>241.66666666666728</v>
      </c>
      <c r="AF226" s="7">
        <f t="shared" si="259"/>
        <v>252.66666666666734</v>
      </c>
      <c r="AG226" s="7">
        <f t="shared" si="259"/>
        <v>263.66666666666742</v>
      </c>
      <c r="AH226" s="7">
        <f t="shared" si="259"/>
        <v>274.66666666666742</v>
      </c>
      <c r="AI226" s="7">
        <f t="shared" si="259"/>
        <v>285.66666666666748</v>
      </c>
      <c r="AJ226" s="7">
        <f t="shared" si="259"/>
        <v>296.66666666666754</v>
      </c>
      <c r="AK226" s="7">
        <f t="shared" si="259"/>
        <v>307.6666666666676</v>
      </c>
      <c r="AL226" s="7">
        <f t="shared" si="259"/>
        <v>318.66666666666765</v>
      </c>
      <c r="AM226" s="7">
        <f t="shared" si="259"/>
        <v>329.66666666666771</v>
      </c>
      <c r="AN226" s="7">
        <f t="shared" si="259"/>
        <v>340.66666666666782</v>
      </c>
      <c r="AO226" s="7">
        <f t="shared" si="259"/>
        <v>351.66666666666794</v>
      </c>
      <c r="AP226" s="7">
        <f t="shared" si="259"/>
        <v>362.66666666666805</v>
      </c>
      <c r="AQ226" s="7">
        <f t="shared" si="259"/>
        <v>373.66666666666816</v>
      </c>
      <c r="AR226" s="7">
        <f t="shared" si="259"/>
        <v>384.66666666666822</v>
      </c>
      <c r="AS226" s="7">
        <f t="shared" si="259"/>
        <v>395.66666666666828</v>
      </c>
      <c r="AT226" s="7">
        <f t="shared" si="259"/>
        <v>406.66666666666833</v>
      </c>
      <c r="AU226" s="7">
        <f t="shared" si="259"/>
        <v>417.66666666666833</v>
      </c>
      <c r="AV226" s="7">
        <f t="shared" si="259"/>
        <v>428.66666666666833</v>
      </c>
      <c r="AW226" s="7">
        <f t="shared" si="259"/>
        <v>439.66666666666839</v>
      </c>
      <c r="AX226" s="7">
        <f t="shared" si="259"/>
        <v>450.66666666666845</v>
      </c>
      <c r="AY226" s="7">
        <f t="shared" si="259"/>
        <v>461.6666666666685</v>
      </c>
      <c r="AZ226" s="7">
        <f t="shared" si="259"/>
        <v>472.66666666666856</v>
      </c>
      <c r="BA226" s="7">
        <f t="shared" si="259"/>
        <v>483.66666666666862</v>
      </c>
      <c r="BB226" s="7">
        <f t="shared" si="259"/>
        <v>494.66666666666873</v>
      </c>
      <c r="BC226" s="7">
        <f t="shared" si="259"/>
        <v>505.66666666666873</v>
      </c>
      <c r="BD226" s="7">
        <f t="shared" si="259"/>
        <v>516.66666666666879</v>
      </c>
      <c r="BE226" s="7">
        <f t="shared" si="259"/>
        <v>527.66666666666879</v>
      </c>
      <c r="BF226" s="7">
        <f t="shared" si="259"/>
        <v>538.66666666666879</v>
      </c>
      <c r="BG226" s="7">
        <f t="shared" si="259"/>
        <v>549.66666666666879</v>
      </c>
      <c r="BH226" s="7">
        <f t="shared" si="259"/>
        <v>560.6666666666689</v>
      </c>
      <c r="BI226" s="7">
        <f t="shared" si="259"/>
        <v>571.6666666666689</v>
      </c>
    </row>
    <row r="227" spans="1:63" x14ac:dyDescent="0.25">
      <c r="A227" s="13" t="s">
        <v>4</v>
      </c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>
        <f t="shared" ref="S227" si="260">S226-S224</f>
        <v>-98.52941176470604</v>
      </c>
      <c r="T227" s="7">
        <f t="shared" ref="T227" si="261">T226-T224</f>
        <v>-98.901960784313871</v>
      </c>
      <c r="U227" s="7">
        <f t="shared" ref="U227" si="262">U226-U224</f>
        <v>-99.039215686274645</v>
      </c>
      <c r="V227" s="7">
        <f t="shared" ref="V227" si="263">V226-V224</f>
        <v>-98.82352941176481</v>
      </c>
      <c r="W227" s="7">
        <f t="shared" ref="W227" si="264">W226-W224</f>
        <v>-98.843137254902047</v>
      </c>
      <c r="X227" s="7">
        <f t="shared" ref="X227" si="265">X226-X224</f>
        <v>-99.098039215686384</v>
      </c>
      <c r="Y227" s="7">
        <f t="shared" ref="Y227" si="266">Y226-Y224</f>
        <v>-99.000000000000085</v>
      </c>
      <c r="Z227" s="7">
        <f t="shared" ref="Z227" si="267">Z226-Z224</f>
        <v>-99.000000000001023</v>
      </c>
      <c r="AA227" s="7">
        <f t="shared" ref="AA227" si="268">AA226-AA224</f>
        <v>-99.000000000000938</v>
      </c>
      <c r="AB227" s="7">
        <f t="shared" ref="AB227" si="269">AB226-AB224</f>
        <v>-99.000000000000881</v>
      </c>
      <c r="AC227" s="7">
        <f t="shared" ref="AC227" si="270">AC226-AC224</f>
        <v>-99.000000000000824</v>
      </c>
      <c r="AD227" s="7">
        <f t="shared" ref="AD227" si="271">AD226-AD224</f>
        <v>-99.000000000000796</v>
      </c>
      <c r="AE227" s="7">
        <f t="shared" ref="AE227" si="272">AE226-AE224</f>
        <v>-99.000000000000711</v>
      </c>
      <c r="AF227" s="7">
        <f t="shared" ref="AF227" si="273">AF226-AF224</f>
        <v>-99.000000000000654</v>
      </c>
      <c r="AG227" s="7">
        <f t="shared" ref="AG227" si="274">AG226-AG224</f>
        <v>-99.000000000000568</v>
      </c>
      <c r="AH227" s="7">
        <f t="shared" ref="AH227" si="275">AH226-AH224</f>
        <v>-99.000000000000568</v>
      </c>
      <c r="AI227" s="7">
        <f t="shared" ref="AI227" si="276">AI226-AI224</f>
        <v>-99.000000000000512</v>
      </c>
      <c r="AJ227" s="7">
        <f t="shared" ref="AJ227" si="277">AJ226-AJ224</f>
        <v>-99.000000000000455</v>
      </c>
      <c r="AK227" s="7">
        <f t="shared" ref="AK227" si="278">AK226-AK224</f>
        <v>-99.000000000000398</v>
      </c>
      <c r="AL227" s="7">
        <f t="shared" ref="AL227" si="279">AL226-AL224</f>
        <v>-99.000000000000341</v>
      </c>
      <c r="AM227" s="7">
        <f t="shared" ref="AM227" si="280">AM226-AM224</f>
        <v>-99.000000000001307</v>
      </c>
      <c r="AN227" s="7">
        <f t="shared" ref="AN227" si="281">AN226-AN224</f>
        <v>-99.000000000001194</v>
      </c>
      <c r="AO227" s="7">
        <f t="shared" ref="AO227" si="282">AO226-AO224</f>
        <v>-99.00000000000108</v>
      </c>
      <c r="AP227" s="7">
        <f t="shared" ref="AP227" si="283">AP226-AP224</f>
        <v>-99.000000000000966</v>
      </c>
      <c r="AQ227" s="7">
        <f t="shared" ref="AQ227" si="284">AQ226-AQ224</f>
        <v>-99.000000000000853</v>
      </c>
      <c r="AR227" s="7">
        <f t="shared" ref="AR227" si="285">AR226-AR224</f>
        <v>-99.000000000000796</v>
      </c>
      <c r="AS227" s="7">
        <f t="shared" ref="AS227" si="286">AS226-AS224</f>
        <v>-99.000000000000739</v>
      </c>
      <c r="AT227" s="7">
        <f t="shared" ref="AT227" si="287">AT226-AT224</f>
        <v>-98.999999999999659</v>
      </c>
      <c r="AU227" s="7">
        <f t="shared" ref="AU227" si="288">AU226-AU224</f>
        <v>-99.000000000000682</v>
      </c>
      <c r="AV227" s="7">
        <f t="shared" ref="AV227" si="289">AV226-AV224</f>
        <v>-99.000000000000682</v>
      </c>
      <c r="AW227" s="7">
        <f t="shared" ref="AW227" si="290">AW226-AW224</f>
        <v>-99.000000000000625</v>
      </c>
      <c r="AX227" s="7">
        <f t="shared" ref="AX227" si="291">AX226-AX224</f>
        <v>-99.000000000000568</v>
      </c>
      <c r="AY227" s="7">
        <f t="shared" ref="AY227" si="292">AY226-AY224</f>
        <v>-99.000000000000512</v>
      </c>
      <c r="AZ227" s="7">
        <f t="shared" ref="AZ227" si="293">AZ226-AZ224</f>
        <v>-99.000000000000455</v>
      </c>
      <c r="BA227" s="7">
        <f t="shared" ref="BA227" si="294">BA226-BA224</f>
        <v>-99.000000000000398</v>
      </c>
      <c r="BB227" s="7">
        <f t="shared" ref="BB227" si="295">BB226-BB224</f>
        <v>-99.000000000000284</v>
      </c>
      <c r="BC227" s="7">
        <f t="shared" ref="BC227" si="296">BC226-BC224</f>
        <v>-99.000000000000284</v>
      </c>
      <c r="BD227" s="7">
        <f t="shared" ref="BD227" si="297">BD226-BD224</f>
        <v>-99.000000000000227</v>
      </c>
      <c r="BE227" s="7">
        <f t="shared" ref="BE227" si="298">BE226-BE224</f>
        <v>-99.000000000000227</v>
      </c>
      <c r="BF227" s="7">
        <f t="shared" ref="BF227" si="299">BF226-BF224</f>
        <v>-99.000000000000227</v>
      </c>
      <c r="BG227" s="7">
        <f t="shared" ref="BG227" si="300">BG226-BG224</f>
        <v>-99.000000000000227</v>
      </c>
      <c r="BH227" s="7">
        <f t="shared" ref="BH227" si="301">BH226-BH224</f>
        <v>-99.000000000000114</v>
      </c>
      <c r="BI227" s="7">
        <f t="shared" ref="BI227" si="302">BI226-BI224</f>
        <v>-99.000000000000114</v>
      </c>
    </row>
    <row r="228" spans="1:63" x14ac:dyDescent="0.25">
      <c r="A228" s="13" t="s">
        <v>12</v>
      </c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>
        <f t="shared" ref="S228" si="303">S227^2</f>
        <v>9708.0449826989934</v>
      </c>
      <c r="T228" s="7">
        <f t="shared" ref="T228" si="304">T227^2</f>
        <v>9781.5978469819584</v>
      </c>
      <c r="U228" s="7">
        <f t="shared" ref="U228" si="305">U227^2</f>
        <v>9808.7662437524305</v>
      </c>
      <c r="V228" s="7">
        <f t="shared" ref="V228" si="306">V227^2</f>
        <v>9766.089965397945</v>
      </c>
      <c r="W228" s="7">
        <f t="shared" ref="W228" si="307">W227^2</f>
        <v>9769.965782391404</v>
      </c>
      <c r="X228" s="7">
        <f t="shared" ref="X228" si="308">X227^2</f>
        <v>9820.4213763937169</v>
      </c>
      <c r="Y228" s="7">
        <f t="shared" ref="Y228" si="309">Y227^2</f>
        <v>9801.0000000000164</v>
      </c>
      <c r="Z228" s="7">
        <f t="shared" ref="Z228" si="310">Z227^2</f>
        <v>9801.0000000002019</v>
      </c>
      <c r="AA228" s="7">
        <f t="shared" ref="AA228" si="311">AA227^2</f>
        <v>9801.0000000001855</v>
      </c>
      <c r="AB228" s="7">
        <f t="shared" ref="AB228" si="312">AB227^2</f>
        <v>9801.0000000001746</v>
      </c>
      <c r="AC228" s="7">
        <f t="shared" ref="AC228" si="313">AC227^2</f>
        <v>9801.0000000001637</v>
      </c>
      <c r="AD228" s="7">
        <f t="shared" ref="AD228" si="314">AD227^2</f>
        <v>9801.0000000001583</v>
      </c>
      <c r="AE228" s="7">
        <f t="shared" ref="AE228" si="315">AE227^2</f>
        <v>9801.0000000001401</v>
      </c>
      <c r="AF228" s="7">
        <f t="shared" ref="AF228" si="316">AF227^2</f>
        <v>9801.0000000001291</v>
      </c>
      <c r="AG228" s="7">
        <f t="shared" ref="AG228" si="317">AG227^2</f>
        <v>9801.0000000001128</v>
      </c>
      <c r="AH228" s="7">
        <f t="shared" ref="AH228" si="318">AH227^2</f>
        <v>9801.0000000001128</v>
      </c>
      <c r="AI228" s="7">
        <f t="shared" ref="AI228" si="319">AI227^2</f>
        <v>9801.0000000001019</v>
      </c>
      <c r="AJ228" s="7">
        <f t="shared" ref="AJ228" si="320">AJ227^2</f>
        <v>9801.0000000000909</v>
      </c>
      <c r="AK228" s="7">
        <f t="shared" ref="AK228" si="321">AK227^2</f>
        <v>9801.0000000000782</v>
      </c>
      <c r="AL228" s="7">
        <f t="shared" ref="AL228" si="322">AL227^2</f>
        <v>9801.0000000000673</v>
      </c>
      <c r="AM228" s="7">
        <f t="shared" ref="AM228" si="323">AM227^2</f>
        <v>9801.0000000002583</v>
      </c>
      <c r="AN228" s="7">
        <f t="shared" ref="AN228" si="324">AN227^2</f>
        <v>9801.0000000002365</v>
      </c>
      <c r="AO228" s="7">
        <f t="shared" ref="AO228" si="325">AO227^2</f>
        <v>9801.0000000002146</v>
      </c>
      <c r="AP228" s="7">
        <f t="shared" ref="AP228" si="326">AP227^2</f>
        <v>9801.000000000191</v>
      </c>
      <c r="AQ228" s="7">
        <f t="shared" ref="AQ228" si="327">AQ227^2</f>
        <v>9801.0000000001692</v>
      </c>
      <c r="AR228" s="7">
        <f t="shared" ref="AR228" si="328">AR227^2</f>
        <v>9801.0000000001583</v>
      </c>
      <c r="AS228" s="7">
        <f t="shared" ref="AS228" si="329">AS227^2</f>
        <v>9801.0000000001455</v>
      </c>
      <c r="AT228" s="7">
        <f t="shared" ref="AT228" si="330">AT227^2</f>
        <v>9800.9999999999327</v>
      </c>
      <c r="AU228" s="7">
        <f t="shared" ref="AU228" si="331">AU227^2</f>
        <v>9801.0000000001346</v>
      </c>
      <c r="AV228" s="7">
        <f t="shared" ref="AV228" si="332">AV227^2</f>
        <v>9801.0000000001346</v>
      </c>
      <c r="AW228" s="7">
        <f t="shared" ref="AW228" si="333">AW227^2</f>
        <v>9801.0000000001237</v>
      </c>
      <c r="AX228" s="7">
        <f t="shared" ref="AX228" si="334">AX227^2</f>
        <v>9801.0000000001128</v>
      </c>
      <c r="AY228" s="7">
        <f t="shared" ref="AY228" si="335">AY227^2</f>
        <v>9801.0000000001019</v>
      </c>
      <c r="AZ228" s="7">
        <f t="shared" ref="AZ228" si="336">AZ227^2</f>
        <v>9801.0000000000909</v>
      </c>
      <c r="BA228" s="7">
        <f t="shared" ref="BA228" si="337">BA227^2</f>
        <v>9801.0000000000782</v>
      </c>
      <c r="BB228" s="7">
        <f t="shared" ref="BB228" si="338">BB227^2</f>
        <v>9801.0000000000564</v>
      </c>
      <c r="BC228" s="7">
        <f t="shared" ref="BC228" si="339">BC227^2</f>
        <v>9801.0000000000564</v>
      </c>
      <c r="BD228" s="7">
        <f t="shared" ref="BD228" si="340">BD227^2</f>
        <v>9801.0000000000455</v>
      </c>
      <c r="BE228" s="7">
        <f t="shared" ref="BE228" si="341">BE227^2</f>
        <v>9801.0000000000455</v>
      </c>
      <c r="BF228" s="7">
        <f t="shared" ref="BF228" si="342">BF227^2</f>
        <v>9801.0000000000455</v>
      </c>
      <c r="BG228" s="7">
        <f t="shared" ref="BG228" si="343">BG227^2</f>
        <v>9801.0000000000455</v>
      </c>
      <c r="BH228" s="7">
        <f t="shared" ref="BH228" si="344">BH227^2</f>
        <v>9801.0000000000218</v>
      </c>
      <c r="BI228" s="7">
        <f t="shared" ref="BI228" si="345">BI227^2</f>
        <v>9801.0000000000218</v>
      </c>
    </row>
    <row r="229" spans="1:63" x14ac:dyDescent="0.25">
      <c r="A229" s="38" t="s">
        <v>11</v>
      </c>
      <c r="B229" s="38">
        <v>17</v>
      </c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3" x14ac:dyDescent="0.25">
      <c r="A230" s="8" t="s">
        <v>5</v>
      </c>
      <c r="B230" s="8">
        <f>AVERAGE(G228:BI228)</f>
        <v>9797.4857255260613</v>
      </c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3" x14ac:dyDescent="0.25">
      <c r="A231" s="7" t="s">
        <v>7</v>
      </c>
      <c r="B231" s="7">
        <f>SUM(AS224:BI224)/B229</f>
        <v>582.6666666666689</v>
      </c>
    </row>
    <row r="232" spans="1:63" x14ac:dyDescent="0.25">
      <c r="A232" s="31" t="s">
        <v>6</v>
      </c>
      <c r="B232" s="7" t="s">
        <v>62</v>
      </c>
      <c r="C232" s="7">
        <v>61</v>
      </c>
      <c r="D232" s="7">
        <v>62</v>
      </c>
      <c r="E232" s="7">
        <v>63</v>
      </c>
      <c r="F232" s="7">
        <v>64</v>
      </c>
      <c r="G232" s="7">
        <v>65</v>
      </c>
      <c r="H232" s="7">
        <v>66</v>
      </c>
      <c r="I232" s="7">
        <v>67</v>
      </c>
      <c r="J232" s="7">
        <v>68</v>
      </c>
      <c r="K232" s="7">
        <v>69</v>
      </c>
      <c r="L232" s="7">
        <v>70</v>
      </c>
      <c r="M232" s="7">
        <v>71</v>
      </c>
      <c r="N232" s="7">
        <v>72</v>
      </c>
    </row>
    <row r="233" spans="1:63" x14ac:dyDescent="0.25">
      <c r="C233" s="7">
        <f>$B$231</f>
        <v>582.6666666666689</v>
      </c>
      <c r="D233" s="7">
        <f t="shared" ref="D233:N233" si="346">$B$231</f>
        <v>582.6666666666689</v>
      </c>
      <c r="E233" s="7">
        <f t="shared" si="346"/>
        <v>582.6666666666689</v>
      </c>
      <c r="F233" s="7">
        <f t="shared" si="346"/>
        <v>582.6666666666689</v>
      </c>
      <c r="G233" s="7">
        <f t="shared" si="346"/>
        <v>582.6666666666689</v>
      </c>
      <c r="H233" s="7">
        <f t="shared" si="346"/>
        <v>582.6666666666689</v>
      </c>
      <c r="I233" s="7">
        <f t="shared" si="346"/>
        <v>582.6666666666689</v>
      </c>
      <c r="J233" s="7">
        <f t="shared" si="346"/>
        <v>582.6666666666689</v>
      </c>
      <c r="K233" s="7">
        <f t="shared" si="346"/>
        <v>582.6666666666689</v>
      </c>
      <c r="L233" s="7">
        <f t="shared" si="346"/>
        <v>582.6666666666689</v>
      </c>
      <c r="M233" s="7">
        <f t="shared" si="346"/>
        <v>582.6666666666689</v>
      </c>
      <c r="N233" s="7">
        <f t="shared" si="346"/>
        <v>582.6666666666689</v>
      </c>
    </row>
    <row r="236" spans="1:63" x14ac:dyDescent="0.25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</row>
    <row r="238" spans="1:63" x14ac:dyDescent="0.25">
      <c r="A238" s="13" t="s">
        <v>1</v>
      </c>
      <c r="B238" s="13">
        <v>1</v>
      </c>
      <c r="C238" s="13">
        <v>2</v>
      </c>
      <c r="D238" s="13">
        <v>3</v>
      </c>
      <c r="E238" s="13">
        <v>4</v>
      </c>
      <c r="F238" s="13">
        <v>5</v>
      </c>
      <c r="G238" s="13">
        <v>6</v>
      </c>
      <c r="H238" s="13">
        <v>7</v>
      </c>
      <c r="I238" s="13">
        <v>8</v>
      </c>
      <c r="J238" s="13">
        <v>9</v>
      </c>
      <c r="K238" s="13">
        <v>10</v>
      </c>
      <c r="L238" s="13">
        <v>11</v>
      </c>
      <c r="M238" s="13">
        <v>12</v>
      </c>
      <c r="N238" s="13">
        <v>13</v>
      </c>
      <c r="O238" s="13">
        <v>14</v>
      </c>
      <c r="P238" s="13">
        <v>15</v>
      </c>
      <c r="Q238" s="13">
        <v>16</v>
      </c>
      <c r="R238" s="13">
        <v>17</v>
      </c>
      <c r="S238" s="13">
        <v>18</v>
      </c>
      <c r="T238" s="13">
        <v>19</v>
      </c>
      <c r="U238" s="13">
        <v>20</v>
      </c>
      <c r="V238" s="13">
        <v>21</v>
      </c>
      <c r="W238" s="13">
        <v>22</v>
      </c>
      <c r="X238" s="13">
        <v>23</v>
      </c>
      <c r="Y238" s="13">
        <v>24</v>
      </c>
      <c r="Z238" s="13">
        <v>25</v>
      </c>
      <c r="AA238" s="13">
        <v>26</v>
      </c>
      <c r="AB238" s="13">
        <v>27</v>
      </c>
      <c r="AC238" s="13">
        <v>28</v>
      </c>
      <c r="AD238" s="13">
        <v>29</v>
      </c>
      <c r="AE238" s="13">
        <v>30</v>
      </c>
      <c r="AF238" s="13">
        <v>31</v>
      </c>
      <c r="AG238" s="13">
        <v>32</v>
      </c>
      <c r="AH238" s="13">
        <v>33</v>
      </c>
      <c r="AI238" s="13">
        <v>34</v>
      </c>
      <c r="AJ238" s="13">
        <v>35</v>
      </c>
      <c r="AK238" s="13">
        <v>36</v>
      </c>
      <c r="AL238" s="13">
        <v>37</v>
      </c>
      <c r="AM238" s="13">
        <v>38</v>
      </c>
      <c r="AN238" s="13">
        <v>39</v>
      </c>
      <c r="AO238" s="13">
        <v>40</v>
      </c>
      <c r="AP238" s="13">
        <v>41</v>
      </c>
      <c r="AQ238" s="13">
        <v>42</v>
      </c>
      <c r="AR238" s="13">
        <v>43</v>
      </c>
      <c r="AS238" s="13">
        <v>44</v>
      </c>
      <c r="AT238" s="13">
        <v>45</v>
      </c>
      <c r="AU238" s="13">
        <v>46</v>
      </c>
      <c r="AV238" s="13">
        <v>47</v>
      </c>
      <c r="AW238" s="13">
        <v>48</v>
      </c>
      <c r="AX238" s="13">
        <v>49</v>
      </c>
      <c r="AY238" s="13">
        <v>50</v>
      </c>
      <c r="AZ238" s="13">
        <v>51</v>
      </c>
      <c r="BA238" s="13">
        <v>52</v>
      </c>
      <c r="BB238" s="13">
        <v>53</v>
      </c>
      <c r="BC238" s="13">
        <v>54</v>
      </c>
      <c r="BD238" s="13">
        <v>55</v>
      </c>
      <c r="BE238" s="13">
        <v>56</v>
      </c>
      <c r="BF238" s="13">
        <v>57</v>
      </c>
      <c r="BG238" s="13">
        <v>58</v>
      </c>
      <c r="BH238" s="13">
        <v>59</v>
      </c>
      <c r="BI238" s="13">
        <v>60</v>
      </c>
    </row>
    <row r="239" spans="1:63" x14ac:dyDescent="0.25">
      <c r="A239" s="13" t="s">
        <v>0</v>
      </c>
      <c r="B239" s="37">
        <f>'הזנת נתונים'!A66</f>
        <v>28</v>
      </c>
      <c r="C239" s="37">
        <f>'הזנת נתונים'!B66</f>
        <v>35</v>
      </c>
      <c r="D239" s="37">
        <f>'הזנת נתונים'!C66</f>
        <v>40</v>
      </c>
      <c r="E239" s="37">
        <f>'הזנת נתונים'!D66</f>
        <v>55</v>
      </c>
      <c r="F239" s="37">
        <f>'הזנת נתונים'!E66</f>
        <v>70</v>
      </c>
      <c r="G239" s="37">
        <f>'הזנת נתונים'!F66</f>
        <v>75</v>
      </c>
      <c r="H239" s="37">
        <f>'הזנת נתונים'!G66</f>
        <v>87.6666666666667</v>
      </c>
      <c r="I239" s="37">
        <f>'הזנת נתונים'!H66</f>
        <v>98.6666666666667</v>
      </c>
      <c r="J239" s="37">
        <f>'הזנת נתונים'!I66</f>
        <v>109.666666666667</v>
      </c>
      <c r="K239" s="37">
        <f>'הזנת נתונים'!J66</f>
        <v>120.666666666667</v>
      </c>
      <c r="L239" s="37">
        <f>'הזנת נתונים'!K66</f>
        <v>131.666666666667</v>
      </c>
      <c r="M239" s="37">
        <f>'הזנת נתונים'!L66</f>
        <v>142.666666666667</v>
      </c>
      <c r="N239" s="37">
        <f>'הזנת נתונים'!M66</f>
        <v>153.666666666667</v>
      </c>
      <c r="O239" s="37">
        <f>'הזנת נתונים'!N66</f>
        <v>164.666666666667</v>
      </c>
      <c r="P239" s="37">
        <f>'הזנת נתונים'!O66</f>
        <v>175.666666666667</v>
      </c>
      <c r="Q239" s="37">
        <f>'הזנת נתונים'!P66</f>
        <v>186.666666666667</v>
      </c>
      <c r="R239" s="37">
        <f>'הזנת נתונים'!Q66</f>
        <v>197.666666666667</v>
      </c>
      <c r="S239" s="37">
        <f>'הזנת נתונים'!R66</f>
        <v>208.666666666667</v>
      </c>
      <c r="T239" s="37">
        <f>'הזנת נתונים'!S66</f>
        <v>219.666666666667</v>
      </c>
      <c r="U239" s="37">
        <f>'הזנת נתונים'!T66</f>
        <v>230.666666666667</v>
      </c>
      <c r="V239" s="37">
        <f>'הזנת נתונים'!U66</f>
        <v>241.666666666667</v>
      </c>
      <c r="W239" s="37">
        <f>'הזנת נתונים'!V66</f>
        <v>252.666666666667</v>
      </c>
      <c r="X239" s="37">
        <f>'הזנת נתונים'!W66</f>
        <v>263.66666666666703</v>
      </c>
      <c r="Y239" s="37">
        <f>'הזנת נתונים'!X66</f>
        <v>274.66666666666703</v>
      </c>
      <c r="Z239" s="37">
        <f>'הזנת נתונים'!Y66</f>
        <v>285.66666666666799</v>
      </c>
      <c r="AA239" s="37">
        <f>'הזנת נתונים'!Z66</f>
        <v>296.66666666666799</v>
      </c>
      <c r="AB239" s="37">
        <f>'הזנת נתונים'!AA66</f>
        <v>307.66666666666799</v>
      </c>
      <c r="AC239" s="37">
        <f>'הזנת נתונים'!AB66</f>
        <v>318.66666666666799</v>
      </c>
      <c r="AD239" s="37">
        <f>'הזנת נתונים'!AC66</f>
        <v>329.66666666666799</v>
      </c>
      <c r="AE239" s="37">
        <f>'הזנת נתונים'!AD66</f>
        <v>340.66666666666799</v>
      </c>
      <c r="AF239" s="37">
        <f>'הזנת נתונים'!AE66</f>
        <v>351.66666666666799</v>
      </c>
      <c r="AG239" s="37">
        <f>'הזנת נתונים'!AF66</f>
        <v>362.66666666666799</v>
      </c>
      <c r="AH239" s="37">
        <f>'הזנת נתונים'!AG66</f>
        <v>373.66666666666799</v>
      </c>
      <c r="AI239" s="37">
        <f>'הזנת נתונים'!AH66</f>
        <v>384.66666666666799</v>
      </c>
      <c r="AJ239" s="37">
        <f>'הזנת נתונים'!AI66</f>
        <v>395.66666666666799</v>
      </c>
      <c r="AK239" s="37">
        <f>'הזנת נתונים'!AJ66</f>
        <v>406.66666666666799</v>
      </c>
      <c r="AL239" s="37">
        <f>'הזנת נתונים'!AK66</f>
        <v>417.66666666666799</v>
      </c>
      <c r="AM239" s="37">
        <f>'הזנת נתונים'!AL66</f>
        <v>428.66666666666902</v>
      </c>
      <c r="AN239" s="37">
        <f>'הזנת נתונים'!AM66</f>
        <v>439.66666666666902</v>
      </c>
      <c r="AO239" s="37">
        <f>'הזנת נתונים'!AN66</f>
        <v>450.66666666666902</v>
      </c>
      <c r="AP239" s="37">
        <f>'הזנת נתונים'!AO66</f>
        <v>461.66666666666902</v>
      </c>
      <c r="AQ239" s="37">
        <f>'הזנת נתונים'!AP66</f>
        <v>472.66666666666902</v>
      </c>
      <c r="AR239" s="37">
        <f>'הזנת נתונים'!AQ66</f>
        <v>483.66666666666902</v>
      </c>
      <c r="AS239" s="37">
        <f>'הזנת נתונים'!AR66</f>
        <v>494.66666666666902</v>
      </c>
      <c r="AT239" s="37">
        <f>'הזנת נתונים'!AS66</f>
        <v>505.66666666666799</v>
      </c>
      <c r="AU239" s="37">
        <f>'הזנת נתונים'!AT66</f>
        <v>516.66666666666902</v>
      </c>
      <c r="AV239" s="37">
        <f>'הזנת נתונים'!AU66</f>
        <v>527.66666666666902</v>
      </c>
      <c r="AW239" s="37">
        <f>'הזנת נתונים'!AV66</f>
        <v>538.66666666666902</v>
      </c>
      <c r="AX239" s="37">
        <f>'הזנת נתונים'!AW66</f>
        <v>549.66666666666902</v>
      </c>
      <c r="AY239" s="37">
        <f>'הזנת נתונים'!AX66</f>
        <v>560.66666666666902</v>
      </c>
      <c r="AZ239" s="37">
        <f>'הזנת נתונים'!AY66</f>
        <v>571.66666666666902</v>
      </c>
      <c r="BA239" s="37">
        <f>'הזנת נתונים'!AZ66</f>
        <v>582.66666666666902</v>
      </c>
      <c r="BB239" s="37">
        <f>'הזנת נתונים'!BA66</f>
        <v>593.66666666666902</v>
      </c>
      <c r="BC239" s="37">
        <f>'הזנת נתונים'!BB66</f>
        <v>604.66666666666902</v>
      </c>
      <c r="BD239" s="37">
        <f>'הזנת נתונים'!BC66</f>
        <v>615.66666666666902</v>
      </c>
      <c r="BE239" s="37">
        <f>'הזנת נתונים'!BD66</f>
        <v>626.66666666666902</v>
      </c>
      <c r="BF239" s="37">
        <f>'הזנת נתונים'!BE66</f>
        <v>637.66666666666902</v>
      </c>
      <c r="BG239" s="37">
        <f>'הזנת נתונים'!BF66</f>
        <v>648.66666666666902</v>
      </c>
      <c r="BH239" s="37">
        <f>'הזנת נתונים'!BG66</f>
        <v>659.66666666666902</v>
      </c>
      <c r="BI239" s="37">
        <f>'הזנת נתונים'!BH66</f>
        <v>670.66666666666902</v>
      </c>
    </row>
    <row r="240" spans="1:63" x14ac:dyDescent="0.25">
      <c r="A240" s="13" t="s">
        <v>2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>
        <f t="shared" ref="S240:BI240" si="347">AVERAGE(B239:S239)</f>
        <v>115.61111111111128</v>
      </c>
      <c r="T240">
        <f t="shared" si="347"/>
        <v>126.25925925925945</v>
      </c>
      <c r="U240">
        <f t="shared" si="347"/>
        <v>137.12962962962985</v>
      </c>
      <c r="V240">
        <f t="shared" si="347"/>
        <v>148.33333333333357</v>
      </c>
      <c r="W240">
        <f t="shared" si="347"/>
        <v>159.31481481481507</v>
      </c>
      <c r="X240">
        <f t="shared" si="347"/>
        <v>170.07407407407433</v>
      </c>
      <c r="Y240">
        <f t="shared" si="347"/>
        <v>181.16666666666694</v>
      </c>
      <c r="Z240">
        <f t="shared" si="347"/>
        <v>192.16666666666703</v>
      </c>
      <c r="AA240">
        <f t="shared" si="347"/>
        <v>203.16666666666708</v>
      </c>
      <c r="AB240">
        <f t="shared" si="347"/>
        <v>214.16666666666714</v>
      </c>
      <c r="AC240">
        <f t="shared" si="347"/>
        <v>225.1666666666672</v>
      </c>
      <c r="AD240">
        <f t="shared" si="347"/>
        <v>236.16666666666728</v>
      </c>
      <c r="AE240">
        <f t="shared" si="347"/>
        <v>247.16666666666731</v>
      </c>
      <c r="AF240">
        <f t="shared" si="347"/>
        <v>258.16666666666737</v>
      </c>
      <c r="AG240">
        <f t="shared" si="347"/>
        <v>269.16666666666742</v>
      </c>
      <c r="AH240">
        <f t="shared" si="347"/>
        <v>280.16666666666748</v>
      </c>
      <c r="AI240">
        <f t="shared" si="347"/>
        <v>291.16666666666754</v>
      </c>
      <c r="AJ240">
        <f t="shared" si="347"/>
        <v>302.1666666666676</v>
      </c>
      <c r="AK240">
        <f t="shared" si="347"/>
        <v>313.16666666666765</v>
      </c>
      <c r="AL240">
        <f t="shared" si="347"/>
        <v>324.16666666666765</v>
      </c>
      <c r="AM240">
        <f t="shared" si="347"/>
        <v>335.16666666666777</v>
      </c>
      <c r="AN240">
        <f t="shared" si="347"/>
        <v>346.16666666666788</v>
      </c>
      <c r="AO240">
        <f t="shared" si="347"/>
        <v>357.16666666666799</v>
      </c>
      <c r="AP240">
        <f t="shared" si="347"/>
        <v>368.16666666666811</v>
      </c>
      <c r="AQ240">
        <f t="shared" si="347"/>
        <v>379.16666666666816</v>
      </c>
      <c r="AR240">
        <f t="shared" si="347"/>
        <v>390.16666666666822</v>
      </c>
      <c r="AS240">
        <f t="shared" si="347"/>
        <v>401.16666666666828</v>
      </c>
      <c r="AT240">
        <f t="shared" si="347"/>
        <v>412.16666666666828</v>
      </c>
      <c r="AU240">
        <f t="shared" si="347"/>
        <v>423.16666666666833</v>
      </c>
      <c r="AV240">
        <f t="shared" si="347"/>
        <v>434.16666666666839</v>
      </c>
      <c r="AW240">
        <f t="shared" si="347"/>
        <v>445.16666666666845</v>
      </c>
      <c r="AX240">
        <f t="shared" si="347"/>
        <v>456.1666666666685</v>
      </c>
      <c r="AY240">
        <f t="shared" si="347"/>
        <v>467.16666666666856</v>
      </c>
      <c r="AZ240">
        <f t="shared" si="347"/>
        <v>478.16666666666856</v>
      </c>
      <c r="BA240">
        <f t="shared" si="347"/>
        <v>489.16666666666868</v>
      </c>
      <c r="BB240">
        <f t="shared" si="347"/>
        <v>500.16666666666879</v>
      </c>
      <c r="BC240">
        <f t="shared" si="347"/>
        <v>511.16666666666879</v>
      </c>
      <c r="BD240">
        <f t="shared" si="347"/>
        <v>522.1666666666689</v>
      </c>
      <c r="BE240">
        <f t="shared" si="347"/>
        <v>533.1666666666689</v>
      </c>
      <c r="BF240">
        <f t="shared" si="347"/>
        <v>544.1666666666689</v>
      </c>
      <c r="BG240">
        <f t="shared" si="347"/>
        <v>555.1666666666689</v>
      </c>
      <c r="BH240">
        <f t="shared" si="347"/>
        <v>566.16666666666902</v>
      </c>
      <c r="BI240">
        <f t="shared" si="347"/>
        <v>577.16666666666902</v>
      </c>
    </row>
    <row r="241" spans="1:63" x14ac:dyDescent="0.25">
      <c r="A241" s="13" t="s">
        <v>9</v>
      </c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>
        <f t="shared" ref="T241:BI241" si="348">S240</f>
        <v>115.61111111111128</v>
      </c>
      <c r="U241" s="7">
        <f t="shared" si="348"/>
        <v>126.25925925925945</v>
      </c>
      <c r="V241" s="7">
        <f t="shared" si="348"/>
        <v>137.12962962962985</v>
      </c>
      <c r="W241" s="7">
        <f t="shared" si="348"/>
        <v>148.33333333333357</v>
      </c>
      <c r="X241" s="7">
        <f t="shared" si="348"/>
        <v>159.31481481481507</v>
      </c>
      <c r="Y241" s="7">
        <f t="shared" si="348"/>
        <v>170.07407407407433</v>
      </c>
      <c r="Z241" s="7">
        <f t="shared" si="348"/>
        <v>181.16666666666694</v>
      </c>
      <c r="AA241" s="7">
        <f t="shared" si="348"/>
        <v>192.16666666666703</v>
      </c>
      <c r="AB241" s="7">
        <f t="shared" si="348"/>
        <v>203.16666666666708</v>
      </c>
      <c r="AC241" s="7">
        <f t="shared" si="348"/>
        <v>214.16666666666714</v>
      </c>
      <c r="AD241" s="7">
        <f t="shared" si="348"/>
        <v>225.1666666666672</v>
      </c>
      <c r="AE241" s="7">
        <f t="shared" si="348"/>
        <v>236.16666666666728</v>
      </c>
      <c r="AF241" s="7">
        <f t="shared" si="348"/>
        <v>247.16666666666731</v>
      </c>
      <c r="AG241" s="7">
        <f t="shared" si="348"/>
        <v>258.16666666666737</v>
      </c>
      <c r="AH241" s="7">
        <f t="shared" si="348"/>
        <v>269.16666666666742</v>
      </c>
      <c r="AI241" s="7">
        <f t="shared" si="348"/>
        <v>280.16666666666748</v>
      </c>
      <c r="AJ241" s="7">
        <f t="shared" si="348"/>
        <v>291.16666666666754</v>
      </c>
      <c r="AK241" s="7">
        <f t="shared" si="348"/>
        <v>302.1666666666676</v>
      </c>
      <c r="AL241" s="7">
        <f t="shared" si="348"/>
        <v>313.16666666666765</v>
      </c>
      <c r="AM241" s="7">
        <f t="shared" si="348"/>
        <v>324.16666666666765</v>
      </c>
      <c r="AN241" s="7">
        <f t="shared" si="348"/>
        <v>335.16666666666777</v>
      </c>
      <c r="AO241" s="7">
        <f t="shared" si="348"/>
        <v>346.16666666666788</v>
      </c>
      <c r="AP241" s="7">
        <f t="shared" si="348"/>
        <v>357.16666666666799</v>
      </c>
      <c r="AQ241" s="7">
        <f t="shared" si="348"/>
        <v>368.16666666666811</v>
      </c>
      <c r="AR241" s="7">
        <f t="shared" si="348"/>
        <v>379.16666666666816</v>
      </c>
      <c r="AS241" s="7">
        <f t="shared" si="348"/>
        <v>390.16666666666822</v>
      </c>
      <c r="AT241" s="7">
        <f t="shared" si="348"/>
        <v>401.16666666666828</v>
      </c>
      <c r="AU241" s="7">
        <f t="shared" si="348"/>
        <v>412.16666666666828</v>
      </c>
      <c r="AV241" s="7">
        <f t="shared" si="348"/>
        <v>423.16666666666833</v>
      </c>
      <c r="AW241" s="7">
        <f t="shared" si="348"/>
        <v>434.16666666666839</v>
      </c>
      <c r="AX241" s="7">
        <f t="shared" si="348"/>
        <v>445.16666666666845</v>
      </c>
      <c r="AY241" s="7">
        <f t="shared" si="348"/>
        <v>456.1666666666685</v>
      </c>
      <c r="AZ241" s="7">
        <f t="shared" si="348"/>
        <v>467.16666666666856</v>
      </c>
      <c r="BA241" s="7">
        <f t="shared" si="348"/>
        <v>478.16666666666856</v>
      </c>
      <c r="BB241" s="7">
        <f t="shared" si="348"/>
        <v>489.16666666666868</v>
      </c>
      <c r="BC241" s="7">
        <f t="shared" si="348"/>
        <v>500.16666666666879</v>
      </c>
      <c r="BD241" s="7">
        <f t="shared" si="348"/>
        <v>511.16666666666879</v>
      </c>
      <c r="BE241" s="7">
        <f t="shared" si="348"/>
        <v>522.1666666666689</v>
      </c>
      <c r="BF241" s="7">
        <f t="shared" si="348"/>
        <v>533.1666666666689</v>
      </c>
      <c r="BG241" s="7">
        <f t="shared" si="348"/>
        <v>544.1666666666689</v>
      </c>
      <c r="BH241" s="7">
        <f t="shared" si="348"/>
        <v>555.1666666666689</v>
      </c>
      <c r="BI241" s="7">
        <f t="shared" si="348"/>
        <v>566.16666666666902</v>
      </c>
    </row>
    <row r="242" spans="1:63" x14ac:dyDescent="0.25">
      <c r="A242" s="13" t="s">
        <v>4</v>
      </c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>
        <f t="shared" ref="T242" si="349">T241-T239</f>
        <v>-104.05555555555571</v>
      </c>
      <c r="U242" s="7">
        <f t="shared" ref="U242" si="350">U241-U239</f>
        <v>-104.40740740740755</v>
      </c>
      <c r="V242" s="7">
        <f t="shared" ref="V242" si="351">V241-V239</f>
        <v>-104.53703703703715</v>
      </c>
      <c r="W242" s="7">
        <f t="shared" ref="W242" si="352">W241-W239</f>
        <v>-104.33333333333343</v>
      </c>
      <c r="X242" s="7">
        <f t="shared" ref="X242" si="353">X241-X239</f>
        <v>-104.35185185185196</v>
      </c>
      <c r="Y242" s="7">
        <f t="shared" ref="Y242" si="354">Y241-Y239</f>
        <v>-104.59259259259269</v>
      </c>
      <c r="Z242" s="7">
        <f t="shared" ref="Z242" si="355">Z241-Z239</f>
        <v>-104.50000000000105</v>
      </c>
      <c r="AA242" s="7">
        <f t="shared" ref="AA242" si="356">AA241-AA239</f>
        <v>-104.50000000000097</v>
      </c>
      <c r="AB242" s="7">
        <f t="shared" ref="AB242" si="357">AB241-AB239</f>
        <v>-104.50000000000091</v>
      </c>
      <c r="AC242" s="7">
        <f t="shared" ref="AC242" si="358">AC241-AC239</f>
        <v>-104.50000000000085</v>
      </c>
      <c r="AD242" s="7">
        <f t="shared" ref="AD242" si="359">AD241-AD239</f>
        <v>-104.5000000000008</v>
      </c>
      <c r="AE242" s="7">
        <f t="shared" ref="AE242" si="360">AE241-AE239</f>
        <v>-104.50000000000071</v>
      </c>
      <c r="AF242" s="7">
        <f t="shared" ref="AF242" si="361">AF241-AF239</f>
        <v>-104.50000000000068</v>
      </c>
      <c r="AG242" s="7">
        <f t="shared" ref="AG242" si="362">AG241-AG239</f>
        <v>-104.50000000000063</v>
      </c>
      <c r="AH242" s="7">
        <f t="shared" ref="AH242" si="363">AH241-AH239</f>
        <v>-104.50000000000057</v>
      </c>
      <c r="AI242" s="7">
        <f t="shared" ref="AI242" si="364">AI241-AI239</f>
        <v>-104.50000000000051</v>
      </c>
      <c r="AJ242" s="7">
        <f t="shared" ref="AJ242" si="365">AJ241-AJ239</f>
        <v>-104.50000000000045</v>
      </c>
      <c r="AK242" s="7">
        <f t="shared" ref="AK242" si="366">AK241-AK239</f>
        <v>-104.5000000000004</v>
      </c>
      <c r="AL242" s="7">
        <f t="shared" ref="AL242" si="367">AL241-AL239</f>
        <v>-104.50000000000034</v>
      </c>
      <c r="AM242" s="7">
        <f t="shared" ref="AM242" si="368">AM241-AM239</f>
        <v>-104.50000000000136</v>
      </c>
      <c r="AN242" s="7">
        <f t="shared" ref="AN242" si="369">AN241-AN239</f>
        <v>-104.50000000000125</v>
      </c>
      <c r="AO242" s="7">
        <f t="shared" ref="AO242" si="370">AO241-AO239</f>
        <v>-104.50000000000114</v>
      </c>
      <c r="AP242" s="7">
        <f t="shared" ref="AP242" si="371">AP241-AP239</f>
        <v>-104.50000000000102</v>
      </c>
      <c r="AQ242" s="7">
        <f t="shared" ref="AQ242" si="372">AQ241-AQ239</f>
        <v>-104.50000000000091</v>
      </c>
      <c r="AR242" s="7">
        <f t="shared" ref="AR242" si="373">AR241-AR239</f>
        <v>-104.50000000000085</v>
      </c>
      <c r="AS242" s="7">
        <f t="shared" ref="AS242" si="374">AS241-AS239</f>
        <v>-104.5000000000008</v>
      </c>
      <c r="AT242" s="7">
        <f t="shared" ref="AT242" si="375">AT241-AT239</f>
        <v>-104.49999999999972</v>
      </c>
      <c r="AU242" s="7">
        <f t="shared" ref="AU242" si="376">AU241-AU239</f>
        <v>-104.50000000000074</v>
      </c>
      <c r="AV242" s="7">
        <f t="shared" ref="AV242" si="377">AV241-AV239</f>
        <v>-104.50000000000068</v>
      </c>
      <c r="AW242" s="7">
        <f t="shared" ref="AW242" si="378">AW241-AW239</f>
        <v>-104.50000000000063</v>
      </c>
      <c r="AX242" s="7">
        <f t="shared" ref="AX242" si="379">AX241-AX239</f>
        <v>-104.50000000000057</v>
      </c>
      <c r="AY242" s="7">
        <f t="shared" ref="AY242" si="380">AY241-AY239</f>
        <v>-104.50000000000051</v>
      </c>
      <c r="AZ242" s="7">
        <f t="shared" ref="AZ242" si="381">AZ241-AZ239</f>
        <v>-104.50000000000045</v>
      </c>
      <c r="BA242" s="7">
        <f t="shared" ref="BA242" si="382">BA241-BA239</f>
        <v>-104.50000000000045</v>
      </c>
      <c r="BB242" s="7">
        <f t="shared" ref="BB242" si="383">BB241-BB239</f>
        <v>-104.50000000000034</v>
      </c>
      <c r="BC242" s="7">
        <f t="shared" ref="BC242" si="384">BC241-BC239</f>
        <v>-104.50000000000023</v>
      </c>
      <c r="BD242" s="7">
        <f t="shared" ref="BD242" si="385">BD241-BD239</f>
        <v>-104.50000000000023</v>
      </c>
      <c r="BE242" s="7">
        <f t="shared" ref="BE242" si="386">BE241-BE239</f>
        <v>-104.50000000000011</v>
      </c>
      <c r="BF242" s="7">
        <f t="shared" ref="BF242" si="387">BF241-BF239</f>
        <v>-104.50000000000011</v>
      </c>
      <c r="BG242" s="7">
        <f t="shared" ref="BG242" si="388">BG241-BG239</f>
        <v>-104.50000000000011</v>
      </c>
      <c r="BH242" s="7">
        <f t="shared" ref="BH242" si="389">BH241-BH239</f>
        <v>-104.50000000000011</v>
      </c>
      <c r="BI242" s="7">
        <f t="shared" ref="BI242" si="390">BI241-BI239</f>
        <v>-104.5</v>
      </c>
    </row>
    <row r="243" spans="1:63" x14ac:dyDescent="0.25">
      <c r="A243" s="13" t="s">
        <v>12</v>
      </c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>
        <f t="shared" ref="T243" si="391">T242^2</f>
        <v>10827.558641975342</v>
      </c>
      <c r="U243" s="7">
        <f t="shared" ref="U243" si="392">U242^2</f>
        <v>10900.906721536381</v>
      </c>
      <c r="V243" s="7">
        <f t="shared" ref="V243" si="393">V242^2</f>
        <v>10927.992112482878</v>
      </c>
      <c r="W243" s="7">
        <f t="shared" ref="W243" si="394">W242^2</f>
        <v>10885.444444444463</v>
      </c>
      <c r="X243" s="7">
        <f t="shared" ref="X243" si="395">X242^2</f>
        <v>10889.30898491086</v>
      </c>
      <c r="Y243" s="7">
        <f t="shared" ref="Y243" si="396">Y242^2</f>
        <v>10939.610425240076</v>
      </c>
      <c r="Z243" s="7">
        <f t="shared" ref="Z243" si="397">Z242^2</f>
        <v>10920.25000000022</v>
      </c>
      <c r="AA243" s="7">
        <f t="shared" ref="AA243" si="398">AA242^2</f>
        <v>10920.250000000202</v>
      </c>
      <c r="AB243" s="7">
        <f t="shared" ref="AB243" si="399">AB242^2</f>
        <v>10920.250000000189</v>
      </c>
      <c r="AC243" s="7">
        <f t="shared" ref="AC243" si="400">AC242^2</f>
        <v>10920.250000000178</v>
      </c>
      <c r="AD243" s="7">
        <f t="shared" ref="AD243" si="401">AD242^2</f>
        <v>10920.250000000166</v>
      </c>
      <c r="AE243" s="7">
        <f t="shared" ref="AE243" si="402">AE242^2</f>
        <v>10920.250000000149</v>
      </c>
      <c r="AF243" s="7">
        <f t="shared" ref="AF243" si="403">AF242^2</f>
        <v>10920.250000000142</v>
      </c>
      <c r="AG243" s="7">
        <f t="shared" ref="AG243" si="404">AG242^2</f>
        <v>10920.250000000131</v>
      </c>
      <c r="AH243" s="7">
        <f t="shared" ref="AH243" si="405">AH242^2</f>
        <v>10920.250000000118</v>
      </c>
      <c r="AI243" s="7">
        <f t="shared" ref="AI243" si="406">AI242^2</f>
        <v>10920.250000000107</v>
      </c>
      <c r="AJ243" s="7">
        <f t="shared" ref="AJ243" si="407">AJ242^2</f>
        <v>10920.250000000095</v>
      </c>
      <c r="AK243" s="7">
        <f t="shared" ref="AK243" si="408">AK242^2</f>
        <v>10920.250000000084</v>
      </c>
      <c r="AL243" s="7">
        <f t="shared" ref="AL243" si="409">AL242^2</f>
        <v>10920.250000000071</v>
      </c>
      <c r="AM243" s="7">
        <f t="shared" ref="AM243" si="410">AM242^2</f>
        <v>10920.250000000286</v>
      </c>
      <c r="AN243" s="7">
        <f t="shared" ref="AN243" si="411">AN242^2</f>
        <v>10920.250000000262</v>
      </c>
      <c r="AO243" s="7">
        <f t="shared" ref="AO243" si="412">AO242^2</f>
        <v>10920.250000000238</v>
      </c>
      <c r="AP243" s="7">
        <f t="shared" ref="AP243" si="413">AP242^2</f>
        <v>10920.250000000215</v>
      </c>
      <c r="AQ243" s="7">
        <f t="shared" ref="AQ243" si="414">AQ242^2</f>
        <v>10920.250000000189</v>
      </c>
      <c r="AR243" s="7">
        <f t="shared" ref="AR243" si="415">AR242^2</f>
        <v>10920.250000000178</v>
      </c>
      <c r="AS243" s="7">
        <f t="shared" ref="AS243" si="416">AS242^2</f>
        <v>10920.250000000166</v>
      </c>
      <c r="AT243" s="7">
        <f t="shared" ref="AT243" si="417">AT242^2</f>
        <v>10920.24999999994</v>
      </c>
      <c r="AU243" s="7">
        <f t="shared" ref="AU243" si="418">AU242^2</f>
        <v>10920.250000000155</v>
      </c>
      <c r="AV243" s="7">
        <f t="shared" ref="AV243" si="419">AV242^2</f>
        <v>10920.250000000142</v>
      </c>
      <c r="AW243" s="7">
        <f t="shared" ref="AW243" si="420">AW242^2</f>
        <v>10920.250000000131</v>
      </c>
      <c r="AX243" s="7">
        <f t="shared" ref="AX243" si="421">AX242^2</f>
        <v>10920.250000000118</v>
      </c>
      <c r="AY243" s="7">
        <f t="shared" ref="AY243" si="422">AY242^2</f>
        <v>10920.250000000107</v>
      </c>
      <c r="AZ243" s="7">
        <f t="shared" ref="AZ243" si="423">AZ242^2</f>
        <v>10920.250000000095</v>
      </c>
      <c r="BA243" s="7">
        <f t="shared" ref="BA243" si="424">BA242^2</f>
        <v>10920.250000000095</v>
      </c>
      <c r="BB243" s="7">
        <f t="shared" ref="BB243" si="425">BB242^2</f>
        <v>10920.250000000071</v>
      </c>
      <c r="BC243" s="7">
        <f t="shared" ref="BC243" si="426">BC242^2</f>
        <v>10920.250000000047</v>
      </c>
      <c r="BD243" s="7">
        <f t="shared" ref="BD243" si="427">BD242^2</f>
        <v>10920.250000000047</v>
      </c>
      <c r="BE243" s="7">
        <f t="shared" ref="BE243" si="428">BE242^2</f>
        <v>10920.250000000024</v>
      </c>
      <c r="BF243" s="7">
        <f t="shared" ref="BF243" si="429">BF242^2</f>
        <v>10920.250000000024</v>
      </c>
      <c r="BG243" s="7">
        <f t="shared" ref="BG243" si="430">BG242^2</f>
        <v>10920.250000000024</v>
      </c>
      <c r="BH243" s="7">
        <f t="shared" ref="BH243" si="431">BH242^2</f>
        <v>10920.250000000024</v>
      </c>
      <c r="BI243" s="7">
        <f t="shared" ref="BI243" si="432">BI242^2</f>
        <v>10920.25</v>
      </c>
    </row>
    <row r="244" spans="1:63" x14ac:dyDescent="0.25">
      <c r="A244" s="38" t="s">
        <v>11</v>
      </c>
      <c r="B244" s="38">
        <v>18</v>
      </c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3" x14ac:dyDescent="0.25">
      <c r="A245" s="8" t="s">
        <v>5</v>
      </c>
      <c r="B245" s="8">
        <f>AVERAGE(G243:BI243)</f>
        <v>10916.662412633197</v>
      </c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3" x14ac:dyDescent="0.25">
      <c r="A246" s="7" t="s">
        <v>7</v>
      </c>
      <c r="B246" s="7">
        <f>SUM(AR239:BI239)/B244</f>
        <v>577.16666666666902</v>
      </c>
    </row>
    <row r="247" spans="1:63" x14ac:dyDescent="0.25">
      <c r="A247" s="31" t="s">
        <v>6</v>
      </c>
      <c r="B247" s="7" t="s">
        <v>62</v>
      </c>
      <c r="C247" s="7">
        <v>61</v>
      </c>
      <c r="D247" s="7">
        <v>62</v>
      </c>
      <c r="E247" s="7">
        <v>63</v>
      </c>
      <c r="F247" s="7">
        <v>64</v>
      </c>
      <c r="G247" s="7">
        <v>65</v>
      </c>
      <c r="H247" s="7">
        <v>66</v>
      </c>
      <c r="I247" s="7">
        <v>67</v>
      </c>
      <c r="J247" s="7">
        <v>68</v>
      </c>
      <c r="K247" s="7">
        <v>69</v>
      </c>
      <c r="L247" s="7">
        <v>70</v>
      </c>
      <c r="M247" s="7">
        <v>71</v>
      </c>
      <c r="N247" s="7">
        <v>72</v>
      </c>
    </row>
    <row r="248" spans="1:63" x14ac:dyDescent="0.25">
      <c r="C248" s="7">
        <f>$B$246</f>
        <v>577.16666666666902</v>
      </c>
      <c r="D248" s="7">
        <f t="shared" ref="D248:N248" si="433">$B$246</f>
        <v>577.16666666666902</v>
      </c>
      <c r="E248" s="7">
        <f t="shared" si="433"/>
        <v>577.16666666666902</v>
      </c>
      <c r="F248" s="7">
        <f t="shared" si="433"/>
        <v>577.16666666666902</v>
      </c>
      <c r="G248" s="7">
        <f t="shared" si="433"/>
        <v>577.16666666666902</v>
      </c>
      <c r="H248" s="7">
        <f t="shared" si="433"/>
        <v>577.16666666666902</v>
      </c>
      <c r="I248" s="7">
        <f t="shared" si="433"/>
        <v>577.16666666666902</v>
      </c>
      <c r="J248" s="7">
        <f t="shared" si="433"/>
        <v>577.16666666666902</v>
      </c>
      <c r="K248" s="7">
        <f t="shared" si="433"/>
        <v>577.16666666666902</v>
      </c>
      <c r="L248" s="7">
        <f t="shared" si="433"/>
        <v>577.16666666666902</v>
      </c>
      <c r="M248" s="7">
        <f t="shared" si="433"/>
        <v>577.16666666666902</v>
      </c>
      <c r="N248" s="7">
        <f t="shared" si="433"/>
        <v>577.16666666666902</v>
      </c>
    </row>
    <row r="251" spans="1:63" x14ac:dyDescent="0.25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</row>
    <row r="253" spans="1:63" x14ac:dyDescent="0.25">
      <c r="A253" s="13" t="s">
        <v>1</v>
      </c>
      <c r="B253" s="13">
        <v>1</v>
      </c>
      <c r="C253" s="13">
        <v>2</v>
      </c>
      <c r="D253" s="13">
        <v>3</v>
      </c>
      <c r="E253" s="13">
        <v>4</v>
      </c>
      <c r="F253" s="13">
        <v>5</v>
      </c>
      <c r="G253" s="13">
        <v>6</v>
      </c>
      <c r="H253" s="13">
        <v>7</v>
      </c>
      <c r="I253" s="13">
        <v>8</v>
      </c>
      <c r="J253" s="13">
        <v>9</v>
      </c>
      <c r="K253" s="13">
        <v>10</v>
      </c>
      <c r="L253" s="13">
        <v>11</v>
      </c>
      <c r="M253" s="13">
        <v>12</v>
      </c>
      <c r="N253" s="13">
        <v>13</v>
      </c>
      <c r="O253" s="13">
        <v>14</v>
      </c>
      <c r="P253" s="13">
        <v>15</v>
      </c>
      <c r="Q253" s="13">
        <v>16</v>
      </c>
      <c r="R253" s="13">
        <v>17</v>
      </c>
      <c r="S253" s="13">
        <v>18</v>
      </c>
      <c r="T253" s="13">
        <v>19</v>
      </c>
      <c r="U253" s="13">
        <v>20</v>
      </c>
      <c r="V253" s="13">
        <v>21</v>
      </c>
      <c r="W253" s="13">
        <v>22</v>
      </c>
      <c r="X253" s="13">
        <v>23</v>
      </c>
      <c r="Y253" s="13">
        <v>24</v>
      </c>
      <c r="Z253" s="13">
        <v>25</v>
      </c>
      <c r="AA253" s="13">
        <v>26</v>
      </c>
      <c r="AB253" s="13">
        <v>27</v>
      </c>
      <c r="AC253" s="13">
        <v>28</v>
      </c>
      <c r="AD253" s="13">
        <v>29</v>
      </c>
      <c r="AE253" s="13">
        <v>30</v>
      </c>
      <c r="AF253" s="13">
        <v>31</v>
      </c>
      <c r="AG253" s="13">
        <v>32</v>
      </c>
      <c r="AH253" s="13">
        <v>33</v>
      </c>
      <c r="AI253" s="13">
        <v>34</v>
      </c>
      <c r="AJ253" s="13">
        <v>35</v>
      </c>
      <c r="AK253" s="13">
        <v>36</v>
      </c>
      <c r="AL253" s="13">
        <v>37</v>
      </c>
      <c r="AM253" s="13">
        <v>38</v>
      </c>
      <c r="AN253" s="13">
        <v>39</v>
      </c>
      <c r="AO253" s="13">
        <v>40</v>
      </c>
      <c r="AP253" s="13">
        <v>41</v>
      </c>
      <c r="AQ253" s="13">
        <v>42</v>
      </c>
      <c r="AR253" s="13">
        <v>43</v>
      </c>
      <c r="AS253" s="13">
        <v>44</v>
      </c>
      <c r="AT253" s="13">
        <v>45</v>
      </c>
      <c r="AU253" s="13">
        <v>46</v>
      </c>
      <c r="AV253" s="13">
        <v>47</v>
      </c>
      <c r="AW253" s="13">
        <v>48</v>
      </c>
      <c r="AX253" s="13">
        <v>49</v>
      </c>
      <c r="AY253" s="13">
        <v>50</v>
      </c>
      <c r="AZ253" s="13">
        <v>51</v>
      </c>
      <c r="BA253" s="13">
        <v>52</v>
      </c>
      <c r="BB253" s="13">
        <v>53</v>
      </c>
      <c r="BC253" s="13">
        <v>54</v>
      </c>
      <c r="BD253" s="13">
        <v>55</v>
      </c>
      <c r="BE253" s="13">
        <v>56</v>
      </c>
      <c r="BF253" s="13">
        <v>57</v>
      </c>
      <c r="BG253" s="13">
        <v>58</v>
      </c>
      <c r="BH253" s="13">
        <v>59</v>
      </c>
      <c r="BI253" s="13">
        <v>60</v>
      </c>
    </row>
    <row r="254" spans="1:63" x14ac:dyDescent="0.25">
      <c r="A254" s="13" t="s">
        <v>0</v>
      </c>
      <c r="B254" s="37">
        <f>'הזנת נתונים'!A66</f>
        <v>28</v>
      </c>
      <c r="C254" s="37">
        <f>'הזנת נתונים'!B66</f>
        <v>35</v>
      </c>
      <c r="D254" s="37">
        <f>'הזנת נתונים'!C66</f>
        <v>40</v>
      </c>
      <c r="E254" s="37">
        <f>'הזנת נתונים'!D66</f>
        <v>55</v>
      </c>
      <c r="F254" s="37">
        <f>'הזנת נתונים'!E66</f>
        <v>70</v>
      </c>
      <c r="G254" s="37">
        <f>'הזנת נתונים'!F66</f>
        <v>75</v>
      </c>
      <c r="H254" s="37">
        <f>'הזנת נתונים'!G66</f>
        <v>87.6666666666667</v>
      </c>
      <c r="I254" s="37">
        <f>'הזנת נתונים'!H66</f>
        <v>98.6666666666667</v>
      </c>
      <c r="J254" s="37">
        <f>'הזנת נתונים'!I66</f>
        <v>109.666666666667</v>
      </c>
      <c r="K254" s="37">
        <f>'הזנת נתונים'!J66</f>
        <v>120.666666666667</v>
      </c>
      <c r="L254" s="37">
        <f>'הזנת נתונים'!K66</f>
        <v>131.666666666667</v>
      </c>
      <c r="M254" s="37">
        <f>'הזנת נתונים'!L66</f>
        <v>142.666666666667</v>
      </c>
      <c r="N254" s="37">
        <f>'הזנת נתונים'!M66</f>
        <v>153.666666666667</v>
      </c>
      <c r="O254" s="37">
        <f>'הזנת נתונים'!N66</f>
        <v>164.666666666667</v>
      </c>
      <c r="P254" s="37">
        <f>'הזנת נתונים'!O66</f>
        <v>175.666666666667</v>
      </c>
      <c r="Q254" s="37">
        <f>'הזנת נתונים'!P66</f>
        <v>186.666666666667</v>
      </c>
      <c r="R254" s="37">
        <f>'הזנת נתונים'!Q66</f>
        <v>197.666666666667</v>
      </c>
      <c r="S254" s="37">
        <f>'הזנת נתונים'!R66</f>
        <v>208.666666666667</v>
      </c>
      <c r="T254" s="37">
        <f>'הזנת נתונים'!S66</f>
        <v>219.666666666667</v>
      </c>
      <c r="U254" s="37">
        <f>'הזנת נתונים'!T66</f>
        <v>230.666666666667</v>
      </c>
      <c r="V254" s="37">
        <f>'הזנת נתונים'!U66</f>
        <v>241.666666666667</v>
      </c>
      <c r="W254" s="37">
        <f>'הזנת נתונים'!V66</f>
        <v>252.666666666667</v>
      </c>
      <c r="X254" s="37">
        <f>'הזנת נתונים'!W66</f>
        <v>263.66666666666703</v>
      </c>
      <c r="Y254" s="37">
        <f>'הזנת נתונים'!X66</f>
        <v>274.66666666666703</v>
      </c>
      <c r="Z254" s="37">
        <f>'הזנת נתונים'!Y66</f>
        <v>285.66666666666799</v>
      </c>
      <c r="AA254" s="37">
        <f>'הזנת נתונים'!Z66</f>
        <v>296.66666666666799</v>
      </c>
      <c r="AB254" s="37">
        <f>'הזנת נתונים'!AA66</f>
        <v>307.66666666666799</v>
      </c>
      <c r="AC254" s="37">
        <f>'הזנת נתונים'!AB66</f>
        <v>318.66666666666799</v>
      </c>
      <c r="AD254" s="37">
        <f>'הזנת נתונים'!AC66</f>
        <v>329.66666666666799</v>
      </c>
      <c r="AE254" s="37">
        <f>'הזנת נתונים'!AD66</f>
        <v>340.66666666666799</v>
      </c>
      <c r="AF254" s="37">
        <f>'הזנת נתונים'!AE66</f>
        <v>351.66666666666799</v>
      </c>
      <c r="AG254" s="37">
        <f>'הזנת נתונים'!AF66</f>
        <v>362.66666666666799</v>
      </c>
      <c r="AH254" s="37">
        <f>'הזנת נתונים'!AG66</f>
        <v>373.66666666666799</v>
      </c>
      <c r="AI254" s="37">
        <f>'הזנת נתונים'!AH66</f>
        <v>384.66666666666799</v>
      </c>
      <c r="AJ254" s="37">
        <f>'הזנת נתונים'!AI66</f>
        <v>395.66666666666799</v>
      </c>
      <c r="AK254" s="37">
        <f>'הזנת נתונים'!AJ66</f>
        <v>406.66666666666799</v>
      </c>
      <c r="AL254" s="37">
        <f>'הזנת נתונים'!AK66</f>
        <v>417.66666666666799</v>
      </c>
      <c r="AM254" s="37">
        <f>'הזנת נתונים'!AL66</f>
        <v>428.66666666666902</v>
      </c>
      <c r="AN254" s="37">
        <f>'הזנת נתונים'!AM66</f>
        <v>439.66666666666902</v>
      </c>
      <c r="AO254" s="37">
        <f>'הזנת נתונים'!AN66</f>
        <v>450.66666666666902</v>
      </c>
      <c r="AP254" s="37">
        <f>'הזנת נתונים'!AO66</f>
        <v>461.66666666666902</v>
      </c>
      <c r="AQ254" s="37">
        <f>'הזנת נתונים'!AP66</f>
        <v>472.66666666666902</v>
      </c>
      <c r="AR254" s="37">
        <f>'הזנת נתונים'!AQ66</f>
        <v>483.66666666666902</v>
      </c>
      <c r="AS254" s="37">
        <f>'הזנת נתונים'!AR66</f>
        <v>494.66666666666902</v>
      </c>
      <c r="AT254" s="37">
        <f>'הזנת נתונים'!AS66</f>
        <v>505.66666666666799</v>
      </c>
      <c r="AU254" s="37">
        <f>'הזנת נתונים'!AT66</f>
        <v>516.66666666666902</v>
      </c>
      <c r="AV254" s="37">
        <f>'הזנת נתונים'!AU66</f>
        <v>527.66666666666902</v>
      </c>
      <c r="AW254" s="37">
        <f>'הזנת נתונים'!AV66</f>
        <v>538.66666666666902</v>
      </c>
      <c r="AX254" s="37">
        <f>'הזנת נתונים'!AW66</f>
        <v>549.66666666666902</v>
      </c>
      <c r="AY254" s="37">
        <f>'הזנת נתונים'!AX66</f>
        <v>560.66666666666902</v>
      </c>
      <c r="AZ254" s="37">
        <f>'הזנת נתונים'!AY66</f>
        <v>571.66666666666902</v>
      </c>
      <c r="BA254" s="37">
        <f>'הזנת נתונים'!AZ66</f>
        <v>582.66666666666902</v>
      </c>
      <c r="BB254" s="37">
        <f>'הזנת נתונים'!BA66</f>
        <v>593.66666666666902</v>
      </c>
      <c r="BC254" s="37">
        <f>'הזנת נתונים'!BB66</f>
        <v>604.66666666666902</v>
      </c>
      <c r="BD254" s="37">
        <f>'הזנת נתונים'!BC66</f>
        <v>615.66666666666902</v>
      </c>
      <c r="BE254" s="37">
        <f>'הזנת נתונים'!BD66</f>
        <v>626.66666666666902</v>
      </c>
      <c r="BF254" s="37">
        <f>'הזנת נתונים'!BE66</f>
        <v>637.66666666666902</v>
      </c>
      <c r="BG254" s="37">
        <f>'הזנת נתונים'!BF66</f>
        <v>648.66666666666902</v>
      </c>
      <c r="BH254" s="37">
        <f>'הזנת נתונים'!BG66</f>
        <v>659.66666666666902</v>
      </c>
      <c r="BI254" s="37">
        <f>'הזנת נתונים'!BH66</f>
        <v>670.66666666666902</v>
      </c>
    </row>
    <row r="255" spans="1:63" x14ac:dyDescent="0.25">
      <c r="A255" s="13" t="s">
        <v>2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>
        <f t="shared" ref="T255:BI255" si="434">AVERAGE(B254:T254)</f>
        <v>121.0877192982458</v>
      </c>
      <c r="U255">
        <f t="shared" si="434"/>
        <v>131.75438596491247</v>
      </c>
      <c r="V255">
        <f t="shared" si="434"/>
        <v>142.63157894736864</v>
      </c>
      <c r="W255">
        <f t="shared" si="434"/>
        <v>153.82456140350899</v>
      </c>
      <c r="X255">
        <f t="shared" si="434"/>
        <v>164.8070175438599</v>
      </c>
      <c r="Y255">
        <f t="shared" si="434"/>
        <v>175.57894736842132</v>
      </c>
      <c r="Z255">
        <f t="shared" si="434"/>
        <v>186.666666666667</v>
      </c>
      <c r="AA255">
        <f t="shared" si="434"/>
        <v>197.66666666666706</v>
      </c>
      <c r="AB255">
        <f t="shared" si="434"/>
        <v>208.66666666666714</v>
      </c>
      <c r="AC255">
        <f t="shared" si="434"/>
        <v>219.6666666666672</v>
      </c>
      <c r="AD255">
        <f t="shared" si="434"/>
        <v>230.66666666666725</v>
      </c>
      <c r="AE255">
        <f t="shared" si="434"/>
        <v>241.66666666666731</v>
      </c>
      <c r="AF255">
        <f t="shared" si="434"/>
        <v>252.66666666666734</v>
      </c>
      <c r="AG255">
        <f t="shared" si="434"/>
        <v>263.66666666666742</v>
      </c>
      <c r="AH255">
        <f t="shared" si="434"/>
        <v>274.66666666666742</v>
      </c>
      <c r="AI255">
        <f t="shared" si="434"/>
        <v>285.66666666666748</v>
      </c>
      <c r="AJ255">
        <f t="shared" si="434"/>
        <v>296.66666666666754</v>
      </c>
      <c r="AK255">
        <f t="shared" si="434"/>
        <v>307.6666666666676</v>
      </c>
      <c r="AL255">
        <f t="shared" si="434"/>
        <v>318.66666666666765</v>
      </c>
      <c r="AM255">
        <f t="shared" si="434"/>
        <v>329.66666666666771</v>
      </c>
      <c r="AN255">
        <f t="shared" si="434"/>
        <v>340.66666666666782</v>
      </c>
      <c r="AO255">
        <f t="shared" si="434"/>
        <v>351.66666666666794</v>
      </c>
      <c r="AP255">
        <f t="shared" si="434"/>
        <v>362.66666666666805</v>
      </c>
      <c r="AQ255">
        <f t="shared" si="434"/>
        <v>373.66666666666811</v>
      </c>
      <c r="AR255">
        <f t="shared" si="434"/>
        <v>384.66666666666822</v>
      </c>
      <c r="AS255">
        <f t="shared" si="434"/>
        <v>395.66666666666828</v>
      </c>
      <c r="AT255">
        <f t="shared" si="434"/>
        <v>406.66666666666828</v>
      </c>
      <c r="AU255">
        <f t="shared" si="434"/>
        <v>417.66666666666833</v>
      </c>
      <c r="AV255">
        <f t="shared" si="434"/>
        <v>428.66666666666833</v>
      </c>
      <c r="AW255">
        <f t="shared" si="434"/>
        <v>439.66666666666845</v>
      </c>
      <c r="AX255">
        <f t="shared" si="434"/>
        <v>450.66666666666845</v>
      </c>
      <c r="AY255">
        <f t="shared" si="434"/>
        <v>461.66666666666856</v>
      </c>
      <c r="AZ255">
        <f t="shared" si="434"/>
        <v>472.66666666666862</v>
      </c>
      <c r="BA255">
        <f t="shared" si="434"/>
        <v>483.66666666666862</v>
      </c>
      <c r="BB255">
        <f t="shared" si="434"/>
        <v>494.66666666666873</v>
      </c>
      <c r="BC255">
        <f t="shared" si="434"/>
        <v>505.66666666666885</v>
      </c>
      <c r="BD255">
        <f t="shared" si="434"/>
        <v>516.66666666666879</v>
      </c>
      <c r="BE255">
        <f t="shared" si="434"/>
        <v>527.6666666666689</v>
      </c>
      <c r="BF255">
        <f t="shared" si="434"/>
        <v>538.6666666666689</v>
      </c>
      <c r="BG255">
        <f t="shared" si="434"/>
        <v>549.6666666666689</v>
      </c>
      <c r="BH255">
        <f t="shared" si="434"/>
        <v>560.6666666666689</v>
      </c>
      <c r="BI255">
        <f t="shared" si="434"/>
        <v>571.66666666666902</v>
      </c>
    </row>
    <row r="256" spans="1:63" x14ac:dyDescent="0.25">
      <c r="A256" s="13" t="s">
        <v>9</v>
      </c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>
        <f t="shared" ref="U256:BI256" si="435">T255</f>
        <v>121.0877192982458</v>
      </c>
      <c r="V256" s="7">
        <f t="shared" si="435"/>
        <v>131.75438596491247</v>
      </c>
      <c r="W256" s="7">
        <f t="shared" si="435"/>
        <v>142.63157894736864</v>
      </c>
      <c r="X256" s="7">
        <f t="shared" si="435"/>
        <v>153.82456140350899</v>
      </c>
      <c r="Y256" s="7">
        <f t="shared" si="435"/>
        <v>164.8070175438599</v>
      </c>
      <c r="Z256" s="7">
        <f t="shared" si="435"/>
        <v>175.57894736842132</v>
      </c>
      <c r="AA256" s="7">
        <f t="shared" si="435"/>
        <v>186.666666666667</v>
      </c>
      <c r="AB256" s="7">
        <f t="shared" si="435"/>
        <v>197.66666666666706</v>
      </c>
      <c r="AC256" s="7">
        <f t="shared" si="435"/>
        <v>208.66666666666714</v>
      </c>
      <c r="AD256" s="7">
        <f t="shared" si="435"/>
        <v>219.6666666666672</v>
      </c>
      <c r="AE256" s="7">
        <f t="shared" si="435"/>
        <v>230.66666666666725</v>
      </c>
      <c r="AF256" s="7">
        <f t="shared" si="435"/>
        <v>241.66666666666731</v>
      </c>
      <c r="AG256" s="7">
        <f t="shared" si="435"/>
        <v>252.66666666666734</v>
      </c>
      <c r="AH256" s="7">
        <f t="shared" si="435"/>
        <v>263.66666666666742</v>
      </c>
      <c r="AI256" s="7">
        <f t="shared" si="435"/>
        <v>274.66666666666742</v>
      </c>
      <c r="AJ256" s="7">
        <f t="shared" si="435"/>
        <v>285.66666666666748</v>
      </c>
      <c r="AK256" s="7">
        <f t="shared" si="435"/>
        <v>296.66666666666754</v>
      </c>
      <c r="AL256" s="7">
        <f t="shared" si="435"/>
        <v>307.6666666666676</v>
      </c>
      <c r="AM256" s="7">
        <f t="shared" si="435"/>
        <v>318.66666666666765</v>
      </c>
      <c r="AN256" s="7">
        <f t="shared" si="435"/>
        <v>329.66666666666771</v>
      </c>
      <c r="AO256" s="7">
        <f t="shared" si="435"/>
        <v>340.66666666666782</v>
      </c>
      <c r="AP256" s="7">
        <f t="shared" si="435"/>
        <v>351.66666666666794</v>
      </c>
      <c r="AQ256" s="7">
        <f t="shared" si="435"/>
        <v>362.66666666666805</v>
      </c>
      <c r="AR256" s="7">
        <f t="shared" si="435"/>
        <v>373.66666666666811</v>
      </c>
      <c r="AS256" s="7">
        <f t="shared" si="435"/>
        <v>384.66666666666822</v>
      </c>
      <c r="AT256" s="7">
        <f t="shared" si="435"/>
        <v>395.66666666666828</v>
      </c>
      <c r="AU256" s="7">
        <f t="shared" si="435"/>
        <v>406.66666666666828</v>
      </c>
      <c r="AV256" s="7">
        <f t="shared" si="435"/>
        <v>417.66666666666833</v>
      </c>
      <c r="AW256" s="7">
        <f t="shared" si="435"/>
        <v>428.66666666666833</v>
      </c>
      <c r="AX256" s="7">
        <f t="shared" si="435"/>
        <v>439.66666666666845</v>
      </c>
      <c r="AY256" s="7">
        <f t="shared" si="435"/>
        <v>450.66666666666845</v>
      </c>
      <c r="AZ256" s="7">
        <f t="shared" si="435"/>
        <v>461.66666666666856</v>
      </c>
      <c r="BA256" s="7">
        <f t="shared" si="435"/>
        <v>472.66666666666862</v>
      </c>
      <c r="BB256" s="7">
        <f t="shared" si="435"/>
        <v>483.66666666666862</v>
      </c>
      <c r="BC256" s="7">
        <f t="shared" si="435"/>
        <v>494.66666666666873</v>
      </c>
      <c r="BD256" s="7">
        <f t="shared" si="435"/>
        <v>505.66666666666885</v>
      </c>
      <c r="BE256" s="7">
        <f t="shared" si="435"/>
        <v>516.66666666666879</v>
      </c>
      <c r="BF256" s="7">
        <f t="shared" si="435"/>
        <v>527.6666666666689</v>
      </c>
      <c r="BG256" s="7">
        <f t="shared" si="435"/>
        <v>538.6666666666689</v>
      </c>
      <c r="BH256" s="7">
        <f t="shared" si="435"/>
        <v>549.6666666666689</v>
      </c>
      <c r="BI256" s="7">
        <f t="shared" si="435"/>
        <v>560.6666666666689</v>
      </c>
    </row>
    <row r="257" spans="1:63" x14ac:dyDescent="0.25">
      <c r="A257" s="13" t="s">
        <v>4</v>
      </c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>
        <f t="shared" ref="U257" si="436">U256-U254</f>
        <v>-109.5789473684212</v>
      </c>
      <c r="V257" s="7">
        <f t="shared" ref="V257" si="437">V256-V254</f>
        <v>-109.91228070175453</v>
      </c>
      <c r="W257" s="7">
        <f t="shared" ref="W257" si="438">W256-W254</f>
        <v>-110.03508771929836</v>
      </c>
      <c r="X257" s="7">
        <f t="shared" ref="X257" si="439">X256-X254</f>
        <v>-109.84210526315803</v>
      </c>
      <c r="Y257" s="7">
        <f t="shared" ref="Y257" si="440">Y256-Y254</f>
        <v>-109.85964912280713</v>
      </c>
      <c r="Z257" s="7">
        <f t="shared" ref="Z257" si="441">Z256-Z254</f>
        <v>-110.08771929824667</v>
      </c>
      <c r="AA257" s="7">
        <f t="shared" ref="AA257" si="442">AA256-AA254</f>
        <v>-110.00000000000099</v>
      </c>
      <c r="AB257" s="7">
        <f t="shared" ref="AB257" si="443">AB256-AB254</f>
        <v>-110.00000000000094</v>
      </c>
      <c r="AC257" s="7">
        <f t="shared" ref="AC257" si="444">AC256-AC254</f>
        <v>-110.00000000000085</v>
      </c>
      <c r="AD257" s="7">
        <f t="shared" ref="AD257" si="445">AD256-AD254</f>
        <v>-110.0000000000008</v>
      </c>
      <c r="AE257" s="7">
        <f t="shared" ref="AE257" si="446">AE256-AE254</f>
        <v>-110.00000000000074</v>
      </c>
      <c r="AF257" s="7">
        <f t="shared" ref="AF257" si="447">AF256-AF254</f>
        <v>-110.00000000000068</v>
      </c>
      <c r="AG257" s="7">
        <f t="shared" ref="AG257" si="448">AG256-AG254</f>
        <v>-110.00000000000065</v>
      </c>
      <c r="AH257" s="7">
        <f t="shared" ref="AH257" si="449">AH256-AH254</f>
        <v>-110.00000000000057</v>
      </c>
      <c r="AI257" s="7">
        <f t="shared" ref="AI257" si="450">AI256-AI254</f>
        <v>-110.00000000000057</v>
      </c>
      <c r="AJ257" s="7">
        <f t="shared" ref="AJ257" si="451">AJ256-AJ254</f>
        <v>-110.00000000000051</v>
      </c>
      <c r="AK257" s="7">
        <f t="shared" ref="AK257" si="452">AK256-AK254</f>
        <v>-110.00000000000045</v>
      </c>
      <c r="AL257" s="7">
        <f t="shared" ref="AL257" si="453">AL256-AL254</f>
        <v>-110.0000000000004</v>
      </c>
      <c r="AM257" s="7">
        <f t="shared" ref="AM257" si="454">AM256-AM254</f>
        <v>-110.00000000000136</v>
      </c>
      <c r="AN257" s="7">
        <f t="shared" ref="AN257" si="455">AN256-AN254</f>
        <v>-110.00000000000131</v>
      </c>
      <c r="AO257" s="7">
        <f t="shared" ref="AO257" si="456">AO256-AO254</f>
        <v>-110.00000000000119</v>
      </c>
      <c r="AP257" s="7">
        <f t="shared" ref="AP257" si="457">AP256-AP254</f>
        <v>-110.00000000000108</v>
      </c>
      <c r="AQ257" s="7">
        <f t="shared" ref="AQ257" si="458">AQ256-AQ254</f>
        <v>-110.00000000000097</v>
      </c>
      <c r="AR257" s="7">
        <f t="shared" ref="AR257" si="459">AR256-AR254</f>
        <v>-110.00000000000091</v>
      </c>
      <c r="AS257" s="7">
        <f t="shared" ref="AS257" si="460">AS256-AS254</f>
        <v>-110.0000000000008</v>
      </c>
      <c r="AT257" s="7">
        <f t="shared" ref="AT257" si="461">AT256-AT254</f>
        <v>-109.99999999999972</v>
      </c>
      <c r="AU257" s="7">
        <f t="shared" ref="AU257" si="462">AU256-AU254</f>
        <v>-110.00000000000074</v>
      </c>
      <c r="AV257" s="7">
        <f t="shared" ref="AV257" si="463">AV256-AV254</f>
        <v>-110.00000000000068</v>
      </c>
      <c r="AW257" s="7">
        <f t="shared" ref="AW257" si="464">AW256-AW254</f>
        <v>-110.00000000000068</v>
      </c>
      <c r="AX257" s="7">
        <f t="shared" ref="AX257" si="465">AX256-AX254</f>
        <v>-110.00000000000057</v>
      </c>
      <c r="AY257" s="7">
        <f t="shared" ref="AY257" si="466">AY256-AY254</f>
        <v>-110.00000000000057</v>
      </c>
      <c r="AZ257" s="7">
        <f t="shared" ref="AZ257" si="467">AZ256-AZ254</f>
        <v>-110.00000000000045</v>
      </c>
      <c r="BA257" s="7">
        <f t="shared" ref="BA257" si="468">BA256-BA254</f>
        <v>-110.0000000000004</v>
      </c>
      <c r="BB257" s="7">
        <f t="shared" ref="BB257" si="469">BB256-BB254</f>
        <v>-110.0000000000004</v>
      </c>
      <c r="BC257" s="7">
        <f t="shared" ref="BC257" si="470">BC256-BC254</f>
        <v>-110.00000000000028</v>
      </c>
      <c r="BD257" s="7">
        <f t="shared" ref="BD257" si="471">BD256-BD254</f>
        <v>-110.00000000000017</v>
      </c>
      <c r="BE257" s="7">
        <f t="shared" ref="BE257" si="472">BE256-BE254</f>
        <v>-110.00000000000023</v>
      </c>
      <c r="BF257" s="7">
        <f t="shared" ref="BF257" si="473">BF256-BF254</f>
        <v>-110.00000000000011</v>
      </c>
      <c r="BG257" s="7">
        <f t="shared" ref="BG257" si="474">BG256-BG254</f>
        <v>-110.00000000000011</v>
      </c>
      <c r="BH257" s="7">
        <f t="shared" ref="BH257" si="475">BH256-BH254</f>
        <v>-110.00000000000011</v>
      </c>
      <c r="BI257" s="7">
        <f t="shared" ref="BI257" si="476">BI256-BI254</f>
        <v>-110.00000000000011</v>
      </c>
    </row>
    <row r="258" spans="1:63" x14ac:dyDescent="0.25">
      <c r="A258" s="13" t="s">
        <v>12</v>
      </c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>
        <f t="shared" ref="U258" si="477">U257^2</f>
        <v>12007.545706371222</v>
      </c>
      <c r="V258" s="7">
        <f t="shared" ref="V258" si="478">V257^2</f>
        <v>12080.70944906128</v>
      </c>
      <c r="W258" s="7">
        <f t="shared" ref="W258" si="479">W257^2</f>
        <v>12107.720529393684</v>
      </c>
      <c r="X258" s="7">
        <f t="shared" ref="X258" si="480">X257^2</f>
        <v>12065.28808864269</v>
      </c>
      <c r="Y258" s="7">
        <f t="shared" ref="Y258" si="481">Y257^2</f>
        <v>12069.142505386297</v>
      </c>
      <c r="Z258" s="7">
        <f t="shared" ref="Z258" si="482">Z257^2</f>
        <v>12119.305940289552</v>
      </c>
      <c r="AA258" s="7">
        <f t="shared" ref="AA258" si="483">AA257^2</f>
        <v>12100.000000000218</v>
      </c>
      <c r="AB258" s="7">
        <f t="shared" ref="AB258" si="484">AB257^2</f>
        <v>12100.000000000206</v>
      </c>
      <c r="AC258" s="7">
        <f t="shared" ref="AC258" si="485">AC257^2</f>
        <v>12100.000000000187</v>
      </c>
      <c r="AD258" s="7">
        <f t="shared" ref="AD258" si="486">AD257^2</f>
        <v>12100.000000000175</v>
      </c>
      <c r="AE258" s="7">
        <f t="shared" ref="AE258" si="487">AE257^2</f>
        <v>12100.000000000162</v>
      </c>
      <c r="AF258" s="7">
        <f t="shared" ref="AF258" si="488">AF257^2</f>
        <v>12100.000000000149</v>
      </c>
      <c r="AG258" s="7">
        <f t="shared" ref="AG258" si="489">AG257^2</f>
        <v>12100.000000000144</v>
      </c>
      <c r="AH258" s="7">
        <f t="shared" ref="AH258" si="490">AH257^2</f>
        <v>12100.000000000126</v>
      </c>
      <c r="AI258" s="7">
        <f t="shared" ref="AI258" si="491">AI257^2</f>
        <v>12100.000000000126</v>
      </c>
      <c r="AJ258" s="7">
        <f t="shared" ref="AJ258" si="492">AJ257^2</f>
        <v>12100.000000000113</v>
      </c>
      <c r="AK258" s="7">
        <f t="shared" ref="AK258" si="493">AK257^2</f>
        <v>12100.0000000001</v>
      </c>
      <c r="AL258" s="7">
        <f t="shared" ref="AL258" si="494">AL257^2</f>
        <v>12100.000000000087</v>
      </c>
      <c r="AM258" s="7">
        <f t="shared" ref="AM258" si="495">AM257^2</f>
        <v>12100.0000000003</v>
      </c>
      <c r="AN258" s="7">
        <f t="shared" ref="AN258" si="496">AN257^2</f>
        <v>12100.000000000287</v>
      </c>
      <c r="AO258" s="7">
        <f t="shared" ref="AO258" si="497">AO257^2</f>
        <v>12100.000000000262</v>
      </c>
      <c r="AP258" s="7">
        <f t="shared" ref="AP258" si="498">AP257^2</f>
        <v>12100.000000000238</v>
      </c>
      <c r="AQ258" s="7">
        <f t="shared" ref="AQ258" si="499">AQ257^2</f>
        <v>12100.000000000213</v>
      </c>
      <c r="AR258" s="7">
        <f t="shared" ref="AR258" si="500">AR257^2</f>
        <v>12100.0000000002</v>
      </c>
      <c r="AS258" s="7">
        <f t="shared" ref="AS258" si="501">AS257^2</f>
        <v>12100.000000000175</v>
      </c>
      <c r="AT258" s="7">
        <f t="shared" ref="AT258" si="502">AT257^2</f>
        <v>12099.999999999938</v>
      </c>
      <c r="AU258" s="7">
        <f t="shared" ref="AU258" si="503">AU257^2</f>
        <v>12100.000000000162</v>
      </c>
      <c r="AV258" s="7">
        <f t="shared" ref="AV258" si="504">AV257^2</f>
        <v>12100.000000000149</v>
      </c>
      <c r="AW258" s="7">
        <f t="shared" ref="AW258" si="505">AW257^2</f>
        <v>12100.000000000149</v>
      </c>
      <c r="AX258" s="7">
        <f t="shared" ref="AX258" si="506">AX257^2</f>
        <v>12100.000000000126</v>
      </c>
      <c r="AY258" s="7">
        <f t="shared" ref="AY258" si="507">AY257^2</f>
        <v>12100.000000000126</v>
      </c>
      <c r="AZ258" s="7">
        <f t="shared" ref="AZ258" si="508">AZ257^2</f>
        <v>12100.0000000001</v>
      </c>
      <c r="BA258" s="7">
        <f t="shared" ref="BA258" si="509">BA257^2</f>
        <v>12100.000000000087</v>
      </c>
      <c r="BB258" s="7">
        <f t="shared" ref="BB258" si="510">BB257^2</f>
        <v>12100.000000000087</v>
      </c>
      <c r="BC258" s="7">
        <f t="shared" ref="BC258" si="511">BC257^2</f>
        <v>12100.000000000062</v>
      </c>
      <c r="BD258" s="7">
        <f t="shared" ref="BD258" si="512">BD257^2</f>
        <v>12100.000000000038</v>
      </c>
      <c r="BE258" s="7">
        <f t="shared" ref="BE258" si="513">BE257^2</f>
        <v>12100.000000000051</v>
      </c>
      <c r="BF258" s="7">
        <f t="shared" ref="BF258" si="514">BF257^2</f>
        <v>12100.000000000025</v>
      </c>
      <c r="BG258" s="7">
        <f t="shared" ref="BG258" si="515">BG257^2</f>
        <v>12100.000000000025</v>
      </c>
      <c r="BH258" s="7">
        <f t="shared" ref="BH258" si="516">BH257^2</f>
        <v>12100.000000000025</v>
      </c>
      <c r="BI258" s="7">
        <f t="shared" ref="BI258" si="517">BI257^2</f>
        <v>12100.000000000025</v>
      </c>
    </row>
    <row r="259" spans="1:63" x14ac:dyDescent="0.25">
      <c r="A259" s="38" t="s">
        <v>11</v>
      </c>
      <c r="B259" s="38">
        <v>19</v>
      </c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3" x14ac:dyDescent="0.25">
      <c r="A260" s="8" t="s">
        <v>5</v>
      </c>
      <c r="B260" s="8">
        <f>AVERAGE(G258:BI258)</f>
        <v>12096.334444369497</v>
      </c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3" x14ac:dyDescent="0.25">
      <c r="A261" s="7" t="s">
        <v>7</v>
      </c>
      <c r="B261" s="7">
        <f>SUM(AQ254:BI254)/B259</f>
        <v>571.66666666666902</v>
      </c>
    </row>
    <row r="262" spans="1:63" x14ac:dyDescent="0.25">
      <c r="A262" s="31" t="s">
        <v>6</v>
      </c>
      <c r="B262" s="7" t="s">
        <v>62</v>
      </c>
      <c r="C262" s="7">
        <v>61</v>
      </c>
      <c r="D262" s="7">
        <v>62</v>
      </c>
      <c r="E262" s="7">
        <v>63</v>
      </c>
      <c r="F262" s="7">
        <v>64</v>
      </c>
      <c r="G262" s="7">
        <v>65</v>
      </c>
      <c r="H262" s="7">
        <v>66</v>
      </c>
      <c r="I262" s="7">
        <v>67</v>
      </c>
      <c r="J262" s="7">
        <v>68</v>
      </c>
      <c r="K262" s="7">
        <v>69</v>
      </c>
      <c r="L262" s="7">
        <v>70</v>
      </c>
      <c r="M262" s="7">
        <v>71</v>
      </c>
      <c r="N262" s="7">
        <v>72</v>
      </c>
    </row>
    <row r="263" spans="1:63" x14ac:dyDescent="0.25">
      <c r="C263" s="7">
        <f>$B$261</f>
        <v>571.66666666666902</v>
      </c>
      <c r="D263" s="7">
        <f t="shared" ref="D263:N263" si="518">$B$261</f>
        <v>571.66666666666902</v>
      </c>
      <c r="E263" s="7">
        <f t="shared" si="518"/>
        <v>571.66666666666902</v>
      </c>
      <c r="F263" s="7">
        <f t="shared" si="518"/>
        <v>571.66666666666902</v>
      </c>
      <c r="G263" s="7">
        <f t="shared" si="518"/>
        <v>571.66666666666902</v>
      </c>
      <c r="H263" s="7">
        <f t="shared" si="518"/>
        <v>571.66666666666902</v>
      </c>
      <c r="I263" s="7">
        <f t="shared" si="518"/>
        <v>571.66666666666902</v>
      </c>
      <c r="J263" s="7">
        <f t="shared" si="518"/>
        <v>571.66666666666902</v>
      </c>
      <c r="K263" s="7">
        <f t="shared" si="518"/>
        <v>571.66666666666902</v>
      </c>
      <c r="L263" s="7">
        <f t="shared" si="518"/>
        <v>571.66666666666902</v>
      </c>
      <c r="M263" s="7">
        <f t="shared" si="518"/>
        <v>571.66666666666902</v>
      </c>
      <c r="N263" s="7">
        <f t="shared" si="518"/>
        <v>571.66666666666902</v>
      </c>
    </row>
    <row r="266" spans="1:63" x14ac:dyDescent="0.25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</row>
    <row r="268" spans="1:63" x14ac:dyDescent="0.25">
      <c r="A268" s="13" t="s">
        <v>1</v>
      </c>
      <c r="B268" s="13">
        <v>1</v>
      </c>
      <c r="C268" s="13">
        <v>2</v>
      </c>
      <c r="D268" s="13">
        <v>3</v>
      </c>
      <c r="E268" s="13">
        <v>4</v>
      </c>
      <c r="F268" s="13">
        <v>5</v>
      </c>
      <c r="G268" s="13">
        <v>6</v>
      </c>
      <c r="H268" s="13">
        <v>7</v>
      </c>
      <c r="I268" s="13">
        <v>8</v>
      </c>
      <c r="J268" s="13">
        <v>9</v>
      </c>
      <c r="K268" s="13">
        <v>10</v>
      </c>
      <c r="L268" s="13">
        <v>11</v>
      </c>
      <c r="M268" s="13">
        <v>12</v>
      </c>
      <c r="N268" s="13">
        <v>13</v>
      </c>
      <c r="O268" s="13">
        <v>14</v>
      </c>
      <c r="P268" s="13">
        <v>15</v>
      </c>
      <c r="Q268" s="13">
        <v>16</v>
      </c>
      <c r="R268" s="13">
        <v>17</v>
      </c>
      <c r="S268" s="13">
        <v>18</v>
      </c>
      <c r="T268" s="13">
        <v>19</v>
      </c>
      <c r="U268" s="13">
        <v>20</v>
      </c>
      <c r="V268" s="13">
        <v>21</v>
      </c>
      <c r="W268" s="13">
        <v>22</v>
      </c>
      <c r="X268" s="13">
        <v>23</v>
      </c>
      <c r="Y268" s="13">
        <v>24</v>
      </c>
      <c r="Z268" s="13">
        <v>25</v>
      </c>
      <c r="AA268" s="13">
        <v>26</v>
      </c>
      <c r="AB268" s="13">
        <v>27</v>
      </c>
      <c r="AC268" s="13">
        <v>28</v>
      </c>
      <c r="AD268" s="13">
        <v>29</v>
      </c>
      <c r="AE268" s="13">
        <v>30</v>
      </c>
      <c r="AF268" s="13">
        <v>31</v>
      </c>
      <c r="AG268" s="13">
        <v>32</v>
      </c>
      <c r="AH268" s="13">
        <v>33</v>
      </c>
      <c r="AI268" s="13">
        <v>34</v>
      </c>
      <c r="AJ268" s="13">
        <v>35</v>
      </c>
      <c r="AK268" s="13">
        <v>36</v>
      </c>
      <c r="AL268" s="13">
        <v>37</v>
      </c>
      <c r="AM268" s="13">
        <v>38</v>
      </c>
      <c r="AN268" s="13">
        <v>39</v>
      </c>
      <c r="AO268" s="13">
        <v>40</v>
      </c>
      <c r="AP268" s="13">
        <v>41</v>
      </c>
      <c r="AQ268" s="13">
        <v>42</v>
      </c>
      <c r="AR268" s="13">
        <v>43</v>
      </c>
      <c r="AS268" s="13">
        <v>44</v>
      </c>
      <c r="AT268" s="13">
        <v>45</v>
      </c>
      <c r="AU268" s="13">
        <v>46</v>
      </c>
      <c r="AV268" s="13">
        <v>47</v>
      </c>
      <c r="AW268" s="13">
        <v>48</v>
      </c>
      <c r="AX268" s="13">
        <v>49</v>
      </c>
      <c r="AY268" s="13">
        <v>50</v>
      </c>
      <c r="AZ268" s="13">
        <v>51</v>
      </c>
      <c r="BA268" s="13">
        <v>52</v>
      </c>
      <c r="BB268" s="13">
        <v>53</v>
      </c>
      <c r="BC268" s="13">
        <v>54</v>
      </c>
      <c r="BD268" s="13">
        <v>55</v>
      </c>
      <c r="BE268" s="13">
        <v>56</v>
      </c>
      <c r="BF268" s="13">
        <v>57</v>
      </c>
      <c r="BG268" s="13">
        <v>58</v>
      </c>
      <c r="BH268" s="13">
        <v>59</v>
      </c>
      <c r="BI268" s="13">
        <v>60</v>
      </c>
    </row>
    <row r="269" spans="1:63" x14ac:dyDescent="0.25">
      <c r="A269" s="13" t="s">
        <v>0</v>
      </c>
      <c r="B269" s="37">
        <f>'הזנת נתונים'!A66</f>
        <v>28</v>
      </c>
      <c r="C269" s="37">
        <f>'הזנת נתונים'!B66</f>
        <v>35</v>
      </c>
      <c r="D269" s="37">
        <f>'הזנת נתונים'!C66</f>
        <v>40</v>
      </c>
      <c r="E269" s="37">
        <f>'הזנת נתונים'!D66</f>
        <v>55</v>
      </c>
      <c r="F269" s="37">
        <f>'הזנת נתונים'!E66</f>
        <v>70</v>
      </c>
      <c r="G269" s="37">
        <f>'הזנת נתונים'!F66</f>
        <v>75</v>
      </c>
      <c r="H269" s="37">
        <f>'הזנת נתונים'!G66</f>
        <v>87.6666666666667</v>
      </c>
      <c r="I269" s="37">
        <f>'הזנת נתונים'!H66</f>
        <v>98.6666666666667</v>
      </c>
      <c r="J269" s="37">
        <f>'הזנת נתונים'!I66</f>
        <v>109.666666666667</v>
      </c>
      <c r="K269" s="37">
        <f>'הזנת נתונים'!J66</f>
        <v>120.666666666667</v>
      </c>
      <c r="L269" s="37">
        <f>'הזנת נתונים'!K66</f>
        <v>131.666666666667</v>
      </c>
      <c r="M269" s="37">
        <f>'הזנת נתונים'!L66</f>
        <v>142.666666666667</v>
      </c>
      <c r="N269" s="37">
        <f>'הזנת נתונים'!M66</f>
        <v>153.666666666667</v>
      </c>
      <c r="O269" s="37">
        <f>'הזנת נתונים'!N66</f>
        <v>164.666666666667</v>
      </c>
      <c r="P269" s="37">
        <f>'הזנת נתונים'!O66</f>
        <v>175.666666666667</v>
      </c>
      <c r="Q269" s="37">
        <f>'הזנת נתונים'!P66</f>
        <v>186.666666666667</v>
      </c>
      <c r="R269" s="37">
        <f>'הזנת נתונים'!Q66</f>
        <v>197.666666666667</v>
      </c>
      <c r="S269" s="37">
        <f>'הזנת נתונים'!R66</f>
        <v>208.666666666667</v>
      </c>
      <c r="T269" s="37">
        <f>'הזנת נתונים'!S66</f>
        <v>219.666666666667</v>
      </c>
      <c r="U269" s="37">
        <f>'הזנת נתונים'!T66</f>
        <v>230.666666666667</v>
      </c>
      <c r="V269" s="37">
        <f>'הזנת נתונים'!U66</f>
        <v>241.666666666667</v>
      </c>
      <c r="W269" s="37">
        <f>'הזנת נתונים'!V66</f>
        <v>252.666666666667</v>
      </c>
      <c r="X269" s="37">
        <f>'הזנת נתונים'!W66</f>
        <v>263.66666666666703</v>
      </c>
      <c r="Y269" s="37">
        <f>'הזנת נתונים'!X66</f>
        <v>274.66666666666703</v>
      </c>
      <c r="Z269" s="37">
        <f>'הזנת נתונים'!Y66</f>
        <v>285.66666666666799</v>
      </c>
      <c r="AA269" s="37">
        <f>'הזנת נתונים'!Z66</f>
        <v>296.66666666666799</v>
      </c>
      <c r="AB269" s="37">
        <f>'הזנת נתונים'!AA66</f>
        <v>307.66666666666799</v>
      </c>
      <c r="AC269" s="37">
        <f>'הזנת נתונים'!AB66</f>
        <v>318.66666666666799</v>
      </c>
      <c r="AD269" s="37">
        <f>'הזנת נתונים'!AC66</f>
        <v>329.66666666666799</v>
      </c>
      <c r="AE269" s="37">
        <f>'הזנת נתונים'!AD66</f>
        <v>340.66666666666799</v>
      </c>
      <c r="AF269" s="37">
        <f>'הזנת נתונים'!AE66</f>
        <v>351.66666666666799</v>
      </c>
      <c r="AG269" s="37">
        <f>'הזנת נתונים'!AF66</f>
        <v>362.66666666666799</v>
      </c>
      <c r="AH269" s="37">
        <f>'הזנת נתונים'!AG66</f>
        <v>373.66666666666799</v>
      </c>
      <c r="AI269" s="37">
        <f>'הזנת נתונים'!AH66</f>
        <v>384.66666666666799</v>
      </c>
      <c r="AJ269" s="37">
        <f>'הזנת נתונים'!AI66</f>
        <v>395.66666666666799</v>
      </c>
      <c r="AK269" s="37">
        <f>'הזנת נתונים'!AJ66</f>
        <v>406.66666666666799</v>
      </c>
      <c r="AL269" s="37">
        <f>'הזנת נתונים'!AK66</f>
        <v>417.66666666666799</v>
      </c>
      <c r="AM269" s="37">
        <f>'הזנת נתונים'!AL66</f>
        <v>428.66666666666902</v>
      </c>
      <c r="AN269" s="37">
        <f>'הזנת נתונים'!AM66</f>
        <v>439.66666666666902</v>
      </c>
      <c r="AO269" s="37">
        <f>'הזנת נתונים'!AN66</f>
        <v>450.66666666666902</v>
      </c>
      <c r="AP269" s="37">
        <f>'הזנת נתונים'!AO66</f>
        <v>461.66666666666902</v>
      </c>
      <c r="AQ269" s="37">
        <f>'הזנת נתונים'!AP66</f>
        <v>472.66666666666902</v>
      </c>
      <c r="AR269" s="37">
        <f>'הזנת נתונים'!AQ66</f>
        <v>483.66666666666902</v>
      </c>
      <c r="AS269" s="37">
        <f>'הזנת נתונים'!AR66</f>
        <v>494.66666666666902</v>
      </c>
      <c r="AT269" s="37">
        <f>'הזנת נתונים'!AS66</f>
        <v>505.66666666666799</v>
      </c>
      <c r="AU269" s="37">
        <f>'הזנת נתונים'!AT66</f>
        <v>516.66666666666902</v>
      </c>
      <c r="AV269" s="37">
        <f>'הזנת נתונים'!AU66</f>
        <v>527.66666666666902</v>
      </c>
      <c r="AW269" s="37">
        <f>'הזנת נתונים'!AV66</f>
        <v>538.66666666666902</v>
      </c>
      <c r="AX269" s="37">
        <f>'הזנת נתונים'!AW66</f>
        <v>549.66666666666902</v>
      </c>
      <c r="AY269" s="37">
        <f>'הזנת נתונים'!AX66</f>
        <v>560.66666666666902</v>
      </c>
      <c r="AZ269" s="37">
        <f>'הזנת נתונים'!AY66</f>
        <v>571.66666666666902</v>
      </c>
      <c r="BA269" s="37">
        <f>'הזנת נתונים'!AZ66</f>
        <v>582.66666666666902</v>
      </c>
      <c r="BB269" s="37">
        <f>'הזנת נתונים'!BA66</f>
        <v>593.66666666666902</v>
      </c>
      <c r="BC269" s="37">
        <f>'הזנת נתונים'!BB66</f>
        <v>604.66666666666902</v>
      </c>
      <c r="BD269" s="37">
        <f>'הזנת נתונים'!BC66</f>
        <v>615.66666666666902</v>
      </c>
      <c r="BE269" s="37">
        <f>'הזנת נתונים'!BD66</f>
        <v>626.66666666666902</v>
      </c>
      <c r="BF269" s="37">
        <f>'הזנת נתונים'!BE66</f>
        <v>637.66666666666902</v>
      </c>
      <c r="BG269" s="37">
        <f>'הזנת נתונים'!BF66</f>
        <v>648.66666666666902</v>
      </c>
      <c r="BH269" s="37">
        <f>'הזנת נתונים'!BG66</f>
        <v>659.66666666666902</v>
      </c>
      <c r="BI269" s="37">
        <f>'הזנת נתונים'!BH66</f>
        <v>670.66666666666902</v>
      </c>
    </row>
    <row r="270" spans="1:63" x14ac:dyDescent="0.25">
      <c r="A270" s="13" t="s">
        <v>2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>
        <f t="shared" ref="U270:BI270" si="519">AVERAGE(B269:U269)</f>
        <v>126.56666666666686</v>
      </c>
      <c r="V270">
        <f t="shared" si="519"/>
        <v>137.2500000000002</v>
      </c>
      <c r="W270">
        <f t="shared" si="519"/>
        <v>148.13333333333355</v>
      </c>
      <c r="X270">
        <f t="shared" si="519"/>
        <v>159.31666666666689</v>
      </c>
      <c r="Y270">
        <f t="shared" si="519"/>
        <v>170.30000000000024</v>
      </c>
      <c r="Z270">
        <f t="shared" si="519"/>
        <v>181.08333333333366</v>
      </c>
      <c r="AA270">
        <f t="shared" si="519"/>
        <v>192.16666666666703</v>
      </c>
      <c r="AB270">
        <f t="shared" si="519"/>
        <v>203.16666666666711</v>
      </c>
      <c r="AC270">
        <f t="shared" si="519"/>
        <v>214.1666666666672</v>
      </c>
      <c r="AD270">
        <f t="shared" si="519"/>
        <v>225.16666666666725</v>
      </c>
      <c r="AE270">
        <f t="shared" si="519"/>
        <v>236.16666666666728</v>
      </c>
      <c r="AF270">
        <f t="shared" si="519"/>
        <v>247.16666666666734</v>
      </c>
      <c r="AG270">
        <f t="shared" si="519"/>
        <v>258.16666666666737</v>
      </c>
      <c r="AH270">
        <f t="shared" si="519"/>
        <v>269.16666666666742</v>
      </c>
      <c r="AI270">
        <f t="shared" si="519"/>
        <v>280.16666666666748</v>
      </c>
      <c r="AJ270">
        <f t="shared" si="519"/>
        <v>291.16666666666754</v>
      </c>
      <c r="AK270">
        <f t="shared" si="519"/>
        <v>302.16666666666754</v>
      </c>
      <c r="AL270">
        <f t="shared" si="519"/>
        <v>313.1666666666676</v>
      </c>
      <c r="AM270">
        <f t="shared" si="519"/>
        <v>324.16666666666771</v>
      </c>
      <c r="AN270">
        <f t="shared" si="519"/>
        <v>335.16666666666777</v>
      </c>
      <c r="AO270">
        <f t="shared" si="519"/>
        <v>346.16666666666788</v>
      </c>
      <c r="AP270">
        <f t="shared" si="519"/>
        <v>357.16666666666799</v>
      </c>
      <c r="AQ270">
        <f t="shared" si="519"/>
        <v>368.16666666666805</v>
      </c>
      <c r="AR270">
        <f t="shared" si="519"/>
        <v>379.16666666666816</v>
      </c>
      <c r="AS270">
        <f t="shared" si="519"/>
        <v>390.16666666666822</v>
      </c>
      <c r="AT270">
        <f t="shared" si="519"/>
        <v>401.16666666666822</v>
      </c>
      <c r="AU270">
        <f t="shared" si="519"/>
        <v>412.16666666666833</v>
      </c>
      <c r="AV270">
        <f t="shared" si="519"/>
        <v>423.16666666666833</v>
      </c>
      <c r="AW270">
        <f t="shared" si="519"/>
        <v>434.16666666666845</v>
      </c>
      <c r="AX270">
        <f t="shared" si="519"/>
        <v>445.1666666666685</v>
      </c>
      <c r="AY270">
        <f t="shared" si="519"/>
        <v>456.1666666666685</v>
      </c>
      <c r="AZ270">
        <f t="shared" si="519"/>
        <v>467.16666666666862</v>
      </c>
      <c r="BA270">
        <f t="shared" si="519"/>
        <v>478.16666666666868</v>
      </c>
      <c r="BB270">
        <f t="shared" si="519"/>
        <v>489.16666666666868</v>
      </c>
      <c r="BC270">
        <f t="shared" si="519"/>
        <v>500.16666666666879</v>
      </c>
      <c r="BD270">
        <f t="shared" si="519"/>
        <v>511.1666666666689</v>
      </c>
      <c r="BE270">
        <f t="shared" si="519"/>
        <v>522.1666666666689</v>
      </c>
      <c r="BF270">
        <f t="shared" si="519"/>
        <v>533.16666666666902</v>
      </c>
      <c r="BG270">
        <f t="shared" si="519"/>
        <v>544.16666666666902</v>
      </c>
      <c r="BH270">
        <f t="shared" si="519"/>
        <v>555.16666666666902</v>
      </c>
      <c r="BI270">
        <f t="shared" si="519"/>
        <v>566.16666666666902</v>
      </c>
    </row>
    <row r="271" spans="1:63" x14ac:dyDescent="0.25">
      <c r="A271" s="13" t="s">
        <v>9</v>
      </c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>
        <f t="shared" ref="V271:BI271" si="520">U270</f>
        <v>126.56666666666686</v>
      </c>
      <c r="W271" s="7">
        <f t="shared" si="520"/>
        <v>137.2500000000002</v>
      </c>
      <c r="X271" s="7">
        <f t="shared" si="520"/>
        <v>148.13333333333355</v>
      </c>
      <c r="Y271" s="7">
        <f t="shared" si="520"/>
        <v>159.31666666666689</v>
      </c>
      <c r="Z271" s="7">
        <f t="shared" si="520"/>
        <v>170.30000000000024</v>
      </c>
      <c r="AA271" s="7">
        <f t="shared" si="520"/>
        <v>181.08333333333366</v>
      </c>
      <c r="AB271" s="7">
        <f t="shared" si="520"/>
        <v>192.16666666666703</v>
      </c>
      <c r="AC271" s="7">
        <f t="shared" si="520"/>
        <v>203.16666666666711</v>
      </c>
      <c r="AD271" s="7">
        <f t="shared" si="520"/>
        <v>214.1666666666672</v>
      </c>
      <c r="AE271" s="7">
        <f t="shared" si="520"/>
        <v>225.16666666666725</v>
      </c>
      <c r="AF271" s="7">
        <f t="shared" si="520"/>
        <v>236.16666666666728</v>
      </c>
      <c r="AG271" s="7">
        <f t="shared" si="520"/>
        <v>247.16666666666734</v>
      </c>
      <c r="AH271" s="7">
        <f t="shared" si="520"/>
        <v>258.16666666666737</v>
      </c>
      <c r="AI271" s="7">
        <f t="shared" si="520"/>
        <v>269.16666666666742</v>
      </c>
      <c r="AJ271" s="7">
        <f t="shared" si="520"/>
        <v>280.16666666666748</v>
      </c>
      <c r="AK271" s="7">
        <f t="shared" si="520"/>
        <v>291.16666666666754</v>
      </c>
      <c r="AL271" s="7">
        <f t="shared" si="520"/>
        <v>302.16666666666754</v>
      </c>
      <c r="AM271" s="7">
        <f t="shared" si="520"/>
        <v>313.1666666666676</v>
      </c>
      <c r="AN271" s="7">
        <f t="shared" si="520"/>
        <v>324.16666666666771</v>
      </c>
      <c r="AO271" s="7">
        <f t="shared" si="520"/>
        <v>335.16666666666777</v>
      </c>
      <c r="AP271" s="7">
        <f t="shared" si="520"/>
        <v>346.16666666666788</v>
      </c>
      <c r="AQ271" s="7">
        <f t="shared" si="520"/>
        <v>357.16666666666799</v>
      </c>
      <c r="AR271" s="7">
        <f t="shared" si="520"/>
        <v>368.16666666666805</v>
      </c>
      <c r="AS271" s="7">
        <f t="shared" si="520"/>
        <v>379.16666666666816</v>
      </c>
      <c r="AT271" s="7">
        <f t="shared" si="520"/>
        <v>390.16666666666822</v>
      </c>
      <c r="AU271" s="7">
        <f t="shared" si="520"/>
        <v>401.16666666666822</v>
      </c>
      <c r="AV271" s="7">
        <f t="shared" si="520"/>
        <v>412.16666666666833</v>
      </c>
      <c r="AW271" s="7">
        <f t="shared" si="520"/>
        <v>423.16666666666833</v>
      </c>
      <c r="AX271" s="7">
        <f t="shared" si="520"/>
        <v>434.16666666666845</v>
      </c>
      <c r="AY271" s="7">
        <f t="shared" si="520"/>
        <v>445.1666666666685</v>
      </c>
      <c r="AZ271" s="7">
        <f t="shared" si="520"/>
        <v>456.1666666666685</v>
      </c>
      <c r="BA271" s="7">
        <f t="shared" si="520"/>
        <v>467.16666666666862</v>
      </c>
      <c r="BB271" s="7">
        <f t="shared" si="520"/>
        <v>478.16666666666868</v>
      </c>
      <c r="BC271" s="7">
        <f t="shared" si="520"/>
        <v>489.16666666666868</v>
      </c>
      <c r="BD271" s="7">
        <f t="shared" si="520"/>
        <v>500.16666666666879</v>
      </c>
      <c r="BE271" s="7">
        <f t="shared" si="520"/>
        <v>511.1666666666689</v>
      </c>
      <c r="BF271" s="7">
        <f t="shared" si="520"/>
        <v>522.1666666666689</v>
      </c>
      <c r="BG271" s="7">
        <f t="shared" si="520"/>
        <v>533.16666666666902</v>
      </c>
      <c r="BH271" s="7">
        <f t="shared" si="520"/>
        <v>544.16666666666902</v>
      </c>
      <c r="BI271" s="7">
        <f t="shared" si="520"/>
        <v>555.16666666666902</v>
      </c>
    </row>
    <row r="272" spans="1:63" x14ac:dyDescent="0.25">
      <c r="A272" s="13" t="s">
        <v>4</v>
      </c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>
        <f t="shared" ref="V272" si="521">V271-V269</f>
        <v>-115.10000000000014</v>
      </c>
      <c r="W272" s="7">
        <f t="shared" ref="W272" si="522">W271-W269</f>
        <v>-115.4166666666668</v>
      </c>
      <c r="X272" s="7">
        <f t="shared" ref="X272" si="523">X271-X269</f>
        <v>-115.53333333333347</v>
      </c>
      <c r="Y272" s="7">
        <f t="shared" ref="Y272" si="524">Y271-Y269</f>
        <v>-115.35000000000014</v>
      </c>
      <c r="Z272" s="7">
        <f t="shared" ref="Z272" si="525">Z271-Z269</f>
        <v>-115.36666666666775</v>
      </c>
      <c r="AA272" s="7">
        <f t="shared" ref="AA272" si="526">AA271-AA269</f>
        <v>-115.58333333333434</v>
      </c>
      <c r="AB272" s="7">
        <f t="shared" ref="AB272" si="527">AB271-AB269</f>
        <v>-115.50000000000097</v>
      </c>
      <c r="AC272" s="7">
        <f t="shared" ref="AC272" si="528">AC271-AC269</f>
        <v>-115.50000000000088</v>
      </c>
      <c r="AD272" s="7">
        <f t="shared" ref="AD272" si="529">AD271-AD269</f>
        <v>-115.5000000000008</v>
      </c>
      <c r="AE272" s="7">
        <f t="shared" ref="AE272" si="530">AE271-AE269</f>
        <v>-115.50000000000074</v>
      </c>
      <c r="AF272" s="7">
        <f t="shared" ref="AF272" si="531">AF271-AF269</f>
        <v>-115.50000000000071</v>
      </c>
      <c r="AG272" s="7">
        <f t="shared" ref="AG272" si="532">AG271-AG269</f>
        <v>-115.50000000000065</v>
      </c>
      <c r="AH272" s="7">
        <f t="shared" ref="AH272" si="533">AH271-AH269</f>
        <v>-115.50000000000063</v>
      </c>
      <c r="AI272" s="7">
        <f t="shared" ref="AI272" si="534">AI271-AI269</f>
        <v>-115.50000000000057</v>
      </c>
      <c r="AJ272" s="7">
        <f t="shared" ref="AJ272" si="535">AJ271-AJ269</f>
        <v>-115.50000000000051</v>
      </c>
      <c r="AK272" s="7">
        <f t="shared" ref="AK272" si="536">AK271-AK269</f>
        <v>-115.50000000000045</v>
      </c>
      <c r="AL272" s="7">
        <f t="shared" ref="AL272" si="537">AL271-AL269</f>
        <v>-115.50000000000045</v>
      </c>
      <c r="AM272" s="7">
        <f t="shared" ref="AM272" si="538">AM271-AM269</f>
        <v>-115.50000000000142</v>
      </c>
      <c r="AN272" s="7">
        <f t="shared" ref="AN272" si="539">AN271-AN269</f>
        <v>-115.50000000000131</v>
      </c>
      <c r="AO272" s="7">
        <f t="shared" ref="AO272" si="540">AO271-AO269</f>
        <v>-115.50000000000125</v>
      </c>
      <c r="AP272" s="7">
        <f t="shared" ref="AP272" si="541">AP271-AP269</f>
        <v>-115.50000000000114</v>
      </c>
      <c r="AQ272" s="7">
        <f t="shared" ref="AQ272" si="542">AQ271-AQ269</f>
        <v>-115.50000000000102</v>
      </c>
      <c r="AR272" s="7">
        <f t="shared" ref="AR272" si="543">AR271-AR269</f>
        <v>-115.50000000000097</v>
      </c>
      <c r="AS272" s="7">
        <f t="shared" ref="AS272" si="544">AS271-AS269</f>
        <v>-115.50000000000085</v>
      </c>
      <c r="AT272" s="7">
        <f t="shared" ref="AT272" si="545">AT271-AT269</f>
        <v>-115.49999999999977</v>
      </c>
      <c r="AU272" s="7">
        <f t="shared" ref="AU272" si="546">AU271-AU269</f>
        <v>-115.5000000000008</v>
      </c>
      <c r="AV272" s="7">
        <f t="shared" ref="AV272" si="547">AV271-AV269</f>
        <v>-115.50000000000068</v>
      </c>
      <c r="AW272" s="7">
        <f t="shared" ref="AW272" si="548">AW271-AW269</f>
        <v>-115.50000000000068</v>
      </c>
      <c r="AX272" s="7">
        <f t="shared" ref="AX272" si="549">AX271-AX269</f>
        <v>-115.50000000000057</v>
      </c>
      <c r="AY272" s="7">
        <f t="shared" ref="AY272" si="550">AY271-AY269</f>
        <v>-115.50000000000051</v>
      </c>
      <c r="AZ272" s="7">
        <f t="shared" ref="AZ272" si="551">AZ271-AZ269</f>
        <v>-115.50000000000051</v>
      </c>
      <c r="BA272" s="7">
        <f t="shared" ref="BA272" si="552">BA271-BA269</f>
        <v>-115.5000000000004</v>
      </c>
      <c r="BB272" s="7">
        <f t="shared" ref="BB272" si="553">BB271-BB269</f>
        <v>-115.50000000000034</v>
      </c>
      <c r="BC272" s="7">
        <f t="shared" ref="BC272" si="554">BC271-BC269</f>
        <v>-115.50000000000034</v>
      </c>
      <c r="BD272" s="7">
        <f t="shared" ref="BD272" si="555">BD271-BD269</f>
        <v>-115.50000000000023</v>
      </c>
      <c r="BE272" s="7">
        <f t="shared" ref="BE272" si="556">BE271-BE269</f>
        <v>-115.50000000000011</v>
      </c>
      <c r="BF272" s="7">
        <f t="shared" ref="BF272" si="557">BF271-BF269</f>
        <v>-115.50000000000011</v>
      </c>
      <c r="BG272" s="7">
        <f t="shared" ref="BG272" si="558">BG271-BG269</f>
        <v>-115.5</v>
      </c>
      <c r="BH272" s="7">
        <f t="shared" ref="BH272" si="559">BH271-BH269</f>
        <v>-115.5</v>
      </c>
      <c r="BI272" s="7">
        <f t="shared" ref="BI272" si="560">BI271-BI269</f>
        <v>-115.5</v>
      </c>
    </row>
    <row r="273" spans="1:63" x14ac:dyDescent="0.25">
      <c r="A273" s="13" t="s">
        <v>12</v>
      </c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>
        <f t="shared" ref="V273" si="561">V272^2</f>
        <v>13248.010000000031</v>
      </c>
      <c r="W273" s="7">
        <f t="shared" ref="W273" si="562">W272^2</f>
        <v>13321.006944444474</v>
      </c>
      <c r="X273" s="7">
        <f t="shared" ref="X273" si="563">X272^2</f>
        <v>13347.951111111144</v>
      </c>
      <c r="Y273" s="7">
        <f t="shared" ref="Y273" si="564">Y272^2</f>
        <v>13305.622500000032</v>
      </c>
      <c r="Z273" s="7">
        <f t="shared" ref="Z273" si="565">Z272^2</f>
        <v>13309.467777778029</v>
      </c>
      <c r="AA273" s="7">
        <f t="shared" ref="AA273" si="566">AA272^2</f>
        <v>13359.506944444676</v>
      </c>
      <c r="AB273" s="7">
        <f t="shared" ref="AB273" si="567">AB272^2</f>
        <v>13340.250000000224</v>
      </c>
      <c r="AC273" s="7">
        <f t="shared" ref="AC273" si="568">AC272^2</f>
        <v>13340.250000000204</v>
      </c>
      <c r="AD273" s="7">
        <f t="shared" ref="AD273" si="569">AD272^2</f>
        <v>13340.250000000184</v>
      </c>
      <c r="AE273" s="7">
        <f t="shared" ref="AE273" si="570">AE272^2</f>
        <v>13340.250000000171</v>
      </c>
      <c r="AF273" s="7">
        <f t="shared" ref="AF273" si="571">AF272^2</f>
        <v>13340.250000000164</v>
      </c>
      <c r="AG273" s="7">
        <f t="shared" ref="AG273" si="572">AG272^2</f>
        <v>13340.250000000151</v>
      </c>
      <c r="AH273" s="7">
        <f t="shared" ref="AH273" si="573">AH272^2</f>
        <v>13340.250000000144</v>
      </c>
      <c r="AI273" s="7">
        <f t="shared" ref="AI273" si="574">AI272^2</f>
        <v>13340.250000000131</v>
      </c>
      <c r="AJ273" s="7">
        <f t="shared" ref="AJ273" si="575">AJ272^2</f>
        <v>13340.250000000118</v>
      </c>
      <c r="AK273" s="7">
        <f t="shared" ref="AK273" si="576">AK272^2</f>
        <v>13340.250000000106</v>
      </c>
      <c r="AL273" s="7">
        <f t="shared" ref="AL273" si="577">AL272^2</f>
        <v>13340.250000000106</v>
      </c>
      <c r="AM273" s="7">
        <f t="shared" ref="AM273" si="578">AM272^2</f>
        <v>13340.250000000327</v>
      </c>
      <c r="AN273" s="7">
        <f t="shared" ref="AN273" si="579">AN272^2</f>
        <v>13340.250000000302</v>
      </c>
      <c r="AO273" s="7">
        <f t="shared" ref="AO273" si="580">AO272^2</f>
        <v>13340.250000000289</v>
      </c>
      <c r="AP273" s="7">
        <f t="shared" ref="AP273" si="581">AP272^2</f>
        <v>13340.250000000262</v>
      </c>
      <c r="AQ273" s="7">
        <f t="shared" ref="AQ273" si="582">AQ272^2</f>
        <v>13340.250000000236</v>
      </c>
      <c r="AR273" s="7">
        <f t="shared" ref="AR273" si="583">AR272^2</f>
        <v>13340.250000000224</v>
      </c>
      <c r="AS273" s="7">
        <f t="shared" ref="AS273" si="584">AS272^2</f>
        <v>13340.250000000196</v>
      </c>
      <c r="AT273" s="7">
        <f t="shared" ref="AT273" si="585">AT272^2</f>
        <v>13340.249999999947</v>
      </c>
      <c r="AU273" s="7">
        <f t="shared" ref="AU273" si="586">AU272^2</f>
        <v>13340.250000000184</v>
      </c>
      <c r="AV273" s="7">
        <f t="shared" ref="AV273" si="587">AV272^2</f>
        <v>13340.250000000158</v>
      </c>
      <c r="AW273" s="7">
        <f t="shared" ref="AW273" si="588">AW272^2</f>
        <v>13340.250000000158</v>
      </c>
      <c r="AX273" s="7">
        <f t="shared" ref="AX273" si="589">AX272^2</f>
        <v>13340.250000000131</v>
      </c>
      <c r="AY273" s="7">
        <f t="shared" ref="AY273" si="590">AY272^2</f>
        <v>13340.250000000118</v>
      </c>
      <c r="AZ273" s="7">
        <f t="shared" ref="AZ273" si="591">AZ272^2</f>
        <v>13340.250000000118</v>
      </c>
      <c r="BA273" s="7">
        <f t="shared" ref="BA273" si="592">BA272^2</f>
        <v>13340.250000000093</v>
      </c>
      <c r="BB273" s="7">
        <f t="shared" ref="BB273" si="593">BB272^2</f>
        <v>13340.250000000078</v>
      </c>
      <c r="BC273" s="7">
        <f t="shared" ref="BC273" si="594">BC272^2</f>
        <v>13340.250000000078</v>
      </c>
      <c r="BD273" s="7">
        <f t="shared" ref="BD273" si="595">BD272^2</f>
        <v>13340.250000000053</v>
      </c>
      <c r="BE273" s="7">
        <f t="shared" ref="BE273" si="596">BE272^2</f>
        <v>13340.250000000025</v>
      </c>
      <c r="BF273" s="7">
        <f t="shared" ref="BF273" si="597">BF272^2</f>
        <v>13340.250000000025</v>
      </c>
      <c r="BG273" s="7">
        <f t="shared" ref="BG273" si="598">BG272^2</f>
        <v>13340.25</v>
      </c>
      <c r="BH273" s="7">
        <f t="shared" ref="BH273" si="599">BH272^2</f>
        <v>13340.25</v>
      </c>
      <c r="BI273" s="7">
        <f t="shared" ref="BI273" si="600">BI272^2</f>
        <v>13340.25</v>
      </c>
    </row>
    <row r="274" spans="1:63" x14ac:dyDescent="0.25">
      <c r="A274" s="38" t="s">
        <v>11</v>
      </c>
      <c r="B274" s="38">
        <v>20</v>
      </c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3" x14ac:dyDescent="0.25">
      <c r="A275" s="8" t="s">
        <v>5</v>
      </c>
      <c r="B275" s="8">
        <f>AVERAGE(G273:BI273)</f>
        <v>13336.501631944575</v>
      </c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3" x14ac:dyDescent="0.25">
      <c r="A276" s="7" t="s">
        <v>7</v>
      </c>
      <c r="B276" s="7">
        <f>BI270</f>
        <v>566.16666666666902</v>
      </c>
    </row>
    <row r="277" spans="1:63" x14ac:dyDescent="0.25">
      <c r="A277" s="31" t="s">
        <v>6</v>
      </c>
      <c r="B277" s="7" t="s">
        <v>62</v>
      </c>
      <c r="C277" s="7">
        <v>61</v>
      </c>
      <c r="D277" s="7">
        <v>62</v>
      </c>
      <c r="E277" s="7">
        <v>63</v>
      </c>
      <c r="F277" s="7">
        <v>64</v>
      </c>
      <c r="G277" s="7">
        <v>65</v>
      </c>
      <c r="H277" s="7">
        <v>66</v>
      </c>
      <c r="I277" s="7">
        <v>67</v>
      </c>
      <c r="J277" s="7">
        <v>68</v>
      </c>
      <c r="K277" s="7">
        <v>69</v>
      </c>
      <c r="L277" s="7">
        <v>70</v>
      </c>
      <c r="M277" s="7">
        <v>71</v>
      </c>
      <c r="N277" s="7">
        <v>72</v>
      </c>
    </row>
    <row r="278" spans="1:63" x14ac:dyDescent="0.25">
      <c r="C278" s="7">
        <f>$B$276</f>
        <v>566.16666666666902</v>
      </c>
      <c r="D278" s="7">
        <f t="shared" ref="D278:N278" si="601">$B$276</f>
        <v>566.16666666666902</v>
      </c>
      <c r="E278" s="7">
        <f t="shared" si="601"/>
        <v>566.16666666666902</v>
      </c>
      <c r="F278" s="7">
        <f t="shared" si="601"/>
        <v>566.16666666666902</v>
      </c>
      <c r="G278" s="7">
        <f t="shared" si="601"/>
        <v>566.16666666666902</v>
      </c>
      <c r="H278" s="7">
        <f t="shared" si="601"/>
        <v>566.16666666666902</v>
      </c>
      <c r="I278" s="7">
        <f t="shared" si="601"/>
        <v>566.16666666666902</v>
      </c>
      <c r="J278" s="7">
        <f t="shared" si="601"/>
        <v>566.16666666666902</v>
      </c>
      <c r="K278" s="7">
        <f t="shared" si="601"/>
        <v>566.16666666666902</v>
      </c>
      <c r="L278" s="7">
        <f t="shared" si="601"/>
        <v>566.16666666666902</v>
      </c>
      <c r="M278" s="7">
        <f t="shared" si="601"/>
        <v>566.16666666666902</v>
      </c>
      <c r="N278" s="7">
        <f t="shared" si="601"/>
        <v>566.16666666666902</v>
      </c>
    </row>
    <row r="280" spans="1:63" x14ac:dyDescent="0.25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</row>
    <row r="282" spans="1:63" x14ac:dyDescent="0.25">
      <c r="A282" s="13" t="s">
        <v>1</v>
      </c>
      <c r="B282" s="13">
        <v>1</v>
      </c>
      <c r="C282" s="13">
        <v>2</v>
      </c>
      <c r="D282" s="13">
        <v>3</v>
      </c>
      <c r="E282" s="13">
        <v>4</v>
      </c>
      <c r="F282" s="13">
        <v>5</v>
      </c>
      <c r="G282" s="13">
        <v>6</v>
      </c>
      <c r="H282" s="13">
        <v>7</v>
      </c>
      <c r="I282" s="13">
        <v>8</v>
      </c>
      <c r="J282" s="13">
        <v>9</v>
      </c>
      <c r="K282" s="13">
        <v>10</v>
      </c>
      <c r="L282" s="13">
        <v>11</v>
      </c>
      <c r="M282" s="13">
        <v>12</v>
      </c>
      <c r="N282" s="13">
        <v>13</v>
      </c>
      <c r="O282" s="13">
        <v>14</v>
      </c>
      <c r="P282" s="13">
        <v>15</v>
      </c>
      <c r="Q282" s="13">
        <v>16</v>
      </c>
      <c r="R282" s="13">
        <v>17</v>
      </c>
      <c r="S282" s="13">
        <v>18</v>
      </c>
      <c r="T282" s="13">
        <v>19</v>
      </c>
      <c r="U282" s="13">
        <v>20</v>
      </c>
      <c r="V282" s="13">
        <v>21</v>
      </c>
      <c r="W282" s="13">
        <v>22</v>
      </c>
      <c r="X282" s="13">
        <v>23</v>
      </c>
      <c r="Y282" s="13">
        <v>24</v>
      </c>
      <c r="Z282" s="13">
        <v>25</v>
      </c>
      <c r="AA282" s="13">
        <v>26</v>
      </c>
      <c r="AB282" s="13">
        <v>27</v>
      </c>
      <c r="AC282" s="13">
        <v>28</v>
      </c>
      <c r="AD282" s="13">
        <v>29</v>
      </c>
      <c r="AE282" s="13">
        <v>30</v>
      </c>
      <c r="AF282" s="13">
        <v>31</v>
      </c>
      <c r="AG282" s="13">
        <v>32</v>
      </c>
      <c r="AH282" s="13">
        <v>33</v>
      </c>
      <c r="AI282" s="13">
        <v>34</v>
      </c>
      <c r="AJ282" s="13">
        <v>35</v>
      </c>
      <c r="AK282" s="13">
        <v>36</v>
      </c>
      <c r="AL282" s="13">
        <v>37</v>
      </c>
      <c r="AM282" s="13">
        <v>38</v>
      </c>
      <c r="AN282" s="13">
        <v>39</v>
      </c>
      <c r="AO282" s="13">
        <v>40</v>
      </c>
      <c r="AP282" s="13">
        <v>41</v>
      </c>
      <c r="AQ282" s="13">
        <v>42</v>
      </c>
      <c r="AR282" s="13">
        <v>43</v>
      </c>
      <c r="AS282" s="13">
        <v>44</v>
      </c>
      <c r="AT282" s="13">
        <v>45</v>
      </c>
      <c r="AU282" s="13">
        <v>46</v>
      </c>
      <c r="AV282" s="13">
        <v>47</v>
      </c>
      <c r="AW282" s="13">
        <v>48</v>
      </c>
      <c r="AX282" s="13">
        <v>49</v>
      </c>
      <c r="AY282" s="13">
        <v>50</v>
      </c>
      <c r="AZ282" s="13">
        <v>51</v>
      </c>
      <c r="BA282" s="13">
        <v>52</v>
      </c>
      <c r="BB282" s="13">
        <v>53</v>
      </c>
      <c r="BC282" s="13">
        <v>54</v>
      </c>
      <c r="BD282" s="13">
        <v>55</v>
      </c>
      <c r="BE282" s="13">
        <v>56</v>
      </c>
      <c r="BF282" s="13">
        <v>57</v>
      </c>
      <c r="BG282" s="13">
        <v>58</v>
      </c>
      <c r="BH282" s="13">
        <v>59</v>
      </c>
      <c r="BI282" s="13">
        <v>60</v>
      </c>
    </row>
    <row r="283" spans="1:63" x14ac:dyDescent="0.25">
      <c r="A283" s="13" t="s">
        <v>0</v>
      </c>
      <c r="B283" s="37">
        <f>'הזנת נתונים'!A66</f>
        <v>28</v>
      </c>
      <c r="C283" s="37">
        <f>'הזנת נתונים'!B66</f>
        <v>35</v>
      </c>
      <c r="D283" s="37">
        <f>'הזנת נתונים'!C66</f>
        <v>40</v>
      </c>
      <c r="E283" s="37">
        <f>'הזנת נתונים'!D66</f>
        <v>55</v>
      </c>
      <c r="F283" s="37">
        <f>'הזנת נתונים'!E66</f>
        <v>70</v>
      </c>
      <c r="G283" s="37">
        <f>'הזנת נתונים'!F66</f>
        <v>75</v>
      </c>
      <c r="H283" s="37">
        <f>'הזנת נתונים'!G66</f>
        <v>87.6666666666667</v>
      </c>
      <c r="I283" s="37">
        <f>'הזנת נתונים'!H66</f>
        <v>98.6666666666667</v>
      </c>
      <c r="J283" s="37">
        <f>'הזנת נתונים'!I66</f>
        <v>109.666666666667</v>
      </c>
      <c r="K283" s="37">
        <f>'הזנת נתונים'!J66</f>
        <v>120.666666666667</v>
      </c>
      <c r="L283" s="37">
        <f>'הזנת נתונים'!K66</f>
        <v>131.666666666667</v>
      </c>
      <c r="M283" s="37">
        <f>'הזנת נתונים'!L66</f>
        <v>142.666666666667</v>
      </c>
      <c r="N283" s="37">
        <f>'הזנת נתונים'!M66</f>
        <v>153.666666666667</v>
      </c>
      <c r="O283" s="37">
        <f>'הזנת נתונים'!N66</f>
        <v>164.666666666667</v>
      </c>
      <c r="P283" s="37">
        <f>'הזנת נתונים'!O66</f>
        <v>175.666666666667</v>
      </c>
      <c r="Q283" s="37">
        <f>'הזנת נתונים'!P66</f>
        <v>186.666666666667</v>
      </c>
      <c r="R283" s="37">
        <f>'הזנת נתונים'!Q66</f>
        <v>197.666666666667</v>
      </c>
      <c r="S283" s="37">
        <f>'הזנת נתונים'!R66</f>
        <v>208.666666666667</v>
      </c>
      <c r="T283" s="37">
        <f>'הזנת נתונים'!S66</f>
        <v>219.666666666667</v>
      </c>
      <c r="U283" s="37">
        <f>'הזנת נתונים'!T66</f>
        <v>230.666666666667</v>
      </c>
      <c r="V283" s="37">
        <f>'הזנת נתונים'!U66</f>
        <v>241.666666666667</v>
      </c>
      <c r="W283" s="37">
        <f>'הזנת נתונים'!V66</f>
        <v>252.666666666667</v>
      </c>
      <c r="X283" s="37">
        <f>'הזנת נתונים'!W66</f>
        <v>263.66666666666703</v>
      </c>
      <c r="Y283" s="37">
        <f>'הזנת נתונים'!X66</f>
        <v>274.66666666666703</v>
      </c>
      <c r="Z283" s="37">
        <f>'הזנת נתונים'!Y66</f>
        <v>285.66666666666799</v>
      </c>
      <c r="AA283" s="37">
        <f>'הזנת נתונים'!Z66</f>
        <v>296.66666666666799</v>
      </c>
      <c r="AB283" s="37">
        <f>'הזנת נתונים'!AA66</f>
        <v>307.66666666666799</v>
      </c>
      <c r="AC283" s="37">
        <f>'הזנת נתונים'!AB66</f>
        <v>318.66666666666799</v>
      </c>
      <c r="AD283" s="37">
        <f>'הזנת נתונים'!AC66</f>
        <v>329.66666666666799</v>
      </c>
      <c r="AE283" s="37">
        <f>'הזנת נתונים'!AD66</f>
        <v>340.66666666666799</v>
      </c>
      <c r="AF283" s="37">
        <f>'הזנת נתונים'!AE66</f>
        <v>351.66666666666799</v>
      </c>
      <c r="AG283" s="37">
        <f>'הזנת נתונים'!AF66</f>
        <v>362.66666666666799</v>
      </c>
      <c r="AH283" s="37">
        <f>'הזנת נתונים'!AG66</f>
        <v>373.66666666666799</v>
      </c>
      <c r="AI283" s="37">
        <f>'הזנת נתונים'!AH66</f>
        <v>384.66666666666799</v>
      </c>
      <c r="AJ283" s="37">
        <f>'הזנת נתונים'!AI66</f>
        <v>395.66666666666799</v>
      </c>
      <c r="AK283" s="37">
        <f>'הזנת נתונים'!AJ66</f>
        <v>406.66666666666799</v>
      </c>
      <c r="AL283" s="37">
        <f>'הזנת נתונים'!AK66</f>
        <v>417.66666666666799</v>
      </c>
      <c r="AM283" s="37">
        <f>'הזנת נתונים'!AL66</f>
        <v>428.66666666666902</v>
      </c>
      <c r="AN283" s="37">
        <f>'הזנת נתונים'!AM66</f>
        <v>439.66666666666902</v>
      </c>
      <c r="AO283" s="37">
        <f>'הזנת נתונים'!AN66</f>
        <v>450.66666666666902</v>
      </c>
      <c r="AP283" s="37">
        <f>'הזנת נתונים'!AO66</f>
        <v>461.66666666666902</v>
      </c>
      <c r="AQ283" s="37">
        <f>'הזנת נתונים'!AP66</f>
        <v>472.66666666666902</v>
      </c>
      <c r="AR283" s="37">
        <f>'הזנת נתונים'!AQ66</f>
        <v>483.66666666666902</v>
      </c>
      <c r="AS283" s="37">
        <f>'הזנת נתונים'!AR66</f>
        <v>494.66666666666902</v>
      </c>
      <c r="AT283" s="37">
        <f>'הזנת נתונים'!AS66</f>
        <v>505.66666666666799</v>
      </c>
      <c r="AU283" s="37">
        <f>'הזנת נתונים'!AT66</f>
        <v>516.66666666666902</v>
      </c>
      <c r="AV283" s="37">
        <f>'הזנת נתונים'!AU66</f>
        <v>527.66666666666902</v>
      </c>
      <c r="AW283" s="37">
        <f>'הזנת נתונים'!AV66</f>
        <v>538.66666666666902</v>
      </c>
      <c r="AX283" s="37">
        <f>'הזנת נתונים'!AW66</f>
        <v>549.66666666666902</v>
      </c>
      <c r="AY283" s="37">
        <f>'הזנת נתונים'!AX66</f>
        <v>560.66666666666902</v>
      </c>
      <c r="AZ283" s="37">
        <f>'הזנת נתונים'!AY66</f>
        <v>571.66666666666902</v>
      </c>
      <c r="BA283" s="37">
        <f>'הזנת נתונים'!AZ66</f>
        <v>582.66666666666902</v>
      </c>
      <c r="BB283" s="37">
        <f>'הזנת נתונים'!BA66</f>
        <v>593.66666666666902</v>
      </c>
      <c r="BC283" s="37">
        <f>'הזנת נתונים'!BB66</f>
        <v>604.66666666666902</v>
      </c>
      <c r="BD283" s="37">
        <f>'הזנת נתונים'!BC66</f>
        <v>615.66666666666902</v>
      </c>
      <c r="BE283" s="37">
        <f>'הזנת נתונים'!BD66</f>
        <v>626.66666666666902</v>
      </c>
      <c r="BF283" s="37">
        <f>'הזנת נתונים'!BE66</f>
        <v>637.66666666666902</v>
      </c>
      <c r="BG283" s="37">
        <f>'הזנת נתונים'!BF66</f>
        <v>648.66666666666902</v>
      </c>
      <c r="BH283" s="37">
        <f>'הזנת נתונים'!BG66</f>
        <v>659.66666666666902</v>
      </c>
      <c r="BI283" s="37">
        <f>'הזנת נתונים'!BH66</f>
        <v>670.66666666666902</v>
      </c>
    </row>
    <row r="284" spans="1:63" x14ac:dyDescent="0.25">
      <c r="A284" s="13" t="s">
        <v>2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>
        <f t="shared" ref="V284:BI284" si="602">AVERAGE(B283:V283)</f>
        <v>132.04761904761924</v>
      </c>
      <c r="W284">
        <f t="shared" si="602"/>
        <v>142.74603174603195</v>
      </c>
      <c r="X284">
        <f t="shared" si="602"/>
        <v>153.63492063492086</v>
      </c>
      <c r="Y284">
        <f t="shared" si="602"/>
        <v>164.80952380952405</v>
      </c>
      <c r="Z284">
        <f t="shared" si="602"/>
        <v>175.7936507936511</v>
      </c>
      <c r="AA284">
        <f t="shared" si="602"/>
        <v>186.58730158730194</v>
      </c>
      <c r="AB284">
        <f t="shared" si="602"/>
        <v>197.66666666666711</v>
      </c>
      <c r="AC284">
        <f t="shared" si="602"/>
        <v>208.66666666666714</v>
      </c>
      <c r="AD284">
        <f t="shared" si="602"/>
        <v>219.66666666666723</v>
      </c>
      <c r="AE284">
        <f t="shared" si="602"/>
        <v>230.66666666666728</v>
      </c>
      <c r="AF284">
        <f t="shared" si="602"/>
        <v>241.66666666666731</v>
      </c>
      <c r="AG284">
        <f t="shared" si="602"/>
        <v>252.66666666666737</v>
      </c>
      <c r="AH284">
        <f t="shared" si="602"/>
        <v>263.66666666666742</v>
      </c>
      <c r="AI284">
        <f t="shared" si="602"/>
        <v>274.66666666666742</v>
      </c>
      <c r="AJ284">
        <f t="shared" si="602"/>
        <v>285.66666666666748</v>
      </c>
      <c r="AK284">
        <f t="shared" si="602"/>
        <v>296.66666666666754</v>
      </c>
      <c r="AL284">
        <f t="shared" si="602"/>
        <v>307.6666666666676</v>
      </c>
      <c r="AM284">
        <f t="shared" si="602"/>
        <v>318.66666666666765</v>
      </c>
      <c r="AN284">
        <f t="shared" si="602"/>
        <v>329.66666666666777</v>
      </c>
      <c r="AO284">
        <f t="shared" si="602"/>
        <v>340.66666666666782</v>
      </c>
      <c r="AP284">
        <f t="shared" si="602"/>
        <v>351.66666666666794</v>
      </c>
      <c r="AQ284">
        <f t="shared" si="602"/>
        <v>362.66666666666799</v>
      </c>
      <c r="AR284">
        <f t="shared" si="602"/>
        <v>373.66666666666811</v>
      </c>
      <c r="AS284">
        <f t="shared" si="602"/>
        <v>384.66666666666816</v>
      </c>
      <c r="AT284">
        <f t="shared" si="602"/>
        <v>395.66666666666822</v>
      </c>
      <c r="AU284">
        <f t="shared" si="602"/>
        <v>406.66666666666833</v>
      </c>
      <c r="AV284">
        <f t="shared" si="602"/>
        <v>417.66666666666839</v>
      </c>
      <c r="AW284">
        <f t="shared" si="602"/>
        <v>428.66666666666839</v>
      </c>
      <c r="AX284">
        <f t="shared" si="602"/>
        <v>439.6666666666685</v>
      </c>
      <c r="AY284">
        <f t="shared" si="602"/>
        <v>450.66666666666856</v>
      </c>
      <c r="AZ284">
        <f t="shared" si="602"/>
        <v>461.66666666666856</v>
      </c>
      <c r="BA284">
        <f t="shared" si="602"/>
        <v>472.66666666666868</v>
      </c>
      <c r="BB284">
        <f t="shared" si="602"/>
        <v>483.66666666666873</v>
      </c>
      <c r="BC284">
        <f t="shared" si="602"/>
        <v>494.66666666666873</v>
      </c>
      <c r="BD284">
        <f t="shared" si="602"/>
        <v>505.66666666666885</v>
      </c>
      <c r="BE284">
        <f t="shared" si="602"/>
        <v>516.6666666666689</v>
      </c>
      <c r="BF284">
        <f t="shared" si="602"/>
        <v>527.6666666666689</v>
      </c>
      <c r="BG284">
        <f t="shared" si="602"/>
        <v>538.66666666666902</v>
      </c>
      <c r="BH284">
        <f t="shared" si="602"/>
        <v>549.66666666666902</v>
      </c>
      <c r="BI284">
        <f t="shared" si="602"/>
        <v>560.66666666666902</v>
      </c>
    </row>
    <row r="285" spans="1:63" x14ac:dyDescent="0.25">
      <c r="A285" s="13" t="s">
        <v>9</v>
      </c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>
        <f t="shared" ref="W285:BI285" si="603">V284</f>
        <v>132.04761904761924</v>
      </c>
      <c r="X285" s="7">
        <f t="shared" si="603"/>
        <v>142.74603174603195</v>
      </c>
      <c r="Y285" s="7">
        <f t="shared" si="603"/>
        <v>153.63492063492086</v>
      </c>
      <c r="Z285" s="7">
        <f t="shared" si="603"/>
        <v>164.80952380952405</v>
      </c>
      <c r="AA285" s="7">
        <f t="shared" si="603"/>
        <v>175.7936507936511</v>
      </c>
      <c r="AB285" s="7">
        <f t="shared" si="603"/>
        <v>186.58730158730194</v>
      </c>
      <c r="AC285" s="7">
        <f t="shared" si="603"/>
        <v>197.66666666666711</v>
      </c>
      <c r="AD285" s="7">
        <f t="shared" si="603"/>
        <v>208.66666666666714</v>
      </c>
      <c r="AE285" s="7">
        <f t="shared" si="603"/>
        <v>219.66666666666723</v>
      </c>
      <c r="AF285" s="7">
        <f t="shared" si="603"/>
        <v>230.66666666666728</v>
      </c>
      <c r="AG285" s="7">
        <f t="shared" si="603"/>
        <v>241.66666666666731</v>
      </c>
      <c r="AH285" s="7">
        <f t="shared" si="603"/>
        <v>252.66666666666737</v>
      </c>
      <c r="AI285" s="7">
        <f t="shared" si="603"/>
        <v>263.66666666666742</v>
      </c>
      <c r="AJ285" s="7">
        <f t="shared" si="603"/>
        <v>274.66666666666742</v>
      </c>
      <c r="AK285" s="7">
        <f t="shared" si="603"/>
        <v>285.66666666666748</v>
      </c>
      <c r="AL285" s="7">
        <f t="shared" si="603"/>
        <v>296.66666666666754</v>
      </c>
      <c r="AM285" s="7">
        <f t="shared" si="603"/>
        <v>307.6666666666676</v>
      </c>
      <c r="AN285" s="7">
        <f t="shared" si="603"/>
        <v>318.66666666666765</v>
      </c>
      <c r="AO285" s="7">
        <f t="shared" si="603"/>
        <v>329.66666666666777</v>
      </c>
      <c r="AP285" s="7">
        <f t="shared" si="603"/>
        <v>340.66666666666782</v>
      </c>
      <c r="AQ285" s="7">
        <f t="shared" si="603"/>
        <v>351.66666666666794</v>
      </c>
      <c r="AR285" s="7">
        <f t="shared" si="603"/>
        <v>362.66666666666799</v>
      </c>
      <c r="AS285" s="7">
        <f t="shared" si="603"/>
        <v>373.66666666666811</v>
      </c>
      <c r="AT285" s="7">
        <f t="shared" si="603"/>
        <v>384.66666666666816</v>
      </c>
      <c r="AU285" s="7">
        <f t="shared" si="603"/>
        <v>395.66666666666822</v>
      </c>
      <c r="AV285" s="7">
        <f t="shared" si="603"/>
        <v>406.66666666666833</v>
      </c>
      <c r="AW285" s="7">
        <f t="shared" si="603"/>
        <v>417.66666666666839</v>
      </c>
      <c r="AX285" s="7">
        <f t="shared" si="603"/>
        <v>428.66666666666839</v>
      </c>
      <c r="AY285" s="7">
        <f t="shared" si="603"/>
        <v>439.6666666666685</v>
      </c>
      <c r="AZ285" s="7">
        <f t="shared" si="603"/>
        <v>450.66666666666856</v>
      </c>
      <c r="BA285" s="7">
        <f t="shared" si="603"/>
        <v>461.66666666666856</v>
      </c>
      <c r="BB285" s="7">
        <f t="shared" si="603"/>
        <v>472.66666666666868</v>
      </c>
      <c r="BC285" s="7">
        <f t="shared" si="603"/>
        <v>483.66666666666873</v>
      </c>
      <c r="BD285" s="7">
        <f t="shared" si="603"/>
        <v>494.66666666666873</v>
      </c>
      <c r="BE285" s="7">
        <f t="shared" si="603"/>
        <v>505.66666666666885</v>
      </c>
      <c r="BF285" s="7">
        <f t="shared" si="603"/>
        <v>516.6666666666689</v>
      </c>
      <c r="BG285" s="7">
        <f t="shared" si="603"/>
        <v>527.6666666666689</v>
      </c>
      <c r="BH285" s="7">
        <f t="shared" si="603"/>
        <v>538.66666666666902</v>
      </c>
      <c r="BI285" s="7">
        <f t="shared" si="603"/>
        <v>549.66666666666902</v>
      </c>
    </row>
    <row r="286" spans="1:63" x14ac:dyDescent="0.25">
      <c r="A286" s="13" t="s">
        <v>4</v>
      </c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>
        <f t="shared" ref="W286" si="604">W285-W283</f>
        <v>-120.61904761904776</v>
      </c>
      <c r="X286" s="7">
        <f t="shared" ref="X286" si="605">X285-X283</f>
        <v>-120.92063492063508</v>
      </c>
      <c r="Y286" s="7">
        <f t="shared" ref="Y286" si="606">Y285-Y283</f>
        <v>-121.03174603174617</v>
      </c>
      <c r="Z286" s="7">
        <f t="shared" ref="Z286" si="607">Z285-Z283</f>
        <v>-120.85714285714394</v>
      </c>
      <c r="AA286" s="7">
        <f t="shared" ref="AA286" si="608">AA285-AA283</f>
        <v>-120.8730158730169</v>
      </c>
      <c r="AB286" s="7">
        <f t="shared" ref="AB286" si="609">AB285-AB283</f>
        <v>-121.07936507936606</v>
      </c>
      <c r="AC286" s="7">
        <f t="shared" ref="AC286" si="610">AC285-AC283</f>
        <v>-121.00000000000088</v>
      </c>
      <c r="AD286" s="7">
        <f t="shared" ref="AD286" si="611">AD285-AD283</f>
        <v>-121.00000000000085</v>
      </c>
      <c r="AE286" s="7">
        <f t="shared" ref="AE286" si="612">AE285-AE283</f>
        <v>-121.00000000000077</v>
      </c>
      <c r="AF286" s="7">
        <f t="shared" ref="AF286" si="613">AF285-AF283</f>
        <v>-121.00000000000071</v>
      </c>
      <c r="AG286" s="7">
        <f t="shared" ref="AG286" si="614">AG285-AG283</f>
        <v>-121.00000000000068</v>
      </c>
      <c r="AH286" s="7">
        <f t="shared" ref="AH286" si="615">AH285-AH283</f>
        <v>-121.00000000000063</v>
      </c>
      <c r="AI286" s="7">
        <f t="shared" ref="AI286" si="616">AI285-AI283</f>
        <v>-121.00000000000057</v>
      </c>
      <c r="AJ286" s="7">
        <f t="shared" ref="AJ286" si="617">AJ285-AJ283</f>
        <v>-121.00000000000057</v>
      </c>
      <c r="AK286" s="7">
        <f t="shared" ref="AK286" si="618">AK285-AK283</f>
        <v>-121.00000000000051</v>
      </c>
      <c r="AL286" s="7">
        <f t="shared" ref="AL286" si="619">AL285-AL283</f>
        <v>-121.00000000000045</v>
      </c>
      <c r="AM286" s="7">
        <f t="shared" ref="AM286" si="620">AM285-AM283</f>
        <v>-121.00000000000142</v>
      </c>
      <c r="AN286" s="7">
        <f t="shared" ref="AN286" si="621">AN285-AN283</f>
        <v>-121.00000000000136</v>
      </c>
      <c r="AO286" s="7">
        <f t="shared" ref="AO286" si="622">AO285-AO283</f>
        <v>-121.00000000000125</v>
      </c>
      <c r="AP286" s="7">
        <f t="shared" ref="AP286" si="623">AP285-AP283</f>
        <v>-121.00000000000119</v>
      </c>
      <c r="AQ286" s="7">
        <f t="shared" ref="AQ286" si="624">AQ285-AQ283</f>
        <v>-121.00000000000108</v>
      </c>
      <c r="AR286" s="7">
        <f t="shared" ref="AR286" si="625">AR285-AR283</f>
        <v>-121.00000000000102</v>
      </c>
      <c r="AS286" s="7">
        <f t="shared" ref="AS286" si="626">AS285-AS283</f>
        <v>-121.00000000000091</v>
      </c>
      <c r="AT286" s="7">
        <f t="shared" ref="AT286" si="627">AT285-AT283</f>
        <v>-120.99999999999983</v>
      </c>
      <c r="AU286" s="7">
        <f t="shared" ref="AU286" si="628">AU285-AU283</f>
        <v>-121.0000000000008</v>
      </c>
      <c r="AV286" s="7">
        <f t="shared" ref="AV286" si="629">AV285-AV283</f>
        <v>-121.00000000000068</v>
      </c>
      <c r="AW286" s="7">
        <f t="shared" ref="AW286" si="630">AW285-AW283</f>
        <v>-121.00000000000063</v>
      </c>
      <c r="AX286" s="7">
        <f t="shared" ref="AX286" si="631">AX285-AX283</f>
        <v>-121.00000000000063</v>
      </c>
      <c r="AY286" s="7">
        <f t="shared" ref="AY286" si="632">AY285-AY283</f>
        <v>-121.00000000000051</v>
      </c>
      <c r="AZ286" s="7">
        <f t="shared" ref="AZ286" si="633">AZ285-AZ283</f>
        <v>-121.00000000000045</v>
      </c>
      <c r="BA286" s="7">
        <f t="shared" ref="BA286" si="634">BA285-BA283</f>
        <v>-121.00000000000045</v>
      </c>
      <c r="BB286" s="7">
        <f t="shared" ref="BB286" si="635">BB285-BB283</f>
        <v>-121.00000000000034</v>
      </c>
      <c r="BC286" s="7">
        <f t="shared" ref="BC286" si="636">BC285-BC283</f>
        <v>-121.00000000000028</v>
      </c>
      <c r="BD286" s="7">
        <f t="shared" ref="BD286" si="637">BD285-BD283</f>
        <v>-121.00000000000028</v>
      </c>
      <c r="BE286" s="7">
        <f t="shared" ref="BE286" si="638">BE285-BE283</f>
        <v>-121.00000000000017</v>
      </c>
      <c r="BF286" s="7">
        <f t="shared" ref="BF286" si="639">BF285-BF283</f>
        <v>-121.00000000000011</v>
      </c>
      <c r="BG286" s="7">
        <f t="shared" ref="BG286" si="640">BG285-BG283</f>
        <v>-121.00000000000011</v>
      </c>
      <c r="BH286" s="7">
        <f t="shared" ref="BH286" si="641">BH285-BH283</f>
        <v>-121</v>
      </c>
      <c r="BI286" s="7">
        <f t="shared" ref="BI286" si="642">BI285-BI283</f>
        <v>-121</v>
      </c>
    </row>
    <row r="287" spans="1:63" x14ac:dyDescent="0.25">
      <c r="A287" s="13" t="s">
        <v>12</v>
      </c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>
        <f t="shared" ref="W287" si="643">W286^2</f>
        <v>14548.954648526113</v>
      </c>
      <c r="X287" s="7">
        <f t="shared" ref="X287" si="644">X286^2</f>
        <v>14621.799949609513</v>
      </c>
      <c r="Y287" s="7">
        <f t="shared" ref="Y287" si="645">Y286^2</f>
        <v>14648.683547493103</v>
      </c>
      <c r="Z287" s="7">
        <f t="shared" ref="Z287" si="646">Z286^2</f>
        <v>14606.448979592098</v>
      </c>
      <c r="AA287" s="7">
        <f t="shared" ref="AA287" si="647">AA286^2</f>
        <v>14610.285966238594</v>
      </c>
      <c r="AB287" s="7">
        <f t="shared" ref="AB287" si="648">AB286^2</f>
        <v>14660.212648022409</v>
      </c>
      <c r="AC287" s="7">
        <f t="shared" ref="AC287" si="649">AC286^2</f>
        <v>14641.000000000213</v>
      </c>
      <c r="AD287" s="7">
        <f t="shared" ref="AD287" si="650">AD286^2</f>
        <v>14641.000000000206</v>
      </c>
      <c r="AE287" s="7">
        <f t="shared" ref="AE287" si="651">AE286^2</f>
        <v>14641.000000000186</v>
      </c>
      <c r="AF287" s="7">
        <f t="shared" ref="AF287" si="652">AF286^2</f>
        <v>14641.000000000173</v>
      </c>
      <c r="AG287" s="7">
        <f t="shared" ref="AG287" si="653">AG286^2</f>
        <v>14641.000000000166</v>
      </c>
      <c r="AH287" s="7">
        <f t="shared" ref="AH287" si="654">AH286^2</f>
        <v>14641.000000000151</v>
      </c>
      <c r="AI287" s="7">
        <f t="shared" ref="AI287" si="655">AI286^2</f>
        <v>14641.000000000138</v>
      </c>
      <c r="AJ287" s="7">
        <f t="shared" ref="AJ287" si="656">AJ286^2</f>
        <v>14641.000000000138</v>
      </c>
      <c r="AK287" s="7">
        <f t="shared" ref="AK287" si="657">AK286^2</f>
        <v>14641.000000000124</v>
      </c>
      <c r="AL287" s="7">
        <f t="shared" ref="AL287" si="658">AL286^2</f>
        <v>14641.000000000109</v>
      </c>
      <c r="AM287" s="7">
        <f t="shared" ref="AM287" si="659">AM286^2</f>
        <v>14641.000000000344</v>
      </c>
      <c r="AN287" s="7">
        <f t="shared" ref="AN287" si="660">AN286^2</f>
        <v>14641.000000000331</v>
      </c>
      <c r="AO287" s="7">
        <f t="shared" ref="AO287" si="661">AO286^2</f>
        <v>14641.000000000302</v>
      </c>
      <c r="AP287" s="7">
        <f t="shared" ref="AP287" si="662">AP286^2</f>
        <v>14641.000000000289</v>
      </c>
      <c r="AQ287" s="7">
        <f t="shared" ref="AQ287" si="663">AQ286^2</f>
        <v>14641.000000000262</v>
      </c>
      <c r="AR287" s="7">
        <f t="shared" ref="AR287" si="664">AR286^2</f>
        <v>14641.000000000247</v>
      </c>
      <c r="AS287" s="7">
        <f t="shared" ref="AS287" si="665">AS286^2</f>
        <v>14641.00000000022</v>
      </c>
      <c r="AT287" s="7">
        <f t="shared" ref="AT287" si="666">AT286^2</f>
        <v>14640.999999999958</v>
      </c>
      <c r="AU287" s="7">
        <f t="shared" ref="AU287" si="667">AU286^2</f>
        <v>14641.000000000193</v>
      </c>
      <c r="AV287" s="7">
        <f t="shared" ref="AV287" si="668">AV286^2</f>
        <v>14641.000000000166</v>
      </c>
      <c r="AW287" s="7">
        <f t="shared" ref="AW287" si="669">AW286^2</f>
        <v>14641.000000000151</v>
      </c>
      <c r="AX287" s="7">
        <f t="shared" ref="AX287" si="670">AX286^2</f>
        <v>14641.000000000151</v>
      </c>
      <c r="AY287" s="7">
        <f t="shared" ref="AY287" si="671">AY286^2</f>
        <v>14641.000000000124</v>
      </c>
      <c r="AZ287" s="7">
        <f t="shared" ref="AZ287" si="672">AZ286^2</f>
        <v>14641.000000000109</v>
      </c>
      <c r="BA287" s="7">
        <f t="shared" ref="BA287" si="673">BA286^2</f>
        <v>14641.000000000109</v>
      </c>
      <c r="BB287" s="7">
        <f t="shared" ref="BB287" si="674">BB286^2</f>
        <v>14641.000000000082</v>
      </c>
      <c r="BC287" s="7">
        <f t="shared" ref="BC287" si="675">BC286^2</f>
        <v>14641.000000000069</v>
      </c>
      <c r="BD287" s="7">
        <f t="shared" ref="BD287" si="676">BD286^2</f>
        <v>14641.000000000069</v>
      </c>
      <c r="BE287" s="7">
        <f t="shared" ref="BE287" si="677">BE286^2</f>
        <v>14641.000000000042</v>
      </c>
      <c r="BF287" s="7">
        <f t="shared" ref="BF287" si="678">BF286^2</f>
        <v>14641.000000000027</v>
      </c>
      <c r="BG287" s="7">
        <f t="shared" ref="BG287" si="679">BG286^2</f>
        <v>14641.000000000027</v>
      </c>
      <c r="BH287" s="7">
        <f t="shared" ref="BH287" si="680">BH286^2</f>
        <v>14641</v>
      </c>
      <c r="BI287" s="7">
        <f t="shared" ref="BI287" si="681">BI286^2</f>
        <v>14641</v>
      </c>
    </row>
    <row r="288" spans="1:63" x14ac:dyDescent="0.25">
      <c r="A288" s="38" t="s">
        <v>11</v>
      </c>
      <c r="B288" s="38">
        <v>21</v>
      </c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3" x14ac:dyDescent="0.25">
      <c r="A289" s="8" t="s">
        <v>5</v>
      </c>
      <c r="B289" s="8">
        <f>AVERAGE(G287:BI287)</f>
        <v>14637.163736909915</v>
      </c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3" x14ac:dyDescent="0.25">
      <c r="A290" s="7" t="s">
        <v>7</v>
      </c>
      <c r="B290" s="7">
        <f>BI284</f>
        <v>560.66666666666902</v>
      </c>
    </row>
    <row r="291" spans="1:63" x14ac:dyDescent="0.25">
      <c r="A291" s="31" t="s">
        <v>6</v>
      </c>
      <c r="B291" s="7" t="s">
        <v>62</v>
      </c>
      <c r="C291" s="7">
        <v>61</v>
      </c>
      <c r="D291" s="7">
        <v>62</v>
      </c>
      <c r="E291" s="7">
        <v>63</v>
      </c>
      <c r="F291" s="7">
        <v>64</v>
      </c>
      <c r="G291" s="7">
        <v>65</v>
      </c>
      <c r="H291" s="7">
        <v>66</v>
      </c>
      <c r="I291" s="7">
        <v>67</v>
      </c>
      <c r="J291" s="7">
        <v>68</v>
      </c>
      <c r="K291" s="7">
        <v>69</v>
      </c>
      <c r="L291" s="7">
        <v>70</v>
      </c>
      <c r="M291" s="7">
        <v>71</v>
      </c>
      <c r="N291" s="7">
        <v>72</v>
      </c>
    </row>
    <row r="292" spans="1:63" x14ac:dyDescent="0.25">
      <c r="C292" s="7">
        <f>$B$290</f>
        <v>560.66666666666902</v>
      </c>
      <c r="D292" s="7">
        <f t="shared" ref="D292:N292" si="682">$B$290</f>
        <v>560.66666666666902</v>
      </c>
      <c r="E292" s="7">
        <f t="shared" si="682"/>
        <v>560.66666666666902</v>
      </c>
      <c r="F292" s="7">
        <f t="shared" si="682"/>
        <v>560.66666666666902</v>
      </c>
      <c r="G292" s="7">
        <f t="shared" si="682"/>
        <v>560.66666666666902</v>
      </c>
      <c r="H292" s="7">
        <f t="shared" si="682"/>
        <v>560.66666666666902</v>
      </c>
      <c r="I292" s="7">
        <f t="shared" si="682"/>
        <v>560.66666666666902</v>
      </c>
      <c r="J292" s="7">
        <f t="shared" si="682"/>
        <v>560.66666666666902</v>
      </c>
      <c r="K292" s="7">
        <f t="shared" si="682"/>
        <v>560.66666666666902</v>
      </c>
      <c r="L292" s="7">
        <f t="shared" si="682"/>
        <v>560.66666666666902</v>
      </c>
      <c r="M292" s="7">
        <f t="shared" si="682"/>
        <v>560.66666666666902</v>
      </c>
      <c r="N292" s="7">
        <f t="shared" si="682"/>
        <v>560.66666666666902</v>
      </c>
    </row>
    <row r="295" spans="1:63" x14ac:dyDescent="0.25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</row>
    <row r="297" spans="1:63" x14ac:dyDescent="0.25">
      <c r="A297" s="13" t="s">
        <v>1</v>
      </c>
      <c r="B297" s="13">
        <v>1</v>
      </c>
      <c r="C297" s="13">
        <v>2</v>
      </c>
      <c r="D297" s="13">
        <v>3</v>
      </c>
      <c r="E297" s="13">
        <v>4</v>
      </c>
      <c r="F297" s="13">
        <v>5</v>
      </c>
      <c r="G297" s="13">
        <v>6</v>
      </c>
      <c r="H297" s="13">
        <v>7</v>
      </c>
      <c r="I297" s="13">
        <v>8</v>
      </c>
      <c r="J297" s="13">
        <v>9</v>
      </c>
      <c r="K297" s="13">
        <v>10</v>
      </c>
      <c r="L297" s="13">
        <v>11</v>
      </c>
      <c r="M297" s="13">
        <v>12</v>
      </c>
      <c r="N297" s="13">
        <v>13</v>
      </c>
      <c r="O297" s="13">
        <v>14</v>
      </c>
      <c r="P297" s="13">
        <v>15</v>
      </c>
      <c r="Q297" s="13">
        <v>16</v>
      </c>
      <c r="R297" s="13">
        <v>17</v>
      </c>
      <c r="S297" s="13">
        <v>18</v>
      </c>
      <c r="T297" s="13">
        <v>19</v>
      </c>
      <c r="U297" s="13">
        <v>20</v>
      </c>
      <c r="V297" s="13">
        <v>21</v>
      </c>
      <c r="W297" s="13">
        <v>22</v>
      </c>
      <c r="X297" s="13">
        <v>23</v>
      </c>
      <c r="Y297" s="13">
        <v>24</v>
      </c>
      <c r="Z297" s="13">
        <v>25</v>
      </c>
      <c r="AA297" s="13">
        <v>26</v>
      </c>
      <c r="AB297" s="13">
        <v>27</v>
      </c>
      <c r="AC297" s="13">
        <v>28</v>
      </c>
      <c r="AD297" s="13">
        <v>29</v>
      </c>
      <c r="AE297" s="13">
        <v>30</v>
      </c>
      <c r="AF297" s="13">
        <v>31</v>
      </c>
      <c r="AG297" s="13">
        <v>32</v>
      </c>
      <c r="AH297" s="13">
        <v>33</v>
      </c>
      <c r="AI297" s="13">
        <v>34</v>
      </c>
      <c r="AJ297" s="13">
        <v>35</v>
      </c>
      <c r="AK297" s="13">
        <v>36</v>
      </c>
      <c r="AL297" s="13">
        <v>37</v>
      </c>
      <c r="AM297" s="13">
        <v>38</v>
      </c>
      <c r="AN297" s="13">
        <v>39</v>
      </c>
      <c r="AO297" s="13">
        <v>40</v>
      </c>
      <c r="AP297" s="13">
        <v>41</v>
      </c>
      <c r="AQ297" s="13">
        <v>42</v>
      </c>
      <c r="AR297" s="13">
        <v>43</v>
      </c>
      <c r="AS297" s="13">
        <v>44</v>
      </c>
      <c r="AT297" s="13">
        <v>45</v>
      </c>
      <c r="AU297" s="13">
        <v>46</v>
      </c>
      <c r="AV297" s="13">
        <v>47</v>
      </c>
      <c r="AW297" s="13">
        <v>48</v>
      </c>
      <c r="AX297" s="13">
        <v>49</v>
      </c>
      <c r="AY297" s="13">
        <v>50</v>
      </c>
      <c r="AZ297" s="13">
        <v>51</v>
      </c>
      <c r="BA297" s="13">
        <v>52</v>
      </c>
      <c r="BB297" s="13">
        <v>53</v>
      </c>
      <c r="BC297" s="13">
        <v>54</v>
      </c>
      <c r="BD297" s="13">
        <v>55</v>
      </c>
      <c r="BE297" s="13">
        <v>56</v>
      </c>
      <c r="BF297" s="13">
        <v>57</v>
      </c>
      <c r="BG297" s="13">
        <v>58</v>
      </c>
      <c r="BH297" s="13">
        <v>59</v>
      </c>
      <c r="BI297" s="13">
        <v>60</v>
      </c>
    </row>
    <row r="298" spans="1:63" x14ac:dyDescent="0.25">
      <c r="A298" s="13" t="s">
        <v>0</v>
      </c>
      <c r="B298" s="37">
        <f>'הזנת נתונים'!A66</f>
        <v>28</v>
      </c>
      <c r="C298" s="37">
        <f>'הזנת נתונים'!B66</f>
        <v>35</v>
      </c>
      <c r="D298" s="37">
        <f>'הזנת נתונים'!C66</f>
        <v>40</v>
      </c>
      <c r="E298" s="37">
        <f>'הזנת נתונים'!D66</f>
        <v>55</v>
      </c>
      <c r="F298" s="37">
        <f>'הזנת נתונים'!E66</f>
        <v>70</v>
      </c>
      <c r="G298" s="37">
        <f>'הזנת נתונים'!F66</f>
        <v>75</v>
      </c>
      <c r="H298" s="37">
        <f>'הזנת נתונים'!G66</f>
        <v>87.6666666666667</v>
      </c>
      <c r="I298" s="37">
        <f>'הזנת נתונים'!H66</f>
        <v>98.6666666666667</v>
      </c>
      <c r="J298" s="37">
        <f>'הזנת נתונים'!I66</f>
        <v>109.666666666667</v>
      </c>
      <c r="K298" s="37">
        <f>'הזנת נתונים'!J66</f>
        <v>120.666666666667</v>
      </c>
      <c r="L298" s="37">
        <f>'הזנת נתונים'!K66</f>
        <v>131.666666666667</v>
      </c>
      <c r="M298" s="37">
        <f>'הזנת נתונים'!L66</f>
        <v>142.666666666667</v>
      </c>
      <c r="N298" s="37">
        <f>'הזנת נתונים'!M66</f>
        <v>153.666666666667</v>
      </c>
      <c r="O298" s="37">
        <f>'הזנת נתונים'!N66</f>
        <v>164.666666666667</v>
      </c>
      <c r="P298" s="37">
        <f>'הזנת נתונים'!O66</f>
        <v>175.666666666667</v>
      </c>
      <c r="Q298" s="37">
        <f>'הזנת נתונים'!P66</f>
        <v>186.666666666667</v>
      </c>
      <c r="R298" s="37">
        <f>'הזנת נתונים'!Q66</f>
        <v>197.666666666667</v>
      </c>
      <c r="S298" s="37">
        <f>'הזנת נתונים'!R66</f>
        <v>208.666666666667</v>
      </c>
      <c r="T298" s="37">
        <f>'הזנת נתונים'!S66</f>
        <v>219.666666666667</v>
      </c>
      <c r="U298" s="37">
        <f>'הזנת נתונים'!T66</f>
        <v>230.666666666667</v>
      </c>
      <c r="V298" s="37">
        <f>'הזנת נתונים'!U66</f>
        <v>241.666666666667</v>
      </c>
      <c r="W298" s="37">
        <f>'הזנת נתונים'!V66</f>
        <v>252.666666666667</v>
      </c>
      <c r="X298" s="37">
        <f>'הזנת נתונים'!W66</f>
        <v>263.66666666666703</v>
      </c>
      <c r="Y298" s="37">
        <f>'הזנת נתונים'!X66</f>
        <v>274.66666666666703</v>
      </c>
      <c r="Z298" s="37">
        <f>'הזנת נתונים'!Y66</f>
        <v>285.66666666666799</v>
      </c>
      <c r="AA298" s="37">
        <f>'הזנת נתונים'!Z66</f>
        <v>296.66666666666799</v>
      </c>
      <c r="AB298" s="37">
        <f>'הזנת נתונים'!AA66</f>
        <v>307.66666666666799</v>
      </c>
      <c r="AC298" s="37">
        <f>'הזנת נתונים'!AB66</f>
        <v>318.66666666666799</v>
      </c>
      <c r="AD298" s="37">
        <f>'הזנת נתונים'!AC66</f>
        <v>329.66666666666799</v>
      </c>
      <c r="AE298" s="37">
        <f>'הזנת נתונים'!AD66</f>
        <v>340.66666666666799</v>
      </c>
      <c r="AF298" s="37">
        <f>'הזנת נתונים'!AE66</f>
        <v>351.66666666666799</v>
      </c>
      <c r="AG298" s="37">
        <f>'הזנת נתונים'!AF66</f>
        <v>362.66666666666799</v>
      </c>
      <c r="AH298" s="37">
        <f>'הזנת נתונים'!AG66</f>
        <v>373.66666666666799</v>
      </c>
      <c r="AI298" s="37">
        <f>'הזנת נתונים'!AH66</f>
        <v>384.66666666666799</v>
      </c>
      <c r="AJ298" s="37">
        <f>'הזנת נתונים'!AI66</f>
        <v>395.66666666666799</v>
      </c>
      <c r="AK298" s="37">
        <f>'הזנת נתונים'!AJ66</f>
        <v>406.66666666666799</v>
      </c>
      <c r="AL298" s="37">
        <f>'הזנת נתונים'!AK66</f>
        <v>417.66666666666799</v>
      </c>
      <c r="AM298" s="37">
        <f>'הזנת נתונים'!AL66</f>
        <v>428.66666666666902</v>
      </c>
      <c r="AN298" s="37">
        <f>'הזנת נתונים'!AM66</f>
        <v>439.66666666666902</v>
      </c>
      <c r="AO298" s="37">
        <f>'הזנת נתונים'!AN66</f>
        <v>450.66666666666902</v>
      </c>
      <c r="AP298" s="37">
        <f>'הזנת נתונים'!AO66</f>
        <v>461.66666666666902</v>
      </c>
      <c r="AQ298" s="37">
        <f>'הזנת נתונים'!AP66</f>
        <v>472.66666666666902</v>
      </c>
      <c r="AR298" s="37">
        <f>'הזנת נתונים'!AQ66</f>
        <v>483.66666666666902</v>
      </c>
      <c r="AS298" s="37">
        <f>'הזנת נתונים'!AR66</f>
        <v>494.66666666666902</v>
      </c>
      <c r="AT298" s="37">
        <f>'הזנת נתונים'!AS66</f>
        <v>505.66666666666799</v>
      </c>
      <c r="AU298" s="37">
        <f>'הזנת נתונים'!AT66</f>
        <v>516.66666666666902</v>
      </c>
      <c r="AV298" s="37">
        <f>'הזנת נתונים'!AU66</f>
        <v>527.66666666666902</v>
      </c>
      <c r="AW298" s="37">
        <f>'הזנת נתונים'!AV66</f>
        <v>538.66666666666902</v>
      </c>
      <c r="AX298" s="37">
        <f>'הזנת נתונים'!AW66</f>
        <v>549.66666666666902</v>
      </c>
      <c r="AY298" s="37">
        <f>'הזנת נתונים'!AX66</f>
        <v>560.66666666666902</v>
      </c>
      <c r="AZ298" s="37">
        <f>'הזנת נתונים'!AY66</f>
        <v>571.66666666666902</v>
      </c>
      <c r="BA298" s="37">
        <f>'הזנת נתונים'!AZ66</f>
        <v>582.66666666666902</v>
      </c>
      <c r="BB298" s="37">
        <f>'הזנת נתונים'!BA66</f>
        <v>593.66666666666902</v>
      </c>
      <c r="BC298" s="37">
        <f>'הזנת נתונים'!BB66</f>
        <v>604.66666666666902</v>
      </c>
      <c r="BD298" s="37">
        <f>'הזנת נתונים'!BC66</f>
        <v>615.66666666666902</v>
      </c>
      <c r="BE298" s="37">
        <f>'הזנת נתונים'!BD66</f>
        <v>626.66666666666902</v>
      </c>
      <c r="BF298" s="37">
        <f>'הזנת נתונים'!BE66</f>
        <v>637.66666666666902</v>
      </c>
      <c r="BG298" s="37">
        <f>'הזנת נתונים'!BF66</f>
        <v>648.66666666666902</v>
      </c>
      <c r="BH298" s="37">
        <f>'הזנת נתונים'!BG66</f>
        <v>659.66666666666902</v>
      </c>
      <c r="BI298" s="37">
        <f>'הזנת נתונים'!BH66</f>
        <v>670.66666666666902</v>
      </c>
    </row>
    <row r="299" spans="1:63" x14ac:dyDescent="0.25">
      <c r="A299" s="13" t="s">
        <v>2</v>
      </c>
      <c r="B299" t="e">
        <v>#N/A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  <c r="H299" t="e">
        <v>#N/A</v>
      </c>
      <c r="I299" t="e">
        <v>#N/A</v>
      </c>
      <c r="J299" t="e">
        <v>#N/A</v>
      </c>
      <c r="K299" t="e">
        <v>#N/A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 t="e">
        <v>#N/A</v>
      </c>
      <c r="W299">
        <f t="shared" ref="W299:BI299" si="683">AVERAGE(B298:W298)</f>
        <v>137.53030303030323</v>
      </c>
      <c r="X299">
        <f t="shared" si="683"/>
        <v>148.24242424242445</v>
      </c>
      <c r="Y299">
        <f t="shared" si="683"/>
        <v>159.13636363636385</v>
      </c>
      <c r="Z299">
        <f t="shared" si="683"/>
        <v>170.3030303030306</v>
      </c>
      <c r="AA299">
        <f t="shared" si="683"/>
        <v>181.28787878787912</v>
      </c>
      <c r="AB299">
        <f t="shared" si="683"/>
        <v>192.09090909090949</v>
      </c>
      <c r="AC299">
        <f t="shared" si="683"/>
        <v>203.16666666666714</v>
      </c>
      <c r="AD299">
        <f t="shared" si="683"/>
        <v>214.16666666666717</v>
      </c>
      <c r="AE299">
        <f t="shared" si="683"/>
        <v>225.16666666666725</v>
      </c>
      <c r="AF299">
        <f t="shared" si="683"/>
        <v>236.16666666666731</v>
      </c>
      <c r="AG299">
        <f t="shared" si="683"/>
        <v>247.16666666666734</v>
      </c>
      <c r="AH299">
        <f t="shared" si="683"/>
        <v>258.16666666666737</v>
      </c>
      <c r="AI299">
        <f t="shared" si="683"/>
        <v>269.16666666666742</v>
      </c>
      <c r="AJ299">
        <f t="shared" si="683"/>
        <v>280.16666666666748</v>
      </c>
      <c r="AK299">
        <f t="shared" si="683"/>
        <v>291.16666666666748</v>
      </c>
      <c r="AL299">
        <f t="shared" si="683"/>
        <v>302.16666666666754</v>
      </c>
      <c r="AM299">
        <f t="shared" si="683"/>
        <v>313.16666666666765</v>
      </c>
      <c r="AN299">
        <f t="shared" si="683"/>
        <v>324.16666666666771</v>
      </c>
      <c r="AO299">
        <f t="shared" si="683"/>
        <v>335.16666666666782</v>
      </c>
      <c r="AP299">
        <f t="shared" si="683"/>
        <v>346.16666666666788</v>
      </c>
      <c r="AQ299">
        <f t="shared" si="683"/>
        <v>357.16666666666794</v>
      </c>
      <c r="AR299">
        <f t="shared" si="683"/>
        <v>368.16666666666805</v>
      </c>
      <c r="AS299">
        <f t="shared" si="683"/>
        <v>379.16666666666811</v>
      </c>
      <c r="AT299">
        <f t="shared" si="683"/>
        <v>390.16666666666822</v>
      </c>
      <c r="AU299">
        <f t="shared" si="683"/>
        <v>401.16666666666828</v>
      </c>
      <c r="AV299">
        <f t="shared" si="683"/>
        <v>412.16666666666839</v>
      </c>
      <c r="AW299">
        <f t="shared" si="683"/>
        <v>423.16666666666845</v>
      </c>
      <c r="AX299">
        <f t="shared" si="683"/>
        <v>434.16666666666845</v>
      </c>
      <c r="AY299">
        <f t="shared" si="683"/>
        <v>445.16666666666856</v>
      </c>
      <c r="AZ299">
        <f t="shared" si="683"/>
        <v>456.16666666666862</v>
      </c>
      <c r="BA299">
        <f t="shared" si="683"/>
        <v>467.16666666666862</v>
      </c>
      <c r="BB299">
        <f t="shared" si="683"/>
        <v>478.16666666666873</v>
      </c>
      <c r="BC299">
        <f t="shared" si="683"/>
        <v>489.16666666666879</v>
      </c>
      <c r="BD299">
        <f t="shared" si="683"/>
        <v>500.16666666666879</v>
      </c>
      <c r="BE299">
        <f t="shared" si="683"/>
        <v>511.16666666666885</v>
      </c>
      <c r="BF299">
        <f t="shared" si="683"/>
        <v>522.1666666666689</v>
      </c>
      <c r="BG299">
        <f t="shared" si="683"/>
        <v>533.1666666666689</v>
      </c>
      <c r="BH299">
        <f t="shared" si="683"/>
        <v>544.16666666666902</v>
      </c>
      <c r="BI299">
        <f t="shared" si="683"/>
        <v>555.16666666666902</v>
      </c>
    </row>
    <row r="300" spans="1:63" x14ac:dyDescent="0.25">
      <c r="A300" s="13" t="s">
        <v>9</v>
      </c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>
        <f t="shared" ref="X300:BI300" si="684">W299</f>
        <v>137.53030303030323</v>
      </c>
      <c r="Y300" s="7">
        <f t="shared" si="684"/>
        <v>148.24242424242445</v>
      </c>
      <c r="Z300" s="7">
        <f t="shared" si="684"/>
        <v>159.13636363636385</v>
      </c>
      <c r="AA300" s="7">
        <f t="shared" si="684"/>
        <v>170.3030303030306</v>
      </c>
      <c r="AB300" s="7">
        <f t="shared" si="684"/>
        <v>181.28787878787912</v>
      </c>
      <c r="AC300" s="7">
        <f t="shared" si="684"/>
        <v>192.09090909090949</v>
      </c>
      <c r="AD300" s="7">
        <f t="shared" si="684"/>
        <v>203.16666666666714</v>
      </c>
      <c r="AE300" s="7">
        <f t="shared" si="684"/>
        <v>214.16666666666717</v>
      </c>
      <c r="AF300" s="7">
        <f t="shared" si="684"/>
        <v>225.16666666666725</v>
      </c>
      <c r="AG300" s="7">
        <f t="shared" si="684"/>
        <v>236.16666666666731</v>
      </c>
      <c r="AH300" s="7">
        <f t="shared" si="684"/>
        <v>247.16666666666734</v>
      </c>
      <c r="AI300" s="7">
        <f t="shared" si="684"/>
        <v>258.16666666666737</v>
      </c>
      <c r="AJ300" s="7">
        <f t="shared" si="684"/>
        <v>269.16666666666742</v>
      </c>
      <c r="AK300" s="7">
        <f t="shared" si="684"/>
        <v>280.16666666666748</v>
      </c>
      <c r="AL300" s="7">
        <f t="shared" si="684"/>
        <v>291.16666666666748</v>
      </c>
      <c r="AM300" s="7">
        <f t="shared" si="684"/>
        <v>302.16666666666754</v>
      </c>
      <c r="AN300" s="7">
        <f t="shared" si="684"/>
        <v>313.16666666666765</v>
      </c>
      <c r="AO300" s="7">
        <f t="shared" si="684"/>
        <v>324.16666666666771</v>
      </c>
      <c r="AP300" s="7">
        <f t="shared" si="684"/>
        <v>335.16666666666782</v>
      </c>
      <c r="AQ300" s="7">
        <f t="shared" si="684"/>
        <v>346.16666666666788</v>
      </c>
      <c r="AR300" s="7">
        <f t="shared" si="684"/>
        <v>357.16666666666794</v>
      </c>
      <c r="AS300" s="7">
        <f t="shared" si="684"/>
        <v>368.16666666666805</v>
      </c>
      <c r="AT300" s="7">
        <f t="shared" si="684"/>
        <v>379.16666666666811</v>
      </c>
      <c r="AU300" s="7">
        <f t="shared" si="684"/>
        <v>390.16666666666822</v>
      </c>
      <c r="AV300" s="7">
        <f t="shared" si="684"/>
        <v>401.16666666666828</v>
      </c>
      <c r="AW300" s="7">
        <f t="shared" si="684"/>
        <v>412.16666666666839</v>
      </c>
      <c r="AX300" s="7">
        <f t="shared" si="684"/>
        <v>423.16666666666845</v>
      </c>
      <c r="AY300" s="7">
        <f t="shared" si="684"/>
        <v>434.16666666666845</v>
      </c>
      <c r="AZ300" s="7">
        <f t="shared" si="684"/>
        <v>445.16666666666856</v>
      </c>
      <c r="BA300" s="7">
        <f t="shared" si="684"/>
        <v>456.16666666666862</v>
      </c>
      <c r="BB300" s="7">
        <f t="shared" si="684"/>
        <v>467.16666666666862</v>
      </c>
      <c r="BC300" s="7">
        <f t="shared" si="684"/>
        <v>478.16666666666873</v>
      </c>
      <c r="BD300" s="7">
        <f t="shared" si="684"/>
        <v>489.16666666666879</v>
      </c>
      <c r="BE300" s="7">
        <f t="shared" si="684"/>
        <v>500.16666666666879</v>
      </c>
      <c r="BF300" s="7">
        <f t="shared" si="684"/>
        <v>511.16666666666885</v>
      </c>
      <c r="BG300" s="7">
        <f t="shared" si="684"/>
        <v>522.1666666666689</v>
      </c>
      <c r="BH300" s="7">
        <f t="shared" si="684"/>
        <v>533.1666666666689</v>
      </c>
      <c r="BI300" s="7">
        <f t="shared" si="684"/>
        <v>544.16666666666902</v>
      </c>
    </row>
    <row r="301" spans="1:63" x14ac:dyDescent="0.25">
      <c r="A301" s="13" t="s">
        <v>4</v>
      </c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>
        <f t="shared" ref="X301" si="685">X300-X298</f>
        <v>-126.1363636363638</v>
      </c>
      <c r="Y301" s="7">
        <f t="shared" ref="Y301" si="686">Y300-Y298</f>
        <v>-126.42424242424258</v>
      </c>
      <c r="Z301" s="7">
        <f t="shared" ref="Z301" si="687">Z300-Z298</f>
        <v>-126.53030303030414</v>
      </c>
      <c r="AA301" s="7">
        <f t="shared" ref="AA301" si="688">AA300-AA298</f>
        <v>-126.3636363636374</v>
      </c>
      <c r="AB301" s="7">
        <f t="shared" ref="AB301" si="689">AB300-AB298</f>
        <v>-126.37878787878887</v>
      </c>
      <c r="AC301" s="7">
        <f t="shared" ref="AC301" si="690">AC300-AC298</f>
        <v>-126.5757575757585</v>
      </c>
      <c r="AD301" s="7">
        <f t="shared" ref="AD301" si="691">AD300-AD298</f>
        <v>-126.50000000000085</v>
      </c>
      <c r="AE301" s="7">
        <f t="shared" ref="AE301" si="692">AE300-AE298</f>
        <v>-126.50000000000082</v>
      </c>
      <c r="AF301" s="7">
        <f t="shared" ref="AF301" si="693">AF300-AF298</f>
        <v>-126.50000000000074</v>
      </c>
      <c r="AG301" s="7">
        <f t="shared" ref="AG301" si="694">AG300-AG298</f>
        <v>-126.50000000000068</v>
      </c>
      <c r="AH301" s="7">
        <f t="shared" ref="AH301" si="695">AH300-AH298</f>
        <v>-126.50000000000065</v>
      </c>
      <c r="AI301" s="7">
        <f t="shared" ref="AI301" si="696">AI300-AI298</f>
        <v>-126.50000000000063</v>
      </c>
      <c r="AJ301" s="7">
        <f t="shared" ref="AJ301" si="697">AJ300-AJ298</f>
        <v>-126.50000000000057</v>
      </c>
      <c r="AK301" s="7">
        <f t="shared" ref="AK301" si="698">AK300-AK298</f>
        <v>-126.50000000000051</v>
      </c>
      <c r="AL301" s="7">
        <f t="shared" ref="AL301" si="699">AL300-AL298</f>
        <v>-126.50000000000051</v>
      </c>
      <c r="AM301" s="7">
        <f t="shared" ref="AM301" si="700">AM300-AM298</f>
        <v>-126.50000000000148</v>
      </c>
      <c r="AN301" s="7">
        <f t="shared" ref="AN301" si="701">AN300-AN298</f>
        <v>-126.50000000000136</v>
      </c>
      <c r="AO301" s="7">
        <f t="shared" ref="AO301" si="702">AO300-AO298</f>
        <v>-126.50000000000131</v>
      </c>
      <c r="AP301" s="7">
        <f t="shared" ref="AP301" si="703">AP300-AP298</f>
        <v>-126.50000000000119</v>
      </c>
      <c r="AQ301" s="7">
        <f t="shared" ref="AQ301" si="704">AQ300-AQ298</f>
        <v>-126.50000000000114</v>
      </c>
      <c r="AR301" s="7">
        <f t="shared" ref="AR301" si="705">AR300-AR298</f>
        <v>-126.50000000000108</v>
      </c>
      <c r="AS301" s="7">
        <f t="shared" ref="AS301" si="706">AS300-AS298</f>
        <v>-126.50000000000097</v>
      </c>
      <c r="AT301" s="7">
        <f t="shared" ref="AT301" si="707">AT300-AT298</f>
        <v>-126.49999999999989</v>
      </c>
      <c r="AU301" s="7">
        <f t="shared" ref="AU301" si="708">AU300-AU298</f>
        <v>-126.5000000000008</v>
      </c>
      <c r="AV301" s="7">
        <f t="shared" ref="AV301" si="709">AV300-AV298</f>
        <v>-126.50000000000074</v>
      </c>
      <c r="AW301" s="7">
        <f t="shared" ref="AW301" si="710">AW300-AW298</f>
        <v>-126.50000000000063</v>
      </c>
      <c r="AX301" s="7">
        <f t="shared" ref="AX301" si="711">AX300-AX298</f>
        <v>-126.50000000000057</v>
      </c>
      <c r="AY301" s="7">
        <f t="shared" ref="AY301" si="712">AY300-AY298</f>
        <v>-126.50000000000057</v>
      </c>
      <c r="AZ301" s="7">
        <f t="shared" ref="AZ301" si="713">AZ300-AZ298</f>
        <v>-126.50000000000045</v>
      </c>
      <c r="BA301" s="7">
        <f t="shared" ref="BA301" si="714">BA300-BA298</f>
        <v>-126.5000000000004</v>
      </c>
      <c r="BB301" s="7">
        <f t="shared" ref="BB301" si="715">BB300-BB298</f>
        <v>-126.5000000000004</v>
      </c>
      <c r="BC301" s="7">
        <f t="shared" ref="BC301" si="716">BC300-BC298</f>
        <v>-126.50000000000028</v>
      </c>
      <c r="BD301" s="7">
        <f t="shared" ref="BD301" si="717">BD300-BD298</f>
        <v>-126.50000000000023</v>
      </c>
      <c r="BE301" s="7">
        <f t="shared" ref="BE301" si="718">BE300-BE298</f>
        <v>-126.50000000000023</v>
      </c>
      <c r="BF301" s="7">
        <f t="shared" ref="BF301" si="719">BF300-BF298</f>
        <v>-126.50000000000017</v>
      </c>
      <c r="BG301" s="7">
        <f t="shared" ref="BG301" si="720">BG300-BG298</f>
        <v>-126.50000000000011</v>
      </c>
      <c r="BH301" s="7">
        <f t="shared" ref="BH301" si="721">BH300-BH298</f>
        <v>-126.50000000000011</v>
      </c>
      <c r="BI301" s="7">
        <f t="shared" ref="BI301" si="722">BI300-BI298</f>
        <v>-126.5</v>
      </c>
    </row>
    <row r="302" spans="1:63" x14ac:dyDescent="0.25">
      <c r="A302" s="13" t="s">
        <v>12</v>
      </c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>
        <f t="shared" ref="X302" si="723">X301^2</f>
        <v>15910.382231404999</v>
      </c>
      <c r="Y302" s="7">
        <f t="shared" ref="Y302" si="724">Y301^2</f>
        <v>15983.089072543657</v>
      </c>
      <c r="Z302" s="7">
        <f t="shared" ref="Z302" si="725">Z301^2</f>
        <v>16009.917584940593</v>
      </c>
      <c r="AA302" s="7">
        <f t="shared" ref="AA302" si="726">AA301^2</f>
        <v>15967.768595041583</v>
      </c>
      <c r="AB302" s="7">
        <f t="shared" ref="AB302" si="727">AB301^2</f>
        <v>15971.598025711912</v>
      </c>
      <c r="AC302" s="7">
        <f t="shared" ref="AC302" si="728">AC301^2</f>
        <v>16021.422405877185</v>
      </c>
      <c r="AD302" s="7">
        <f t="shared" ref="AD302" si="729">AD301^2</f>
        <v>16002.250000000216</v>
      </c>
      <c r="AE302" s="7">
        <f t="shared" ref="AE302" si="730">AE301^2</f>
        <v>16002.250000000209</v>
      </c>
      <c r="AF302" s="7">
        <f t="shared" ref="AF302" si="731">AF301^2</f>
        <v>16002.250000000187</v>
      </c>
      <c r="AG302" s="7">
        <f t="shared" ref="AG302" si="732">AG301^2</f>
        <v>16002.250000000173</v>
      </c>
      <c r="AH302" s="7">
        <f t="shared" ref="AH302" si="733">AH301^2</f>
        <v>16002.250000000166</v>
      </c>
      <c r="AI302" s="7">
        <f t="shared" ref="AI302" si="734">AI301^2</f>
        <v>16002.250000000158</v>
      </c>
      <c r="AJ302" s="7">
        <f t="shared" ref="AJ302" si="735">AJ301^2</f>
        <v>16002.250000000144</v>
      </c>
      <c r="AK302" s="7">
        <f t="shared" ref="AK302" si="736">AK301^2</f>
        <v>16002.250000000129</v>
      </c>
      <c r="AL302" s="7">
        <f t="shared" ref="AL302" si="737">AL301^2</f>
        <v>16002.250000000129</v>
      </c>
      <c r="AM302" s="7">
        <f t="shared" ref="AM302" si="738">AM301^2</f>
        <v>16002.250000000375</v>
      </c>
      <c r="AN302" s="7">
        <f t="shared" ref="AN302" si="739">AN301^2</f>
        <v>16002.250000000346</v>
      </c>
      <c r="AO302" s="7">
        <f t="shared" ref="AO302" si="740">AO301^2</f>
        <v>16002.250000000331</v>
      </c>
      <c r="AP302" s="7">
        <f t="shared" ref="AP302" si="741">AP301^2</f>
        <v>16002.250000000302</v>
      </c>
      <c r="AQ302" s="7">
        <f t="shared" ref="AQ302" si="742">AQ301^2</f>
        <v>16002.250000000287</v>
      </c>
      <c r="AR302" s="7">
        <f t="shared" ref="AR302" si="743">AR301^2</f>
        <v>16002.250000000273</v>
      </c>
      <c r="AS302" s="7">
        <f t="shared" ref="AS302" si="744">AS301^2</f>
        <v>16002.250000000244</v>
      </c>
      <c r="AT302" s="7">
        <f t="shared" ref="AT302" si="745">AT301^2</f>
        <v>16002.249999999971</v>
      </c>
      <c r="AU302" s="7">
        <f t="shared" ref="AU302" si="746">AU301^2</f>
        <v>16002.250000000202</v>
      </c>
      <c r="AV302" s="7">
        <f t="shared" ref="AV302" si="747">AV301^2</f>
        <v>16002.250000000187</v>
      </c>
      <c r="AW302" s="7">
        <f t="shared" ref="AW302" si="748">AW301^2</f>
        <v>16002.250000000158</v>
      </c>
      <c r="AX302" s="7">
        <f t="shared" ref="AX302" si="749">AX301^2</f>
        <v>16002.250000000144</v>
      </c>
      <c r="AY302" s="7">
        <f t="shared" ref="AY302" si="750">AY301^2</f>
        <v>16002.250000000144</v>
      </c>
      <c r="AZ302" s="7">
        <f t="shared" ref="AZ302" si="751">AZ301^2</f>
        <v>16002.250000000115</v>
      </c>
      <c r="BA302" s="7">
        <f t="shared" ref="BA302" si="752">BA301^2</f>
        <v>16002.2500000001</v>
      </c>
      <c r="BB302" s="7">
        <f t="shared" ref="BB302" si="753">BB301^2</f>
        <v>16002.2500000001</v>
      </c>
      <c r="BC302" s="7">
        <f t="shared" ref="BC302" si="754">BC301^2</f>
        <v>16002.250000000073</v>
      </c>
      <c r="BD302" s="7">
        <f t="shared" ref="BD302" si="755">BD301^2</f>
        <v>16002.250000000058</v>
      </c>
      <c r="BE302" s="7">
        <f t="shared" ref="BE302" si="756">BE301^2</f>
        <v>16002.250000000058</v>
      </c>
      <c r="BF302" s="7">
        <f t="shared" ref="BF302" si="757">BF301^2</f>
        <v>16002.250000000044</v>
      </c>
      <c r="BG302" s="7">
        <f t="shared" ref="BG302" si="758">BG301^2</f>
        <v>16002.250000000029</v>
      </c>
      <c r="BH302" s="7">
        <f t="shared" ref="BH302" si="759">BH301^2</f>
        <v>16002.250000000029</v>
      </c>
      <c r="BI302" s="7">
        <f t="shared" ref="BI302" si="760">BI301^2</f>
        <v>16002.25</v>
      </c>
    </row>
    <row r="303" spans="1:63" x14ac:dyDescent="0.25">
      <c r="A303" s="38" t="s">
        <v>11</v>
      </c>
      <c r="B303" s="38">
        <v>22</v>
      </c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3" x14ac:dyDescent="0.25">
      <c r="A304" s="8" t="s">
        <v>5</v>
      </c>
      <c r="B304" s="8">
        <f>AVERAGE(G302:BI302)</f>
        <v>15998.320471461177</v>
      </c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3" x14ac:dyDescent="0.25">
      <c r="A305" s="7" t="s">
        <v>7</v>
      </c>
      <c r="B305" s="7">
        <f>$BI$299</f>
        <v>555.16666666666902</v>
      </c>
    </row>
    <row r="306" spans="1:63" x14ac:dyDescent="0.25">
      <c r="A306" s="31" t="s">
        <v>6</v>
      </c>
      <c r="B306" s="7" t="s">
        <v>62</v>
      </c>
      <c r="C306" s="7">
        <v>61</v>
      </c>
      <c r="D306" s="7">
        <v>62</v>
      </c>
      <c r="E306" s="7">
        <v>63</v>
      </c>
      <c r="F306" s="7">
        <v>64</v>
      </c>
      <c r="G306" s="7">
        <v>65</v>
      </c>
      <c r="H306" s="7">
        <v>66</v>
      </c>
      <c r="I306" s="7">
        <v>67</v>
      </c>
      <c r="J306" s="7">
        <v>68</v>
      </c>
      <c r="K306" s="7">
        <v>69</v>
      </c>
      <c r="L306" s="7">
        <v>70</v>
      </c>
      <c r="M306" s="7">
        <v>71</v>
      </c>
      <c r="N306" s="7">
        <v>72</v>
      </c>
    </row>
    <row r="307" spans="1:63" x14ac:dyDescent="0.25">
      <c r="C307" s="7">
        <f>$B$305</f>
        <v>555.16666666666902</v>
      </c>
      <c r="D307" s="7">
        <f t="shared" ref="D307:N307" si="761">$B$305</f>
        <v>555.16666666666902</v>
      </c>
      <c r="E307" s="7">
        <f t="shared" si="761"/>
        <v>555.16666666666902</v>
      </c>
      <c r="F307" s="7">
        <f t="shared" si="761"/>
        <v>555.16666666666902</v>
      </c>
      <c r="G307" s="7">
        <f t="shared" si="761"/>
        <v>555.16666666666902</v>
      </c>
      <c r="H307" s="7">
        <f t="shared" si="761"/>
        <v>555.16666666666902</v>
      </c>
      <c r="I307" s="7">
        <f t="shared" si="761"/>
        <v>555.16666666666902</v>
      </c>
      <c r="J307" s="7">
        <f t="shared" si="761"/>
        <v>555.16666666666902</v>
      </c>
      <c r="K307" s="7">
        <f t="shared" si="761"/>
        <v>555.16666666666902</v>
      </c>
      <c r="L307" s="7">
        <f t="shared" si="761"/>
        <v>555.16666666666902</v>
      </c>
      <c r="M307" s="7">
        <f t="shared" si="761"/>
        <v>555.16666666666902</v>
      </c>
      <c r="N307" s="7">
        <f t="shared" si="761"/>
        <v>555.16666666666902</v>
      </c>
    </row>
    <row r="311" spans="1:63" x14ac:dyDescent="0.25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</row>
    <row r="313" spans="1:63" x14ac:dyDescent="0.25">
      <c r="A313" s="13" t="s">
        <v>1</v>
      </c>
      <c r="B313" s="13">
        <v>1</v>
      </c>
      <c r="C313" s="13">
        <v>2</v>
      </c>
      <c r="D313" s="13">
        <v>3</v>
      </c>
      <c r="E313" s="13">
        <v>4</v>
      </c>
      <c r="F313" s="13">
        <v>5</v>
      </c>
      <c r="G313" s="13">
        <v>6</v>
      </c>
      <c r="H313" s="13">
        <v>7</v>
      </c>
      <c r="I313" s="13">
        <v>8</v>
      </c>
      <c r="J313" s="13">
        <v>9</v>
      </c>
      <c r="K313" s="13">
        <v>10</v>
      </c>
      <c r="L313" s="13">
        <v>11</v>
      </c>
      <c r="M313" s="13">
        <v>12</v>
      </c>
      <c r="N313" s="13">
        <v>13</v>
      </c>
      <c r="O313" s="13">
        <v>14</v>
      </c>
      <c r="P313" s="13">
        <v>15</v>
      </c>
      <c r="Q313" s="13">
        <v>16</v>
      </c>
      <c r="R313" s="13">
        <v>17</v>
      </c>
      <c r="S313" s="13">
        <v>18</v>
      </c>
      <c r="T313" s="13">
        <v>19</v>
      </c>
      <c r="U313" s="13">
        <v>20</v>
      </c>
      <c r="V313" s="13">
        <v>21</v>
      </c>
      <c r="W313" s="13">
        <v>22</v>
      </c>
      <c r="X313" s="13">
        <v>23</v>
      </c>
      <c r="Y313" s="13">
        <v>24</v>
      </c>
      <c r="Z313" s="13">
        <v>25</v>
      </c>
      <c r="AA313" s="13">
        <v>26</v>
      </c>
      <c r="AB313" s="13">
        <v>27</v>
      </c>
      <c r="AC313" s="13">
        <v>28</v>
      </c>
      <c r="AD313" s="13">
        <v>29</v>
      </c>
      <c r="AE313" s="13">
        <v>30</v>
      </c>
      <c r="AF313" s="13">
        <v>31</v>
      </c>
      <c r="AG313" s="13">
        <v>32</v>
      </c>
      <c r="AH313" s="13">
        <v>33</v>
      </c>
      <c r="AI313" s="13">
        <v>34</v>
      </c>
      <c r="AJ313" s="13">
        <v>35</v>
      </c>
      <c r="AK313" s="13">
        <v>36</v>
      </c>
      <c r="AL313" s="13">
        <v>37</v>
      </c>
      <c r="AM313" s="13">
        <v>38</v>
      </c>
      <c r="AN313" s="13">
        <v>39</v>
      </c>
      <c r="AO313" s="13">
        <v>40</v>
      </c>
      <c r="AP313" s="13">
        <v>41</v>
      </c>
      <c r="AQ313" s="13">
        <v>42</v>
      </c>
      <c r="AR313" s="13">
        <v>43</v>
      </c>
      <c r="AS313" s="13">
        <v>44</v>
      </c>
      <c r="AT313" s="13">
        <v>45</v>
      </c>
      <c r="AU313" s="13">
        <v>46</v>
      </c>
      <c r="AV313" s="13">
        <v>47</v>
      </c>
      <c r="AW313" s="13">
        <v>48</v>
      </c>
      <c r="AX313" s="13">
        <v>49</v>
      </c>
      <c r="AY313" s="13">
        <v>50</v>
      </c>
      <c r="AZ313" s="13">
        <v>51</v>
      </c>
      <c r="BA313" s="13">
        <v>52</v>
      </c>
      <c r="BB313" s="13">
        <v>53</v>
      </c>
      <c r="BC313" s="13">
        <v>54</v>
      </c>
      <c r="BD313" s="13">
        <v>55</v>
      </c>
      <c r="BE313" s="13">
        <v>56</v>
      </c>
      <c r="BF313" s="13">
        <v>57</v>
      </c>
      <c r="BG313" s="13">
        <v>58</v>
      </c>
      <c r="BH313" s="13">
        <v>59</v>
      </c>
      <c r="BI313" s="13">
        <v>60</v>
      </c>
    </row>
    <row r="314" spans="1:63" x14ac:dyDescent="0.25">
      <c r="A314" s="13" t="s">
        <v>0</v>
      </c>
      <c r="B314" s="37">
        <f>'הזנת נתונים'!A66</f>
        <v>28</v>
      </c>
      <c r="C314" s="37">
        <f>'הזנת נתונים'!B66</f>
        <v>35</v>
      </c>
      <c r="D314" s="37">
        <f>'הזנת נתונים'!C66</f>
        <v>40</v>
      </c>
      <c r="E314" s="37">
        <f>'הזנת נתונים'!D66</f>
        <v>55</v>
      </c>
      <c r="F314" s="37">
        <f>'הזנת נתונים'!E66</f>
        <v>70</v>
      </c>
      <c r="G314" s="37">
        <f>'הזנת נתונים'!F66</f>
        <v>75</v>
      </c>
      <c r="H314" s="37">
        <f>'הזנת נתונים'!G66</f>
        <v>87.6666666666667</v>
      </c>
      <c r="I314" s="37">
        <f>'הזנת נתונים'!H66</f>
        <v>98.6666666666667</v>
      </c>
      <c r="J314" s="37">
        <f>'הזנת נתונים'!I66</f>
        <v>109.666666666667</v>
      </c>
      <c r="K314" s="37">
        <f>'הזנת נתונים'!J66</f>
        <v>120.666666666667</v>
      </c>
      <c r="L314" s="37">
        <f>'הזנת נתונים'!K66</f>
        <v>131.666666666667</v>
      </c>
      <c r="M314" s="37">
        <f>'הזנת נתונים'!L66</f>
        <v>142.666666666667</v>
      </c>
      <c r="N314" s="37">
        <f>'הזנת נתונים'!M66</f>
        <v>153.666666666667</v>
      </c>
      <c r="O314" s="37">
        <f>'הזנת נתונים'!N66</f>
        <v>164.666666666667</v>
      </c>
      <c r="P314" s="37">
        <f>'הזנת נתונים'!O66</f>
        <v>175.666666666667</v>
      </c>
      <c r="Q314" s="37">
        <f>'הזנת נתונים'!P66</f>
        <v>186.666666666667</v>
      </c>
      <c r="R314" s="37">
        <f>'הזנת נתונים'!Q66</f>
        <v>197.666666666667</v>
      </c>
      <c r="S314" s="37">
        <f>'הזנת נתונים'!R66</f>
        <v>208.666666666667</v>
      </c>
      <c r="T314" s="37">
        <f>'הזנת נתונים'!S66</f>
        <v>219.666666666667</v>
      </c>
      <c r="U314" s="37">
        <f>'הזנת נתונים'!T66</f>
        <v>230.666666666667</v>
      </c>
      <c r="V314" s="37">
        <f>'הזנת נתונים'!U66</f>
        <v>241.666666666667</v>
      </c>
      <c r="W314" s="37">
        <f>'הזנת נתונים'!V66</f>
        <v>252.666666666667</v>
      </c>
      <c r="X314" s="37">
        <f>'הזנת נתונים'!W66</f>
        <v>263.66666666666703</v>
      </c>
      <c r="Y314" s="37">
        <f>'הזנת נתונים'!X66</f>
        <v>274.66666666666703</v>
      </c>
      <c r="Z314" s="37">
        <f>'הזנת נתונים'!Y66</f>
        <v>285.66666666666799</v>
      </c>
      <c r="AA314" s="37">
        <f>'הזנת נתונים'!Z66</f>
        <v>296.66666666666799</v>
      </c>
      <c r="AB314" s="37">
        <f>'הזנת נתונים'!AA66</f>
        <v>307.66666666666799</v>
      </c>
      <c r="AC314" s="37">
        <f>'הזנת נתונים'!AB66</f>
        <v>318.66666666666799</v>
      </c>
      <c r="AD314" s="37">
        <f>'הזנת נתונים'!AC66</f>
        <v>329.66666666666799</v>
      </c>
      <c r="AE314" s="37">
        <f>'הזנת נתונים'!AD66</f>
        <v>340.66666666666799</v>
      </c>
      <c r="AF314" s="37">
        <f>'הזנת נתונים'!AE66</f>
        <v>351.66666666666799</v>
      </c>
      <c r="AG314" s="37">
        <f>'הזנת נתונים'!AF66</f>
        <v>362.66666666666799</v>
      </c>
      <c r="AH314" s="37">
        <f>'הזנת נתונים'!AG66</f>
        <v>373.66666666666799</v>
      </c>
      <c r="AI314" s="37">
        <f>'הזנת נתונים'!AH66</f>
        <v>384.66666666666799</v>
      </c>
      <c r="AJ314" s="37">
        <f>'הזנת נתונים'!AI66</f>
        <v>395.66666666666799</v>
      </c>
      <c r="AK314" s="37">
        <f>'הזנת נתונים'!AJ66</f>
        <v>406.66666666666799</v>
      </c>
      <c r="AL314" s="37">
        <f>'הזנת נתונים'!AK66</f>
        <v>417.66666666666799</v>
      </c>
      <c r="AM314" s="37">
        <f>'הזנת נתונים'!AL66</f>
        <v>428.66666666666902</v>
      </c>
      <c r="AN314" s="37">
        <f>'הזנת נתונים'!AM66</f>
        <v>439.66666666666902</v>
      </c>
      <c r="AO314" s="37">
        <f>'הזנת נתונים'!AN66</f>
        <v>450.66666666666902</v>
      </c>
      <c r="AP314" s="37">
        <f>'הזנת נתונים'!AO66</f>
        <v>461.66666666666902</v>
      </c>
      <c r="AQ314" s="37">
        <f>'הזנת נתונים'!AP66</f>
        <v>472.66666666666902</v>
      </c>
      <c r="AR314" s="37">
        <f>'הזנת נתונים'!AQ66</f>
        <v>483.66666666666902</v>
      </c>
      <c r="AS314" s="37">
        <f>'הזנת נתונים'!AR66</f>
        <v>494.66666666666902</v>
      </c>
      <c r="AT314" s="37">
        <f>'הזנת נתונים'!AS66</f>
        <v>505.66666666666799</v>
      </c>
      <c r="AU314" s="37">
        <f>'הזנת נתונים'!AT66</f>
        <v>516.66666666666902</v>
      </c>
      <c r="AV314" s="37">
        <f>'הזנת נתונים'!AU66</f>
        <v>527.66666666666902</v>
      </c>
      <c r="AW314" s="37">
        <f>'הזנת נתונים'!AV66</f>
        <v>538.66666666666902</v>
      </c>
      <c r="AX314" s="37">
        <f>'הזנת נתונים'!AW66</f>
        <v>549.66666666666902</v>
      </c>
      <c r="AY314" s="37">
        <f>'הזנת נתונים'!AX66</f>
        <v>560.66666666666902</v>
      </c>
      <c r="AZ314" s="37">
        <f>'הזנת נתונים'!AY66</f>
        <v>571.66666666666902</v>
      </c>
      <c r="BA314" s="37">
        <f>'הזנת נתונים'!AZ66</f>
        <v>582.66666666666902</v>
      </c>
      <c r="BB314" s="37">
        <f>'הזנת נתונים'!BA66</f>
        <v>593.66666666666902</v>
      </c>
      <c r="BC314" s="37">
        <f>'הזנת נתונים'!BB66</f>
        <v>604.66666666666902</v>
      </c>
      <c r="BD314" s="37">
        <f>'הזנת נתונים'!BC66</f>
        <v>615.66666666666902</v>
      </c>
      <c r="BE314" s="37">
        <f>'הזנת נתונים'!BD66</f>
        <v>626.66666666666902</v>
      </c>
      <c r="BF314" s="37">
        <f>'הזנת נתונים'!BE66</f>
        <v>637.66666666666902</v>
      </c>
      <c r="BG314" s="37">
        <f>'הזנת נתונים'!BF66</f>
        <v>648.66666666666902</v>
      </c>
      <c r="BH314" s="37">
        <f>'הזנת נתונים'!BG66</f>
        <v>659.66666666666902</v>
      </c>
      <c r="BI314" s="37">
        <f>'הזנת נתונים'!BH66</f>
        <v>670.66666666666902</v>
      </c>
    </row>
    <row r="315" spans="1:63" x14ac:dyDescent="0.25">
      <c r="A315" s="13" t="s">
        <v>2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 t="e">
        <v>#N/A</v>
      </c>
      <c r="W315" t="e">
        <v>#N/A</v>
      </c>
      <c r="X315">
        <f t="shared" ref="X315:BI315" si="762">AVERAGE(B314:X314)</f>
        <v>143.01449275362339</v>
      </c>
      <c r="Y315">
        <f t="shared" si="762"/>
        <v>153.73913043478282</v>
      </c>
      <c r="Z315">
        <f t="shared" si="762"/>
        <v>164.63768115942057</v>
      </c>
      <c r="AA315">
        <f t="shared" si="762"/>
        <v>175.79710144927569</v>
      </c>
      <c r="AB315">
        <f t="shared" si="762"/>
        <v>186.78260869565256</v>
      </c>
      <c r="AC315">
        <f t="shared" si="762"/>
        <v>197.59420289855117</v>
      </c>
      <c r="AD315">
        <f t="shared" si="762"/>
        <v>208.66666666666717</v>
      </c>
      <c r="AE315">
        <f t="shared" si="762"/>
        <v>219.6666666666672</v>
      </c>
      <c r="AF315">
        <f t="shared" si="762"/>
        <v>230.66666666666728</v>
      </c>
      <c r="AG315">
        <f t="shared" si="762"/>
        <v>241.66666666666734</v>
      </c>
      <c r="AH315">
        <f t="shared" si="762"/>
        <v>252.66666666666737</v>
      </c>
      <c r="AI315">
        <f t="shared" si="762"/>
        <v>263.66666666666742</v>
      </c>
      <c r="AJ315">
        <f t="shared" si="762"/>
        <v>274.66666666666742</v>
      </c>
      <c r="AK315">
        <f t="shared" si="762"/>
        <v>285.66666666666748</v>
      </c>
      <c r="AL315">
        <f t="shared" si="762"/>
        <v>296.66666666666754</v>
      </c>
      <c r="AM315">
        <f t="shared" si="762"/>
        <v>307.6666666666676</v>
      </c>
      <c r="AN315">
        <f t="shared" si="762"/>
        <v>318.66666666666771</v>
      </c>
      <c r="AO315">
        <f t="shared" si="762"/>
        <v>329.66666666666777</v>
      </c>
      <c r="AP315">
        <f t="shared" si="762"/>
        <v>340.66666666666782</v>
      </c>
      <c r="AQ315">
        <f t="shared" si="762"/>
        <v>351.66666666666794</v>
      </c>
      <c r="AR315">
        <f t="shared" si="762"/>
        <v>362.66666666666805</v>
      </c>
      <c r="AS315">
        <f t="shared" si="762"/>
        <v>373.66666666666811</v>
      </c>
      <c r="AT315">
        <f t="shared" si="762"/>
        <v>384.66666666666811</v>
      </c>
      <c r="AU315">
        <f t="shared" si="762"/>
        <v>395.66666666666828</v>
      </c>
      <c r="AV315">
        <f t="shared" si="762"/>
        <v>406.66666666666833</v>
      </c>
      <c r="AW315">
        <f t="shared" si="762"/>
        <v>417.66666666666845</v>
      </c>
      <c r="AX315">
        <f t="shared" si="762"/>
        <v>428.6666666666685</v>
      </c>
      <c r="AY315">
        <f t="shared" si="762"/>
        <v>439.6666666666685</v>
      </c>
      <c r="AZ315">
        <f t="shared" si="762"/>
        <v>450.66666666666862</v>
      </c>
      <c r="BA315">
        <f t="shared" si="762"/>
        <v>461.66666666666868</v>
      </c>
      <c r="BB315">
        <f t="shared" si="762"/>
        <v>472.66666666666868</v>
      </c>
      <c r="BC315">
        <f t="shared" si="762"/>
        <v>483.66666666666873</v>
      </c>
      <c r="BD315">
        <f t="shared" si="762"/>
        <v>494.66666666666885</v>
      </c>
      <c r="BE315">
        <f t="shared" si="762"/>
        <v>505.66666666666885</v>
      </c>
      <c r="BF315">
        <f t="shared" si="762"/>
        <v>516.6666666666689</v>
      </c>
      <c r="BG315">
        <f t="shared" si="762"/>
        <v>527.66666666666902</v>
      </c>
      <c r="BH315">
        <f t="shared" si="762"/>
        <v>538.66666666666902</v>
      </c>
      <c r="BI315">
        <f t="shared" si="762"/>
        <v>549.66666666666902</v>
      </c>
    </row>
    <row r="316" spans="1:63" x14ac:dyDescent="0.25">
      <c r="A316" s="13" t="s">
        <v>9</v>
      </c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>
        <f t="shared" ref="Y316:BI316" si="763">X315</f>
        <v>143.01449275362339</v>
      </c>
      <c r="Z316" s="7">
        <f t="shared" si="763"/>
        <v>153.73913043478282</v>
      </c>
      <c r="AA316" s="7">
        <f t="shared" si="763"/>
        <v>164.63768115942057</v>
      </c>
      <c r="AB316" s="7">
        <f t="shared" si="763"/>
        <v>175.79710144927569</v>
      </c>
      <c r="AC316" s="7">
        <f t="shared" si="763"/>
        <v>186.78260869565256</v>
      </c>
      <c r="AD316" s="7">
        <f t="shared" si="763"/>
        <v>197.59420289855117</v>
      </c>
      <c r="AE316" s="7">
        <f t="shared" si="763"/>
        <v>208.66666666666717</v>
      </c>
      <c r="AF316" s="7">
        <f t="shared" si="763"/>
        <v>219.6666666666672</v>
      </c>
      <c r="AG316" s="7">
        <f t="shared" si="763"/>
        <v>230.66666666666728</v>
      </c>
      <c r="AH316" s="7">
        <f t="shared" si="763"/>
        <v>241.66666666666734</v>
      </c>
      <c r="AI316" s="7">
        <f t="shared" si="763"/>
        <v>252.66666666666737</v>
      </c>
      <c r="AJ316" s="7">
        <f t="shared" si="763"/>
        <v>263.66666666666742</v>
      </c>
      <c r="AK316" s="7">
        <f t="shared" si="763"/>
        <v>274.66666666666742</v>
      </c>
      <c r="AL316" s="7">
        <f t="shared" si="763"/>
        <v>285.66666666666748</v>
      </c>
      <c r="AM316" s="7">
        <f t="shared" si="763"/>
        <v>296.66666666666754</v>
      </c>
      <c r="AN316" s="7">
        <f t="shared" si="763"/>
        <v>307.6666666666676</v>
      </c>
      <c r="AO316" s="7">
        <f t="shared" si="763"/>
        <v>318.66666666666771</v>
      </c>
      <c r="AP316" s="7">
        <f t="shared" si="763"/>
        <v>329.66666666666777</v>
      </c>
      <c r="AQ316" s="7">
        <f t="shared" si="763"/>
        <v>340.66666666666782</v>
      </c>
      <c r="AR316" s="7">
        <f t="shared" si="763"/>
        <v>351.66666666666794</v>
      </c>
      <c r="AS316" s="7">
        <f t="shared" si="763"/>
        <v>362.66666666666805</v>
      </c>
      <c r="AT316" s="7">
        <f t="shared" si="763"/>
        <v>373.66666666666811</v>
      </c>
      <c r="AU316" s="7">
        <f t="shared" si="763"/>
        <v>384.66666666666811</v>
      </c>
      <c r="AV316" s="7">
        <f t="shared" si="763"/>
        <v>395.66666666666828</v>
      </c>
      <c r="AW316" s="7">
        <f t="shared" si="763"/>
        <v>406.66666666666833</v>
      </c>
      <c r="AX316" s="7">
        <f t="shared" si="763"/>
        <v>417.66666666666845</v>
      </c>
      <c r="AY316" s="7">
        <f t="shared" si="763"/>
        <v>428.6666666666685</v>
      </c>
      <c r="AZ316" s="7">
        <f t="shared" si="763"/>
        <v>439.6666666666685</v>
      </c>
      <c r="BA316" s="7">
        <f t="shared" si="763"/>
        <v>450.66666666666862</v>
      </c>
      <c r="BB316" s="7">
        <f t="shared" si="763"/>
        <v>461.66666666666868</v>
      </c>
      <c r="BC316" s="7">
        <f t="shared" si="763"/>
        <v>472.66666666666868</v>
      </c>
      <c r="BD316" s="7">
        <f t="shared" si="763"/>
        <v>483.66666666666873</v>
      </c>
      <c r="BE316" s="7">
        <f t="shared" si="763"/>
        <v>494.66666666666885</v>
      </c>
      <c r="BF316" s="7">
        <f t="shared" si="763"/>
        <v>505.66666666666885</v>
      </c>
      <c r="BG316" s="7">
        <f t="shared" si="763"/>
        <v>516.6666666666689</v>
      </c>
      <c r="BH316" s="7">
        <f t="shared" si="763"/>
        <v>527.66666666666902</v>
      </c>
      <c r="BI316" s="7">
        <f t="shared" si="763"/>
        <v>538.66666666666902</v>
      </c>
    </row>
    <row r="317" spans="1:63" x14ac:dyDescent="0.25">
      <c r="A317" s="13" t="s">
        <v>4</v>
      </c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>
        <f t="shared" ref="Y317" si="764">Y316-Y314</f>
        <v>-131.65217391304364</v>
      </c>
      <c r="Z317" s="7">
        <f t="shared" ref="Z317" si="765">Z316-Z314</f>
        <v>-131.92753623188517</v>
      </c>
      <c r="AA317" s="7">
        <f t="shared" ref="AA317" si="766">AA316-AA314</f>
        <v>-132.02898550724743</v>
      </c>
      <c r="AB317" s="7">
        <f t="shared" ref="AB317" si="767">AB316-AB314</f>
        <v>-131.86956521739231</v>
      </c>
      <c r="AC317" s="7">
        <f t="shared" ref="AC317" si="768">AC316-AC314</f>
        <v>-131.88405797101544</v>
      </c>
      <c r="AD317" s="7">
        <f t="shared" ref="AD317" si="769">AD316-AD314</f>
        <v>-132.07246376811682</v>
      </c>
      <c r="AE317" s="7">
        <f t="shared" ref="AE317" si="770">AE316-AE314</f>
        <v>-132.00000000000082</v>
      </c>
      <c r="AF317" s="7">
        <f t="shared" ref="AF317" si="771">AF316-AF314</f>
        <v>-132.0000000000008</v>
      </c>
      <c r="AG317" s="7">
        <f t="shared" ref="AG317" si="772">AG316-AG314</f>
        <v>-132.00000000000071</v>
      </c>
      <c r="AH317" s="7">
        <f t="shared" ref="AH317" si="773">AH316-AH314</f>
        <v>-132.00000000000065</v>
      </c>
      <c r="AI317" s="7">
        <f t="shared" ref="AI317" si="774">AI316-AI314</f>
        <v>-132.00000000000063</v>
      </c>
      <c r="AJ317" s="7">
        <f t="shared" ref="AJ317" si="775">AJ316-AJ314</f>
        <v>-132.00000000000057</v>
      </c>
      <c r="AK317" s="7">
        <f t="shared" ref="AK317" si="776">AK316-AK314</f>
        <v>-132.00000000000057</v>
      </c>
      <c r="AL317" s="7">
        <f t="shared" ref="AL317" si="777">AL316-AL314</f>
        <v>-132.00000000000051</v>
      </c>
      <c r="AM317" s="7">
        <f t="shared" ref="AM317" si="778">AM316-AM314</f>
        <v>-132.00000000000148</v>
      </c>
      <c r="AN317" s="7">
        <f t="shared" ref="AN317" si="779">AN316-AN314</f>
        <v>-132.00000000000142</v>
      </c>
      <c r="AO317" s="7">
        <f t="shared" ref="AO317" si="780">AO316-AO314</f>
        <v>-132.00000000000131</v>
      </c>
      <c r="AP317" s="7">
        <f t="shared" ref="AP317" si="781">AP316-AP314</f>
        <v>-132.00000000000125</v>
      </c>
      <c r="AQ317" s="7">
        <f t="shared" ref="AQ317" si="782">AQ316-AQ314</f>
        <v>-132.00000000000119</v>
      </c>
      <c r="AR317" s="7">
        <f t="shared" ref="AR317" si="783">AR316-AR314</f>
        <v>-132.00000000000108</v>
      </c>
      <c r="AS317" s="7">
        <f t="shared" ref="AS317" si="784">AS316-AS314</f>
        <v>-132.00000000000097</v>
      </c>
      <c r="AT317" s="7">
        <f t="shared" ref="AT317" si="785">AT316-AT314</f>
        <v>-131.99999999999989</v>
      </c>
      <c r="AU317" s="7">
        <f t="shared" ref="AU317" si="786">AU316-AU314</f>
        <v>-132.00000000000091</v>
      </c>
      <c r="AV317" s="7">
        <f t="shared" ref="AV317" si="787">AV316-AV314</f>
        <v>-132.00000000000074</v>
      </c>
      <c r="AW317" s="7">
        <f t="shared" ref="AW317" si="788">AW316-AW314</f>
        <v>-132.00000000000068</v>
      </c>
      <c r="AX317" s="7">
        <f t="shared" ref="AX317" si="789">AX316-AX314</f>
        <v>-132.00000000000057</v>
      </c>
      <c r="AY317" s="7">
        <f t="shared" ref="AY317" si="790">AY316-AY314</f>
        <v>-132.00000000000051</v>
      </c>
      <c r="AZ317" s="7">
        <f t="shared" ref="AZ317" si="791">AZ316-AZ314</f>
        <v>-132.00000000000051</v>
      </c>
      <c r="BA317" s="7">
        <f t="shared" ref="BA317" si="792">BA316-BA314</f>
        <v>-132.0000000000004</v>
      </c>
      <c r="BB317" s="7">
        <f t="shared" ref="BB317" si="793">BB316-BB314</f>
        <v>-132.00000000000034</v>
      </c>
      <c r="BC317" s="7">
        <f t="shared" ref="BC317" si="794">BC316-BC314</f>
        <v>-132.00000000000034</v>
      </c>
      <c r="BD317" s="7">
        <f t="shared" ref="BD317" si="795">BD316-BD314</f>
        <v>-132.00000000000028</v>
      </c>
      <c r="BE317" s="7">
        <f t="shared" ref="BE317" si="796">BE316-BE314</f>
        <v>-132.00000000000017</v>
      </c>
      <c r="BF317" s="7">
        <f t="shared" ref="BF317" si="797">BF316-BF314</f>
        <v>-132.00000000000017</v>
      </c>
      <c r="BG317" s="7">
        <f t="shared" ref="BG317" si="798">BG316-BG314</f>
        <v>-132.00000000000011</v>
      </c>
      <c r="BH317" s="7">
        <f t="shared" ref="BH317" si="799">BH316-BH314</f>
        <v>-132</v>
      </c>
      <c r="BI317" s="7">
        <f t="shared" ref="BI317" si="800">BI316-BI314</f>
        <v>-132</v>
      </c>
    </row>
    <row r="318" spans="1:63" x14ac:dyDescent="0.25">
      <c r="A318" s="13" t="s">
        <v>12</v>
      </c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>
        <f t="shared" ref="Y318" si="801">Y317^2</f>
        <v>17332.294896030289</v>
      </c>
      <c r="Z318" s="7">
        <f t="shared" ref="Z318" si="802">Z317^2</f>
        <v>17404.874816215375</v>
      </c>
      <c r="AA318" s="7">
        <f t="shared" ref="AA318" si="803">AA317^2</f>
        <v>17431.653014072952</v>
      </c>
      <c r="AB318" s="7">
        <f t="shared" ref="AB318" si="804">AB317^2</f>
        <v>17389.582230624084</v>
      </c>
      <c r="AC318" s="7">
        <f t="shared" ref="AC318" si="805">AC317^2</f>
        <v>17393.404746902161</v>
      </c>
      <c r="AD318" s="7">
        <f t="shared" ref="AD318" si="806">AD317^2</f>
        <v>17443.135685780529</v>
      </c>
      <c r="AE318" s="7">
        <f t="shared" ref="AE318" si="807">AE317^2</f>
        <v>17424.000000000218</v>
      </c>
      <c r="AF318" s="7">
        <f t="shared" ref="AF318" si="808">AF317^2</f>
        <v>17424.000000000211</v>
      </c>
      <c r="AG318" s="7">
        <f t="shared" ref="AG318" si="809">AG317^2</f>
        <v>17424.000000000189</v>
      </c>
      <c r="AH318" s="7">
        <f t="shared" ref="AH318" si="810">AH317^2</f>
        <v>17424.000000000171</v>
      </c>
      <c r="AI318" s="7">
        <f t="shared" ref="AI318" si="811">AI317^2</f>
        <v>17424.000000000164</v>
      </c>
      <c r="AJ318" s="7">
        <f t="shared" ref="AJ318" si="812">AJ317^2</f>
        <v>17424.000000000149</v>
      </c>
      <c r="AK318" s="7">
        <f t="shared" ref="AK318" si="813">AK317^2</f>
        <v>17424.000000000149</v>
      </c>
      <c r="AL318" s="7">
        <f t="shared" ref="AL318" si="814">AL317^2</f>
        <v>17424.000000000135</v>
      </c>
      <c r="AM318" s="7">
        <f t="shared" ref="AM318" si="815">AM317^2</f>
        <v>17424.000000000389</v>
      </c>
      <c r="AN318" s="7">
        <f t="shared" ref="AN318" si="816">AN317^2</f>
        <v>17424.000000000375</v>
      </c>
      <c r="AO318" s="7">
        <f t="shared" ref="AO318" si="817">AO317^2</f>
        <v>17424.000000000346</v>
      </c>
      <c r="AP318" s="7">
        <f t="shared" ref="AP318" si="818">AP317^2</f>
        <v>17424.000000000331</v>
      </c>
      <c r="AQ318" s="7">
        <f t="shared" ref="AQ318" si="819">AQ317^2</f>
        <v>17424.000000000317</v>
      </c>
      <c r="AR318" s="7">
        <f t="shared" ref="AR318" si="820">AR317^2</f>
        <v>17424.000000000284</v>
      </c>
      <c r="AS318" s="7">
        <f t="shared" ref="AS318" si="821">AS317^2</f>
        <v>17424.000000000255</v>
      </c>
      <c r="AT318" s="7">
        <f t="shared" ref="AT318" si="822">AT317^2</f>
        <v>17423.999999999971</v>
      </c>
      <c r="AU318" s="7">
        <f t="shared" ref="AU318" si="823">AU317^2</f>
        <v>17424.00000000024</v>
      </c>
      <c r="AV318" s="7">
        <f t="shared" ref="AV318" si="824">AV317^2</f>
        <v>17424.000000000196</v>
      </c>
      <c r="AW318" s="7">
        <f t="shared" ref="AW318" si="825">AW317^2</f>
        <v>17424.000000000182</v>
      </c>
      <c r="AX318" s="7">
        <f t="shared" ref="AX318" si="826">AX317^2</f>
        <v>17424.000000000149</v>
      </c>
      <c r="AY318" s="7">
        <f t="shared" ref="AY318" si="827">AY317^2</f>
        <v>17424.000000000135</v>
      </c>
      <c r="AZ318" s="7">
        <f t="shared" ref="AZ318" si="828">AZ317^2</f>
        <v>17424.000000000135</v>
      </c>
      <c r="BA318" s="7">
        <f t="shared" ref="BA318" si="829">BA317^2</f>
        <v>17424.000000000106</v>
      </c>
      <c r="BB318" s="7">
        <f t="shared" ref="BB318" si="830">BB317^2</f>
        <v>17424.000000000091</v>
      </c>
      <c r="BC318" s="7">
        <f t="shared" ref="BC318" si="831">BC317^2</f>
        <v>17424.000000000091</v>
      </c>
      <c r="BD318" s="7">
        <f t="shared" ref="BD318" si="832">BD317^2</f>
        <v>17424.000000000076</v>
      </c>
      <c r="BE318" s="7">
        <f t="shared" ref="BE318" si="833">BE317^2</f>
        <v>17424.000000000044</v>
      </c>
      <c r="BF318" s="7">
        <f t="shared" ref="BF318" si="834">BF317^2</f>
        <v>17424.000000000044</v>
      </c>
      <c r="BG318" s="7">
        <f t="shared" ref="BG318" si="835">BG317^2</f>
        <v>17424.000000000029</v>
      </c>
      <c r="BH318" s="7">
        <f t="shared" ref="BH318" si="836">BH317^2</f>
        <v>17424</v>
      </c>
      <c r="BI318" s="7">
        <f t="shared" ref="BI318" si="837">BI317^2</f>
        <v>17424</v>
      </c>
    </row>
    <row r="319" spans="1:63" x14ac:dyDescent="0.25">
      <c r="A319" s="38" t="s">
        <v>11</v>
      </c>
      <c r="B319" s="38">
        <v>23</v>
      </c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3" x14ac:dyDescent="0.25">
      <c r="A320" s="8" t="s">
        <v>5</v>
      </c>
      <c r="B320" s="8">
        <f>AVERAGE(G318:BI318)</f>
        <v>17419.971497017039</v>
      </c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3" x14ac:dyDescent="0.25">
      <c r="A321" s="7" t="s">
        <v>7</v>
      </c>
      <c r="B321" s="7">
        <f>$BI$315</f>
        <v>549.66666666666902</v>
      </c>
    </row>
    <row r="322" spans="1:63" x14ac:dyDescent="0.25">
      <c r="A322" s="31" t="s">
        <v>6</v>
      </c>
      <c r="B322" s="7" t="s">
        <v>62</v>
      </c>
      <c r="C322" s="7">
        <v>61</v>
      </c>
      <c r="D322" s="7">
        <v>62</v>
      </c>
      <c r="E322" s="7">
        <v>63</v>
      </c>
      <c r="F322" s="7">
        <v>64</v>
      </c>
      <c r="G322" s="7">
        <v>65</v>
      </c>
      <c r="H322" s="7">
        <v>66</v>
      </c>
      <c r="I322" s="7">
        <v>67</v>
      </c>
      <c r="J322" s="7">
        <v>68</v>
      </c>
      <c r="K322" s="7">
        <v>69</v>
      </c>
      <c r="L322" s="7">
        <v>70</v>
      </c>
      <c r="M322" s="7">
        <v>71</v>
      </c>
      <c r="N322" s="7">
        <v>72</v>
      </c>
    </row>
    <row r="323" spans="1:63" x14ac:dyDescent="0.25">
      <c r="C323" s="7">
        <f>$B$321</f>
        <v>549.66666666666902</v>
      </c>
      <c r="D323" s="7">
        <f t="shared" ref="D323:N323" si="838">$B$321</f>
        <v>549.66666666666902</v>
      </c>
      <c r="E323" s="7">
        <f t="shared" si="838"/>
        <v>549.66666666666902</v>
      </c>
      <c r="F323" s="7">
        <f t="shared" si="838"/>
        <v>549.66666666666902</v>
      </c>
      <c r="G323" s="7">
        <f t="shared" si="838"/>
        <v>549.66666666666902</v>
      </c>
      <c r="H323" s="7">
        <f t="shared" si="838"/>
        <v>549.66666666666902</v>
      </c>
      <c r="I323" s="7">
        <f t="shared" si="838"/>
        <v>549.66666666666902</v>
      </c>
      <c r="J323" s="7">
        <f t="shared" si="838"/>
        <v>549.66666666666902</v>
      </c>
      <c r="K323" s="7">
        <f t="shared" si="838"/>
        <v>549.66666666666902</v>
      </c>
      <c r="L323" s="7">
        <f t="shared" si="838"/>
        <v>549.66666666666902</v>
      </c>
      <c r="M323" s="7">
        <f t="shared" si="838"/>
        <v>549.66666666666902</v>
      </c>
      <c r="N323" s="7">
        <f t="shared" si="838"/>
        <v>549.66666666666902</v>
      </c>
    </row>
    <row r="326" spans="1:63" x14ac:dyDescent="0.25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</row>
    <row r="328" spans="1:63" x14ac:dyDescent="0.25">
      <c r="A328" s="13" t="s">
        <v>1</v>
      </c>
      <c r="B328" s="13">
        <v>1</v>
      </c>
      <c r="C328" s="13">
        <v>2</v>
      </c>
      <c r="D328" s="13">
        <v>3</v>
      </c>
      <c r="E328" s="13">
        <v>4</v>
      </c>
      <c r="F328" s="13">
        <v>5</v>
      </c>
      <c r="G328" s="13">
        <v>6</v>
      </c>
      <c r="H328" s="13">
        <v>7</v>
      </c>
      <c r="I328" s="13">
        <v>8</v>
      </c>
      <c r="J328" s="13">
        <v>9</v>
      </c>
      <c r="K328" s="13">
        <v>10</v>
      </c>
      <c r="L328" s="13">
        <v>11</v>
      </c>
      <c r="M328" s="13">
        <v>12</v>
      </c>
      <c r="N328" s="13">
        <v>13</v>
      </c>
      <c r="O328" s="13">
        <v>14</v>
      </c>
      <c r="P328" s="13">
        <v>15</v>
      </c>
      <c r="Q328" s="13">
        <v>16</v>
      </c>
      <c r="R328" s="13">
        <v>17</v>
      </c>
      <c r="S328" s="13">
        <v>18</v>
      </c>
      <c r="T328" s="13">
        <v>19</v>
      </c>
      <c r="U328" s="13">
        <v>20</v>
      </c>
      <c r="V328" s="13">
        <v>21</v>
      </c>
      <c r="W328" s="13">
        <v>22</v>
      </c>
      <c r="X328" s="13">
        <v>23</v>
      </c>
      <c r="Y328" s="13">
        <v>24</v>
      </c>
      <c r="Z328" s="13">
        <v>25</v>
      </c>
      <c r="AA328" s="13">
        <v>26</v>
      </c>
      <c r="AB328" s="13">
        <v>27</v>
      </c>
      <c r="AC328" s="13">
        <v>28</v>
      </c>
      <c r="AD328" s="13">
        <v>29</v>
      </c>
      <c r="AE328" s="13">
        <v>30</v>
      </c>
      <c r="AF328" s="13">
        <v>31</v>
      </c>
      <c r="AG328" s="13">
        <v>32</v>
      </c>
      <c r="AH328" s="13">
        <v>33</v>
      </c>
      <c r="AI328" s="13">
        <v>34</v>
      </c>
      <c r="AJ328" s="13">
        <v>35</v>
      </c>
      <c r="AK328" s="13">
        <v>36</v>
      </c>
      <c r="AL328" s="13">
        <v>37</v>
      </c>
      <c r="AM328" s="13">
        <v>38</v>
      </c>
      <c r="AN328" s="13">
        <v>39</v>
      </c>
      <c r="AO328" s="13">
        <v>40</v>
      </c>
      <c r="AP328" s="13">
        <v>41</v>
      </c>
      <c r="AQ328" s="13">
        <v>42</v>
      </c>
      <c r="AR328" s="13">
        <v>43</v>
      </c>
      <c r="AS328" s="13">
        <v>44</v>
      </c>
      <c r="AT328" s="13">
        <v>45</v>
      </c>
      <c r="AU328" s="13">
        <v>46</v>
      </c>
      <c r="AV328" s="13">
        <v>47</v>
      </c>
      <c r="AW328" s="13">
        <v>48</v>
      </c>
      <c r="AX328" s="13">
        <v>49</v>
      </c>
      <c r="AY328" s="13">
        <v>50</v>
      </c>
      <c r="AZ328" s="13">
        <v>51</v>
      </c>
      <c r="BA328" s="13">
        <v>52</v>
      </c>
      <c r="BB328" s="13">
        <v>53</v>
      </c>
      <c r="BC328" s="13">
        <v>54</v>
      </c>
      <c r="BD328" s="13">
        <v>55</v>
      </c>
      <c r="BE328" s="13">
        <v>56</v>
      </c>
      <c r="BF328" s="13">
        <v>57</v>
      </c>
      <c r="BG328" s="13">
        <v>58</v>
      </c>
      <c r="BH328" s="13">
        <v>59</v>
      </c>
      <c r="BI328" s="13">
        <v>60</v>
      </c>
    </row>
    <row r="329" spans="1:63" x14ac:dyDescent="0.25">
      <c r="A329" s="13" t="s">
        <v>0</v>
      </c>
      <c r="B329" s="37">
        <f>'הזנת נתונים'!A66</f>
        <v>28</v>
      </c>
      <c r="C329" s="37">
        <f>'הזנת נתונים'!B66</f>
        <v>35</v>
      </c>
      <c r="D329" s="37">
        <f>'הזנת נתונים'!C66</f>
        <v>40</v>
      </c>
      <c r="E329" s="37">
        <f>'הזנת נתונים'!D66</f>
        <v>55</v>
      </c>
      <c r="F329" s="37">
        <f>'הזנת נתונים'!E66</f>
        <v>70</v>
      </c>
      <c r="G329" s="37">
        <f>'הזנת נתונים'!F66</f>
        <v>75</v>
      </c>
      <c r="H329" s="37">
        <f>'הזנת נתונים'!G66</f>
        <v>87.6666666666667</v>
      </c>
      <c r="I329" s="37">
        <f>'הזנת נתונים'!H66</f>
        <v>98.6666666666667</v>
      </c>
      <c r="J329" s="37">
        <f>'הזנת נתונים'!I66</f>
        <v>109.666666666667</v>
      </c>
      <c r="K329" s="37">
        <f>'הזנת נתונים'!J66</f>
        <v>120.666666666667</v>
      </c>
      <c r="L329" s="37">
        <f>'הזנת נתונים'!K66</f>
        <v>131.666666666667</v>
      </c>
      <c r="M329" s="37">
        <f>'הזנת נתונים'!L66</f>
        <v>142.666666666667</v>
      </c>
      <c r="N329" s="37">
        <f>'הזנת נתונים'!M66</f>
        <v>153.666666666667</v>
      </c>
      <c r="O329" s="37">
        <f>'הזנת נתונים'!N66</f>
        <v>164.666666666667</v>
      </c>
      <c r="P329" s="37">
        <f>'הזנת נתונים'!O66</f>
        <v>175.666666666667</v>
      </c>
      <c r="Q329" s="37">
        <f>'הזנת נתונים'!P66</f>
        <v>186.666666666667</v>
      </c>
      <c r="R329" s="37">
        <f>'הזנת נתונים'!Q66</f>
        <v>197.666666666667</v>
      </c>
      <c r="S329" s="37">
        <f>'הזנת נתונים'!R66</f>
        <v>208.666666666667</v>
      </c>
      <c r="T329" s="37">
        <f>'הזנת נתונים'!S66</f>
        <v>219.666666666667</v>
      </c>
      <c r="U329" s="37">
        <f>'הזנת נתונים'!T66</f>
        <v>230.666666666667</v>
      </c>
      <c r="V329" s="37">
        <f>'הזנת נתונים'!U66</f>
        <v>241.666666666667</v>
      </c>
      <c r="W329" s="37">
        <f>'הזנת נתונים'!V66</f>
        <v>252.666666666667</v>
      </c>
      <c r="X329" s="37">
        <f>'הזנת נתונים'!W66</f>
        <v>263.66666666666703</v>
      </c>
      <c r="Y329" s="37">
        <f>'הזנת נתונים'!X66</f>
        <v>274.66666666666703</v>
      </c>
      <c r="Z329" s="37">
        <f>'הזנת נתונים'!Y66</f>
        <v>285.66666666666799</v>
      </c>
      <c r="AA329" s="37">
        <f>'הזנת נתונים'!Z66</f>
        <v>296.66666666666799</v>
      </c>
      <c r="AB329" s="37">
        <f>'הזנת נתונים'!AA66</f>
        <v>307.66666666666799</v>
      </c>
      <c r="AC329" s="37">
        <f>'הזנת נתונים'!AB66</f>
        <v>318.66666666666799</v>
      </c>
      <c r="AD329" s="37">
        <f>'הזנת נתונים'!AC66</f>
        <v>329.66666666666799</v>
      </c>
      <c r="AE329" s="37">
        <f>'הזנת נתונים'!AD66</f>
        <v>340.66666666666799</v>
      </c>
      <c r="AF329" s="37">
        <f>'הזנת נתונים'!AE66</f>
        <v>351.66666666666799</v>
      </c>
      <c r="AG329" s="37">
        <f>'הזנת נתונים'!AF66</f>
        <v>362.66666666666799</v>
      </c>
      <c r="AH329" s="37">
        <f>'הזנת נתונים'!AG66</f>
        <v>373.66666666666799</v>
      </c>
      <c r="AI329" s="37">
        <f>'הזנת נתונים'!AH66</f>
        <v>384.66666666666799</v>
      </c>
      <c r="AJ329" s="37">
        <f>'הזנת נתונים'!AI66</f>
        <v>395.66666666666799</v>
      </c>
      <c r="AK329" s="37">
        <f>'הזנת נתונים'!AJ66</f>
        <v>406.66666666666799</v>
      </c>
      <c r="AL329" s="37">
        <f>'הזנת נתונים'!AK66</f>
        <v>417.66666666666799</v>
      </c>
      <c r="AM329" s="37">
        <f>'הזנת נתונים'!AL66</f>
        <v>428.66666666666902</v>
      </c>
      <c r="AN329" s="37">
        <f>'הזנת נתונים'!AM66</f>
        <v>439.66666666666902</v>
      </c>
      <c r="AO329" s="37">
        <f>'הזנת נתונים'!AN66</f>
        <v>450.66666666666902</v>
      </c>
      <c r="AP329" s="37">
        <f>'הזנת נתונים'!AO66</f>
        <v>461.66666666666902</v>
      </c>
      <c r="AQ329" s="37">
        <f>'הזנת נתונים'!AP66</f>
        <v>472.66666666666902</v>
      </c>
      <c r="AR329" s="37">
        <f>'הזנת נתונים'!AQ66</f>
        <v>483.66666666666902</v>
      </c>
      <c r="AS329" s="37">
        <f>'הזנת נתונים'!AR66</f>
        <v>494.66666666666902</v>
      </c>
      <c r="AT329" s="37">
        <f>'הזנת נתונים'!AS66</f>
        <v>505.66666666666799</v>
      </c>
      <c r="AU329" s="37">
        <f>'הזנת נתונים'!AT66</f>
        <v>516.66666666666902</v>
      </c>
      <c r="AV329" s="37">
        <f>'הזנת נתונים'!AU66</f>
        <v>527.66666666666902</v>
      </c>
      <c r="AW329" s="37">
        <f>'הזנת נתונים'!AV66</f>
        <v>538.66666666666902</v>
      </c>
      <c r="AX329" s="37">
        <f>'הזנת נתונים'!AW66</f>
        <v>549.66666666666902</v>
      </c>
      <c r="AY329" s="37">
        <f>'הזנת נתונים'!AX66</f>
        <v>560.66666666666902</v>
      </c>
      <c r="AZ329" s="37">
        <f>'הזנת נתונים'!AY66</f>
        <v>571.66666666666902</v>
      </c>
      <c r="BA329" s="37">
        <f>'הזנת נתונים'!AZ66</f>
        <v>582.66666666666902</v>
      </c>
      <c r="BB329" s="37">
        <f>'הזנת נתונים'!BA66</f>
        <v>593.66666666666902</v>
      </c>
      <c r="BC329" s="37">
        <f>'הזנת נתונים'!BB66</f>
        <v>604.66666666666902</v>
      </c>
      <c r="BD329" s="37">
        <f>'הזנת נתונים'!BC66</f>
        <v>615.66666666666902</v>
      </c>
      <c r="BE329" s="37">
        <f>'הזנת נתונים'!BD66</f>
        <v>626.66666666666902</v>
      </c>
      <c r="BF329" s="37">
        <f>'הזנת נתונים'!BE66</f>
        <v>637.66666666666902</v>
      </c>
      <c r="BG329" s="37">
        <f>'הזנת נתונים'!BF66</f>
        <v>648.66666666666902</v>
      </c>
      <c r="BH329" s="37">
        <f>'הזנת נתונים'!BG66</f>
        <v>659.66666666666902</v>
      </c>
      <c r="BI329" s="37">
        <f>'הזנת נתונים'!BH66</f>
        <v>670.66666666666902</v>
      </c>
    </row>
    <row r="330" spans="1:63" x14ac:dyDescent="0.25">
      <c r="A330" s="13" t="s">
        <v>2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>
        <f t="shared" ref="Y330:BI330" si="839">AVERAGE(B329:Y329)</f>
        <v>148.5000000000002</v>
      </c>
      <c r="Z330">
        <f t="shared" si="839"/>
        <v>159.23611111111137</v>
      </c>
      <c r="AA330">
        <f t="shared" si="839"/>
        <v>170.1388888888892</v>
      </c>
      <c r="AB330">
        <f t="shared" si="839"/>
        <v>181.29166666666706</v>
      </c>
      <c r="AC330">
        <f t="shared" si="839"/>
        <v>192.2777777777782</v>
      </c>
      <c r="AD330">
        <f t="shared" si="839"/>
        <v>203.09722222222271</v>
      </c>
      <c r="AE330">
        <f t="shared" si="839"/>
        <v>214.1666666666672</v>
      </c>
      <c r="AF330">
        <f t="shared" si="839"/>
        <v>225.16666666666723</v>
      </c>
      <c r="AG330">
        <f t="shared" si="839"/>
        <v>236.16666666666731</v>
      </c>
      <c r="AH330">
        <f t="shared" si="839"/>
        <v>247.16666666666734</v>
      </c>
      <c r="AI330">
        <f t="shared" si="839"/>
        <v>258.16666666666737</v>
      </c>
      <c r="AJ330">
        <f t="shared" si="839"/>
        <v>269.16666666666742</v>
      </c>
      <c r="AK330">
        <f t="shared" si="839"/>
        <v>280.16666666666748</v>
      </c>
      <c r="AL330">
        <f t="shared" si="839"/>
        <v>291.16666666666748</v>
      </c>
      <c r="AM330">
        <f t="shared" si="839"/>
        <v>302.1666666666676</v>
      </c>
      <c r="AN330">
        <f t="shared" si="839"/>
        <v>313.16666666666765</v>
      </c>
      <c r="AO330">
        <f t="shared" si="839"/>
        <v>324.16666666666771</v>
      </c>
      <c r="AP330">
        <f t="shared" si="839"/>
        <v>335.16666666666782</v>
      </c>
      <c r="AQ330">
        <f t="shared" si="839"/>
        <v>346.16666666666788</v>
      </c>
      <c r="AR330">
        <f t="shared" si="839"/>
        <v>357.16666666666794</v>
      </c>
      <c r="AS330">
        <f t="shared" si="839"/>
        <v>368.16666666666811</v>
      </c>
      <c r="AT330">
        <f t="shared" si="839"/>
        <v>379.16666666666811</v>
      </c>
      <c r="AU330">
        <f t="shared" si="839"/>
        <v>390.16666666666816</v>
      </c>
      <c r="AV330">
        <f t="shared" si="839"/>
        <v>401.16666666666833</v>
      </c>
      <c r="AW330">
        <f t="shared" si="839"/>
        <v>412.16666666666839</v>
      </c>
      <c r="AX330">
        <f t="shared" si="839"/>
        <v>423.1666666666685</v>
      </c>
      <c r="AY330">
        <f t="shared" si="839"/>
        <v>434.16666666666856</v>
      </c>
      <c r="AZ330">
        <f t="shared" si="839"/>
        <v>445.16666666666856</v>
      </c>
      <c r="BA330">
        <f t="shared" si="839"/>
        <v>456.16666666666862</v>
      </c>
      <c r="BB330">
        <f t="shared" si="839"/>
        <v>467.16666666666873</v>
      </c>
      <c r="BC330">
        <f t="shared" si="839"/>
        <v>478.16666666666873</v>
      </c>
      <c r="BD330">
        <f t="shared" si="839"/>
        <v>489.16666666666879</v>
      </c>
      <c r="BE330">
        <f t="shared" si="839"/>
        <v>500.16666666666885</v>
      </c>
      <c r="BF330">
        <f t="shared" si="839"/>
        <v>511.16666666666885</v>
      </c>
      <c r="BG330">
        <f t="shared" si="839"/>
        <v>522.1666666666689</v>
      </c>
      <c r="BH330">
        <f t="shared" si="839"/>
        <v>533.16666666666902</v>
      </c>
      <c r="BI330">
        <f t="shared" si="839"/>
        <v>544.16666666666902</v>
      </c>
    </row>
    <row r="331" spans="1:63" x14ac:dyDescent="0.25">
      <c r="A331" s="13" t="s">
        <v>9</v>
      </c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>
        <f t="shared" ref="Z331:BI331" si="840">Y330</f>
        <v>148.5000000000002</v>
      </c>
      <c r="AA331" s="7">
        <f t="shared" si="840"/>
        <v>159.23611111111137</v>
      </c>
      <c r="AB331" s="7">
        <f t="shared" si="840"/>
        <v>170.1388888888892</v>
      </c>
      <c r="AC331" s="7">
        <f t="shared" si="840"/>
        <v>181.29166666666706</v>
      </c>
      <c r="AD331" s="7">
        <f t="shared" si="840"/>
        <v>192.2777777777782</v>
      </c>
      <c r="AE331" s="7">
        <f t="shared" si="840"/>
        <v>203.09722222222271</v>
      </c>
      <c r="AF331" s="7">
        <f t="shared" si="840"/>
        <v>214.1666666666672</v>
      </c>
      <c r="AG331" s="7">
        <f t="shared" si="840"/>
        <v>225.16666666666723</v>
      </c>
      <c r="AH331" s="7">
        <f t="shared" si="840"/>
        <v>236.16666666666731</v>
      </c>
      <c r="AI331" s="7">
        <f t="shared" si="840"/>
        <v>247.16666666666734</v>
      </c>
      <c r="AJ331" s="7">
        <f t="shared" si="840"/>
        <v>258.16666666666737</v>
      </c>
      <c r="AK331" s="7">
        <f t="shared" si="840"/>
        <v>269.16666666666742</v>
      </c>
      <c r="AL331" s="7">
        <f t="shared" si="840"/>
        <v>280.16666666666748</v>
      </c>
      <c r="AM331" s="7">
        <f t="shared" si="840"/>
        <v>291.16666666666748</v>
      </c>
      <c r="AN331" s="7">
        <f t="shared" si="840"/>
        <v>302.1666666666676</v>
      </c>
      <c r="AO331" s="7">
        <f t="shared" si="840"/>
        <v>313.16666666666765</v>
      </c>
      <c r="AP331" s="7">
        <f t="shared" si="840"/>
        <v>324.16666666666771</v>
      </c>
      <c r="AQ331" s="7">
        <f t="shared" si="840"/>
        <v>335.16666666666782</v>
      </c>
      <c r="AR331" s="7">
        <f t="shared" si="840"/>
        <v>346.16666666666788</v>
      </c>
      <c r="AS331" s="7">
        <f t="shared" si="840"/>
        <v>357.16666666666794</v>
      </c>
      <c r="AT331" s="7">
        <f t="shared" si="840"/>
        <v>368.16666666666811</v>
      </c>
      <c r="AU331" s="7">
        <f t="shared" si="840"/>
        <v>379.16666666666811</v>
      </c>
      <c r="AV331" s="7">
        <f t="shared" si="840"/>
        <v>390.16666666666816</v>
      </c>
      <c r="AW331" s="7">
        <f t="shared" si="840"/>
        <v>401.16666666666833</v>
      </c>
      <c r="AX331" s="7">
        <f t="shared" si="840"/>
        <v>412.16666666666839</v>
      </c>
      <c r="AY331" s="7">
        <f t="shared" si="840"/>
        <v>423.1666666666685</v>
      </c>
      <c r="AZ331" s="7">
        <f t="shared" si="840"/>
        <v>434.16666666666856</v>
      </c>
      <c r="BA331" s="7">
        <f t="shared" si="840"/>
        <v>445.16666666666856</v>
      </c>
      <c r="BB331" s="7">
        <f t="shared" si="840"/>
        <v>456.16666666666862</v>
      </c>
      <c r="BC331" s="7">
        <f t="shared" si="840"/>
        <v>467.16666666666873</v>
      </c>
      <c r="BD331" s="7">
        <f t="shared" si="840"/>
        <v>478.16666666666873</v>
      </c>
      <c r="BE331" s="7">
        <f t="shared" si="840"/>
        <v>489.16666666666879</v>
      </c>
      <c r="BF331" s="7">
        <f t="shared" si="840"/>
        <v>500.16666666666885</v>
      </c>
      <c r="BG331" s="7">
        <f t="shared" si="840"/>
        <v>511.16666666666885</v>
      </c>
      <c r="BH331" s="7">
        <f t="shared" si="840"/>
        <v>522.1666666666689</v>
      </c>
      <c r="BI331" s="7">
        <f t="shared" si="840"/>
        <v>533.16666666666902</v>
      </c>
    </row>
    <row r="332" spans="1:63" x14ac:dyDescent="0.25">
      <c r="A332" s="13" t="s">
        <v>4</v>
      </c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>
        <f t="shared" ref="Z332" si="841">Z331-Z329</f>
        <v>-137.16666666666779</v>
      </c>
      <c r="AA332" s="7">
        <f t="shared" ref="AA332" si="842">AA331-AA329</f>
        <v>-137.43055555555662</v>
      </c>
      <c r="AB332" s="7">
        <f t="shared" ref="AB332" si="843">AB331-AB329</f>
        <v>-137.52777777777879</v>
      </c>
      <c r="AC332" s="7">
        <f t="shared" ref="AC332" si="844">AC331-AC329</f>
        <v>-137.37500000000094</v>
      </c>
      <c r="AD332" s="7">
        <f t="shared" ref="AD332" si="845">AD331-AD329</f>
        <v>-137.3888888888898</v>
      </c>
      <c r="AE332" s="7">
        <f t="shared" ref="AE332" si="846">AE331-AE329</f>
        <v>-137.56944444444528</v>
      </c>
      <c r="AF332" s="7">
        <f t="shared" ref="AF332" si="847">AF331-AF329</f>
        <v>-137.5000000000008</v>
      </c>
      <c r="AG332" s="7">
        <f t="shared" ref="AG332" si="848">AG331-AG329</f>
        <v>-137.50000000000077</v>
      </c>
      <c r="AH332" s="7">
        <f t="shared" ref="AH332" si="849">AH331-AH329</f>
        <v>-137.50000000000068</v>
      </c>
      <c r="AI332" s="7">
        <f t="shared" ref="AI332" si="850">AI331-AI329</f>
        <v>-137.50000000000065</v>
      </c>
      <c r="AJ332" s="7">
        <f t="shared" ref="AJ332" si="851">AJ331-AJ329</f>
        <v>-137.50000000000063</v>
      </c>
      <c r="AK332" s="7">
        <f t="shared" ref="AK332" si="852">AK331-AK329</f>
        <v>-137.50000000000057</v>
      </c>
      <c r="AL332" s="7">
        <f t="shared" ref="AL332" si="853">AL331-AL329</f>
        <v>-137.50000000000051</v>
      </c>
      <c r="AM332" s="7">
        <f t="shared" ref="AM332" si="854">AM331-AM329</f>
        <v>-137.50000000000153</v>
      </c>
      <c r="AN332" s="7">
        <f t="shared" ref="AN332" si="855">AN331-AN329</f>
        <v>-137.50000000000142</v>
      </c>
      <c r="AO332" s="7">
        <f t="shared" ref="AO332" si="856">AO331-AO329</f>
        <v>-137.50000000000136</v>
      </c>
      <c r="AP332" s="7">
        <f t="shared" ref="AP332" si="857">AP331-AP329</f>
        <v>-137.50000000000131</v>
      </c>
      <c r="AQ332" s="7">
        <f t="shared" ref="AQ332" si="858">AQ331-AQ329</f>
        <v>-137.50000000000119</v>
      </c>
      <c r="AR332" s="7">
        <f t="shared" ref="AR332" si="859">AR331-AR329</f>
        <v>-137.50000000000114</v>
      </c>
      <c r="AS332" s="7">
        <f t="shared" ref="AS332" si="860">AS331-AS329</f>
        <v>-137.50000000000108</v>
      </c>
      <c r="AT332" s="7">
        <f t="shared" ref="AT332" si="861">AT331-AT329</f>
        <v>-137.49999999999989</v>
      </c>
      <c r="AU332" s="7">
        <f t="shared" ref="AU332" si="862">AU331-AU329</f>
        <v>-137.50000000000091</v>
      </c>
      <c r="AV332" s="7">
        <f t="shared" ref="AV332" si="863">AV331-AV329</f>
        <v>-137.50000000000085</v>
      </c>
      <c r="AW332" s="7">
        <f t="shared" ref="AW332" si="864">AW331-AW329</f>
        <v>-137.50000000000068</v>
      </c>
      <c r="AX332" s="7">
        <f t="shared" ref="AX332" si="865">AX331-AX329</f>
        <v>-137.50000000000063</v>
      </c>
      <c r="AY332" s="7">
        <f t="shared" ref="AY332" si="866">AY331-AY329</f>
        <v>-137.50000000000051</v>
      </c>
      <c r="AZ332" s="7">
        <f t="shared" ref="AZ332" si="867">AZ331-AZ329</f>
        <v>-137.50000000000045</v>
      </c>
      <c r="BA332" s="7">
        <f t="shared" ref="BA332" si="868">BA331-BA329</f>
        <v>-137.50000000000045</v>
      </c>
      <c r="BB332" s="7">
        <f t="shared" ref="BB332" si="869">BB331-BB329</f>
        <v>-137.5000000000004</v>
      </c>
      <c r="BC332" s="7">
        <f t="shared" ref="BC332" si="870">BC331-BC329</f>
        <v>-137.50000000000028</v>
      </c>
      <c r="BD332" s="7">
        <f t="shared" ref="BD332" si="871">BD331-BD329</f>
        <v>-137.50000000000028</v>
      </c>
      <c r="BE332" s="7">
        <f t="shared" ref="BE332" si="872">BE331-BE329</f>
        <v>-137.50000000000023</v>
      </c>
      <c r="BF332" s="7">
        <f t="shared" ref="BF332" si="873">BF331-BF329</f>
        <v>-137.50000000000017</v>
      </c>
      <c r="BG332" s="7">
        <f t="shared" ref="BG332" si="874">BG331-BG329</f>
        <v>-137.50000000000017</v>
      </c>
      <c r="BH332" s="7">
        <f t="shared" ref="BH332" si="875">BH331-BH329</f>
        <v>-137.50000000000011</v>
      </c>
      <c r="BI332" s="7">
        <f t="shared" ref="BI332" si="876">BI331-BI329</f>
        <v>-137.5</v>
      </c>
    </row>
    <row r="333" spans="1:63" x14ac:dyDescent="0.25">
      <c r="A333" s="13" t="s">
        <v>12</v>
      </c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>
        <f t="shared" ref="Z333" si="877">Z332^2</f>
        <v>18814.694444444754</v>
      </c>
      <c r="AA333" s="7">
        <f t="shared" ref="AA333" si="878">AA332^2</f>
        <v>18887.157600308936</v>
      </c>
      <c r="AB333" s="7">
        <f t="shared" ref="AB333" si="879">AB332^2</f>
        <v>18913.889660494107</v>
      </c>
      <c r="AC333" s="7">
        <f t="shared" ref="AC333" si="880">AC332^2</f>
        <v>18871.890625000258</v>
      </c>
      <c r="AD333" s="7">
        <f t="shared" ref="AD333" si="881">AD332^2</f>
        <v>18875.706790123706</v>
      </c>
      <c r="AE333" s="7">
        <f t="shared" ref="AE333" si="882">AE332^2</f>
        <v>18925.352044753316</v>
      </c>
      <c r="AF333" s="7">
        <f t="shared" ref="AF333" si="883">AF332^2</f>
        <v>18906.250000000218</v>
      </c>
      <c r="AG333" s="7">
        <f t="shared" ref="AG333" si="884">AG332^2</f>
        <v>18906.250000000211</v>
      </c>
      <c r="AH333" s="7">
        <f t="shared" ref="AH333" si="885">AH332^2</f>
        <v>18906.250000000189</v>
      </c>
      <c r="AI333" s="7">
        <f t="shared" ref="AI333" si="886">AI332^2</f>
        <v>18906.250000000178</v>
      </c>
      <c r="AJ333" s="7">
        <f t="shared" ref="AJ333" si="887">AJ332^2</f>
        <v>18906.250000000171</v>
      </c>
      <c r="AK333" s="7">
        <f t="shared" ref="AK333" si="888">AK332^2</f>
        <v>18906.250000000156</v>
      </c>
      <c r="AL333" s="7">
        <f t="shared" ref="AL333" si="889">AL332^2</f>
        <v>18906.250000000142</v>
      </c>
      <c r="AM333" s="7">
        <f t="shared" ref="AM333" si="890">AM332^2</f>
        <v>18906.250000000422</v>
      </c>
      <c r="AN333" s="7">
        <f t="shared" ref="AN333" si="891">AN332^2</f>
        <v>18906.250000000389</v>
      </c>
      <c r="AO333" s="7">
        <f t="shared" ref="AO333" si="892">AO332^2</f>
        <v>18906.250000000375</v>
      </c>
      <c r="AP333" s="7">
        <f t="shared" ref="AP333" si="893">AP332^2</f>
        <v>18906.25000000036</v>
      </c>
      <c r="AQ333" s="7">
        <f t="shared" ref="AQ333" si="894">AQ332^2</f>
        <v>18906.250000000327</v>
      </c>
      <c r="AR333" s="7">
        <f t="shared" ref="AR333" si="895">AR332^2</f>
        <v>18906.250000000313</v>
      </c>
      <c r="AS333" s="7">
        <f t="shared" ref="AS333" si="896">AS332^2</f>
        <v>18906.250000000298</v>
      </c>
      <c r="AT333" s="7">
        <f t="shared" ref="AT333" si="897">AT332^2</f>
        <v>18906.249999999967</v>
      </c>
      <c r="AU333" s="7">
        <f t="shared" ref="AU333" si="898">AU332^2</f>
        <v>18906.250000000251</v>
      </c>
      <c r="AV333" s="7">
        <f t="shared" ref="AV333" si="899">AV332^2</f>
        <v>18906.250000000233</v>
      </c>
      <c r="AW333" s="7">
        <f t="shared" ref="AW333" si="900">AW332^2</f>
        <v>18906.250000000189</v>
      </c>
      <c r="AX333" s="7">
        <f t="shared" ref="AX333" si="901">AX332^2</f>
        <v>18906.250000000171</v>
      </c>
      <c r="AY333" s="7">
        <f t="shared" ref="AY333" si="902">AY332^2</f>
        <v>18906.250000000142</v>
      </c>
      <c r="AZ333" s="7">
        <f t="shared" ref="AZ333" si="903">AZ332^2</f>
        <v>18906.250000000124</v>
      </c>
      <c r="BA333" s="7">
        <f t="shared" ref="BA333" si="904">BA332^2</f>
        <v>18906.250000000124</v>
      </c>
      <c r="BB333" s="7">
        <f t="shared" ref="BB333" si="905">BB332^2</f>
        <v>18906.250000000109</v>
      </c>
      <c r="BC333" s="7">
        <f t="shared" ref="BC333" si="906">BC332^2</f>
        <v>18906.250000000076</v>
      </c>
      <c r="BD333" s="7">
        <f t="shared" ref="BD333" si="907">BD332^2</f>
        <v>18906.250000000076</v>
      </c>
      <c r="BE333" s="7">
        <f t="shared" ref="BE333" si="908">BE332^2</f>
        <v>18906.250000000062</v>
      </c>
      <c r="BF333" s="7">
        <f t="shared" ref="BF333" si="909">BF332^2</f>
        <v>18906.250000000047</v>
      </c>
      <c r="BG333" s="7">
        <f t="shared" ref="BG333" si="910">BG332^2</f>
        <v>18906.250000000047</v>
      </c>
      <c r="BH333" s="7">
        <f t="shared" ref="BH333" si="911">BH332^2</f>
        <v>18906.250000000033</v>
      </c>
      <c r="BI333" s="7">
        <f t="shared" ref="BI333" si="912">BI332^2</f>
        <v>18906.25</v>
      </c>
    </row>
    <row r="334" spans="1:63" x14ac:dyDescent="0.25">
      <c r="A334" s="38" t="s">
        <v>11</v>
      </c>
      <c r="B334" s="38">
        <v>24</v>
      </c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3" x14ac:dyDescent="0.25">
      <c r="A335" s="8" t="s">
        <v>5</v>
      </c>
      <c r="B335" s="8">
        <f>AVERAGE(G333:BI333)</f>
        <v>18902.116421253621</v>
      </c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3" x14ac:dyDescent="0.25">
      <c r="A336" s="7" t="s">
        <v>7</v>
      </c>
      <c r="B336" s="7">
        <f>$BI$330</f>
        <v>544.16666666666902</v>
      </c>
    </row>
    <row r="337" spans="1:63" x14ac:dyDescent="0.25">
      <c r="A337" s="31" t="s">
        <v>6</v>
      </c>
      <c r="B337" s="7" t="s">
        <v>62</v>
      </c>
      <c r="C337" s="7">
        <v>61</v>
      </c>
      <c r="D337" s="7">
        <v>62</v>
      </c>
      <c r="E337" s="7">
        <v>63</v>
      </c>
      <c r="F337" s="7">
        <v>64</v>
      </c>
      <c r="G337" s="7">
        <v>65</v>
      </c>
      <c r="H337" s="7">
        <v>66</v>
      </c>
      <c r="I337" s="7">
        <v>67</v>
      </c>
      <c r="J337" s="7">
        <v>68</v>
      </c>
      <c r="K337" s="7">
        <v>69</v>
      </c>
      <c r="L337" s="7">
        <v>70</v>
      </c>
      <c r="M337" s="7">
        <v>71</v>
      </c>
      <c r="N337" s="7">
        <v>72</v>
      </c>
    </row>
    <row r="338" spans="1:63" x14ac:dyDescent="0.25">
      <c r="C338" s="7">
        <f>$B$336</f>
        <v>544.16666666666902</v>
      </c>
      <c r="D338" s="7">
        <f t="shared" ref="D338:N338" si="913">$B$336</f>
        <v>544.16666666666902</v>
      </c>
      <c r="E338" s="7">
        <f t="shared" si="913"/>
        <v>544.16666666666902</v>
      </c>
      <c r="F338" s="7">
        <f t="shared" si="913"/>
        <v>544.16666666666902</v>
      </c>
      <c r="G338" s="7">
        <f t="shared" si="913"/>
        <v>544.16666666666902</v>
      </c>
      <c r="H338" s="7">
        <f t="shared" si="913"/>
        <v>544.16666666666902</v>
      </c>
      <c r="I338" s="7">
        <f t="shared" si="913"/>
        <v>544.16666666666902</v>
      </c>
      <c r="J338" s="7">
        <f t="shared" si="913"/>
        <v>544.16666666666902</v>
      </c>
      <c r="K338" s="7">
        <f t="shared" si="913"/>
        <v>544.16666666666902</v>
      </c>
      <c r="L338" s="7">
        <f t="shared" si="913"/>
        <v>544.16666666666902</v>
      </c>
      <c r="M338" s="7">
        <f t="shared" si="913"/>
        <v>544.16666666666902</v>
      </c>
      <c r="N338" s="7">
        <f t="shared" si="913"/>
        <v>544.16666666666902</v>
      </c>
    </row>
    <row r="340" spans="1:63" x14ac:dyDescent="0.25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</row>
    <row r="342" spans="1:63" x14ac:dyDescent="0.25">
      <c r="A342" s="13" t="s">
        <v>1</v>
      </c>
      <c r="B342" s="13">
        <v>1</v>
      </c>
      <c r="C342" s="13">
        <v>2</v>
      </c>
      <c r="D342" s="13">
        <v>3</v>
      </c>
      <c r="E342" s="13">
        <v>4</v>
      </c>
      <c r="F342" s="13">
        <v>5</v>
      </c>
      <c r="G342" s="13">
        <v>6</v>
      </c>
      <c r="H342" s="13">
        <v>7</v>
      </c>
      <c r="I342" s="13">
        <v>8</v>
      </c>
      <c r="J342" s="13">
        <v>9</v>
      </c>
      <c r="K342" s="13">
        <v>10</v>
      </c>
      <c r="L342" s="13">
        <v>11</v>
      </c>
      <c r="M342" s="13">
        <v>12</v>
      </c>
      <c r="N342" s="13">
        <v>13</v>
      </c>
      <c r="O342" s="13">
        <v>14</v>
      </c>
      <c r="P342" s="13">
        <v>15</v>
      </c>
      <c r="Q342" s="13">
        <v>16</v>
      </c>
      <c r="R342" s="13">
        <v>17</v>
      </c>
      <c r="S342" s="13">
        <v>18</v>
      </c>
      <c r="T342" s="13">
        <v>19</v>
      </c>
      <c r="U342" s="13">
        <v>20</v>
      </c>
      <c r="V342" s="13">
        <v>21</v>
      </c>
      <c r="W342" s="13">
        <v>22</v>
      </c>
      <c r="X342" s="13">
        <v>23</v>
      </c>
      <c r="Y342" s="13">
        <v>24</v>
      </c>
      <c r="Z342" s="13">
        <v>25</v>
      </c>
      <c r="AA342" s="13">
        <v>26</v>
      </c>
      <c r="AB342" s="13">
        <v>27</v>
      </c>
      <c r="AC342" s="13">
        <v>28</v>
      </c>
      <c r="AD342" s="13">
        <v>29</v>
      </c>
      <c r="AE342" s="13">
        <v>30</v>
      </c>
      <c r="AF342" s="13">
        <v>31</v>
      </c>
      <c r="AG342" s="13">
        <v>32</v>
      </c>
      <c r="AH342" s="13">
        <v>33</v>
      </c>
      <c r="AI342" s="13">
        <v>34</v>
      </c>
      <c r="AJ342" s="13">
        <v>35</v>
      </c>
      <c r="AK342" s="13">
        <v>36</v>
      </c>
      <c r="AL342" s="13">
        <v>37</v>
      </c>
      <c r="AM342" s="13">
        <v>38</v>
      </c>
      <c r="AN342" s="13">
        <v>39</v>
      </c>
      <c r="AO342" s="13">
        <v>40</v>
      </c>
      <c r="AP342" s="13">
        <v>41</v>
      </c>
      <c r="AQ342" s="13">
        <v>42</v>
      </c>
      <c r="AR342" s="13">
        <v>43</v>
      </c>
      <c r="AS342" s="13">
        <v>44</v>
      </c>
      <c r="AT342" s="13">
        <v>45</v>
      </c>
      <c r="AU342" s="13">
        <v>46</v>
      </c>
      <c r="AV342" s="13">
        <v>47</v>
      </c>
      <c r="AW342" s="13">
        <v>48</v>
      </c>
      <c r="AX342" s="13">
        <v>49</v>
      </c>
      <c r="AY342" s="13">
        <v>50</v>
      </c>
      <c r="AZ342" s="13">
        <v>51</v>
      </c>
      <c r="BA342" s="13">
        <v>52</v>
      </c>
      <c r="BB342" s="13">
        <v>53</v>
      </c>
      <c r="BC342" s="13">
        <v>54</v>
      </c>
      <c r="BD342" s="13">
        <v>55</v>
      </c>
      <c r="BE342" s="13">
        <v>56</v>
      </c>
      <c r="BF342" s="13">
        <v>57</v>
      </c>
      <c r="BG342" s="13">
        <v>58</v>
      </c>
      <c r="BH342" s="13">
        <v>59</v>
      </c>
      <c r="BI342" s="13">
        <v>60</v>
      </c>
    </row>
    <row r="343" spans="1:63" x14ac:dyDescent="0.25">
      <c r="A343" s="13" t="s">
        <v>0</v>
      </c>
      <c r="B343" s="37">
        <f>'הזנת נתונים'!A66</f>
        <v>28</v>
      </c>
      <c r="C343" s="37">
        <f>'הזנת נתונים'!B66</f>
        <v>35</v>
      </c>
      <c r="D343" s="37">
        <f>'הזנת נתונים'!C66</f>
        <v>40</v>
      </c>
      <c r="E343" s="37">
        <f>'הזנת נתונים'!D66</f>
        <v>55</v>
      </c>
      <c r="F343" s="37">
        <f>'הזנת נתונים'!E66</f>
        <v>70</v>
      </c>
      <c r="G343" s="37">
        <f>'הזנת נתונים'!F66</f>
        <v>75</v>
      </c>
      <c r="H343" s="37">
        <f>'הזנת נתונים'!G66</f>
        <v>87.6666666666667</v>
      </c>
      <c r="I343" s="37">
        <f>'הזנת נתונים'!H66</f>
        <v>98.6666666666667</v>
      </c>
      <c r="J343" s="37">
        <f>'הזנת נתונים'!I66</f>
        <v>109.666666666667</v>
      </c>
      <c r="K343" s="37">
        <f>'הזנת נתונים'!J66</f>
        <v>120.666666666667</v>
      </c>
      <c r="L343" s="37">
        <f>'הזנת נתונים'!K66</f>
        <v>131.666666666667</v>
      </c>
      <c r="M343" s="37">
        <f>'הזנת נתונים'!L66</f>
        <v>142.666666666667</v>
      </c>
      <c r="N343" s="37">
        <f>'הזנת נתונים'!M66</f>
        <v>153.666666666667</v>
      </c>
      <c r="O343" s="37">
        <f>'הזנת נתונים'!N66</f>
        <v>164.666666666667</v>
      </c>
      <c r="P343" s="37">
        <f>'הזנת נתונים'!O66</f>
        <v>175.666666666667</v>
      </c>
      <c r="Q343" s="37">
        <f>'הזנת נתונים'!P66</f>
        <v>186.666666666667</v>
      </c>
      <c r="R343" s="37">
        <f>'הזנת נתונים'!Q66</f>
        <v>197.666666666667</v>
      </c>
      <c r="S343" s="37">
        <f>'הזנת נתונים'!R66</f>
        <v>208.666666666667</v>
      </c>
      <c r="T343" s="37">
        <f>'הזנת נתונים'!S66</f>
        <v>219.666666666667</v>
      </c>
      <c r="U343" s="37">
        <f>'הזנת נתונים'!T66</f>
        <v>230.666666666667</v>
      </c>
      <c r="V343" s="37">
        <f>'הזנת נתונים'!U66</f>
        <v>241.666666666667</v>
      </c>
      <c r="W343" s="37">
        <f>'הזנת נתונים'!V66</f>
        <v>252.666666666667</v>
      </c>
      <c r="X343" s="37">
        <f>'הזנת נתונים'!W66</f>
        <v>263.66666666666703</v>
      </c>
      <c r="Y343" s="37">
        <f>'הזנת נתונים'!X66</f>
        <v>274.66666666666703</v>
      </c>
      <c r="Z343" s="37">
        <f>'הזנת נתונים'!Y66</f>
        <v>285.66666666666799</v>
      </c>
      <c r="AA343" s="37">
        <f>'הזנת נתונים'!Z66</f>
        <v>296.66666666666799</v>
      </c>
      <c r="AB343" s="37">
        <f>'הזנת נתונים'!AA66</f>
        <v>307.66666666666799</v>
      </c>
      <c r="AC343" s="37">
        <f>'הזנת נתונים'!AB66</f>
        <v>318.66666666666799</v>
      </c>
      <c r="AD343" s="37">
        <f>'הזנת נתונים'!AC66</f>
        <v>329.66666666666799</v>
      </c>
      <c r="AE343" s="37">
        <f>'הזנת נתונים'!AD66</f>
        <v>340.66666666666799</v>
      </c>
      <c r="AF343" s="37">
        <f>'הזנת נתונים'!AE66</f>
        <v>351.66666666666799</v>
      </c>
      <c r="AG343" s="37">
        <f>'הזנת נתונים'!AF66</f>
        <v>362.66666666666799</v>
      </c>
      <c r="AH343" s="37">
        <f>'הזנת נתונים'!AG66</f>
        <v>373.66666666666799</v>
      </c>
      <c r="AI343" s="37">
        <f>'הזנת נתונים'!AH66</f>
        <v>384.66666666666799</v>
      </c>
      <c r="AJ343" s="37">
        <f>'הזנת נתונים'!AI66</f>
        <v>395.66666666666799</v>
      </c>
      <c r="AK343" s="37">
        <f>'הזנת נתונים'!AJ66</f>
        <v>406.66666666666799</v>
      </c>
      <c r="AL343" s="37">
        <f>'הזנת נתונים'!AK66</f>
        <v>417.66666666666799</v>
      </c>
      <c r="AM343" s="37">
        <f>'הזנת נתונים'!AL66</f>
        <v>428.66666666666902</v>
      </c>
      <c r="AN343" s="37">
        <f>'הזנת נתונים'!AM66</f>
        <v>439.66666666666902</v>
      </c>
      <c r="AO343" s="37">
        <f>'הזנת נתונים'!AN66</f>
        <v>450.66666666666902</v>
      </c>
      <c r="AP343" s="37">
        <f>'הזנת נתונים'!AO66</f>
        <v>461.66666666666902</v>
      </c>
      <c r="AQ343" s="37">
        <f>'הזנת נתונים'!AP66</f>
        <v>472.66666666666902</v>
      </c>
      <c r="AR343" s="37">
        <f>'הזנת נתונים'!AQ66</f>
        <v>483.66666666666902</v>
      </c>
      <c r="AS343" s="37">
        <f>'הזנת נתונים'!AR66</f>
        <v>494.66666666666902</v>
      </c>
      <c r="AT343" s="37">
        <f>'הזנת נתונים'!AS66</f>
        <v>505.66666666666799</v>
      </c>
      <c r="AU343" s="37">
        <f>'הזנת נתונים'!AT66</f>
        <v>516.66666666666902</v>
      </c>
      <c r="AV343" s="37">
        <f>'הזנת נתונים'!AU66</f>
        <v>527.66666666666902</v>
      </c>
      <c r="AW343" s="37">
        <f>'הזנת נתונים'!AV66</f>
        <v>538.66666666666902</v>
      </c>
      <c r="AX343" s="37">
        <f>'הזנת נתונים'!AW66</f>
        <v>549.66666666666902</v>
      </c>
      <c r="AY343" s="37">
        <f>'הזנת נתונים'!AX66</f>
        <v>560.66666666666902</v>
      </c>
      <c r="AZ343" s="37">
        <f>'הזנת נתונים'!AY66</f>
        <v>571.66666666666902</v>
      </c>
      <c r="BA343" s="37">
        <f>'הזנת נתונים'!AZ66</f>
        <v>582.66666666666902</v>
      </c>
      <c r="BB343" s="37">
        <f>'הזנת נתונים'!BA66</f>
        <v>593.66666666666902</v>
      </c>
      <c r="BC343" s="37">
        <f>'הזנת נתונים'!BB66</f>
        <v>604.66666666666902</v>
      </c>
      <c r="BD343" s="37">
        <f>'הזנת נתונים'!BC66</f>
        <v>615.66666666666902</v>
      </c>
      <c r="BE343" s="37">
        <f>'הזנת נתונים'!BD66</f>
        <v>626.66666666666902</v>
      </c>
      <c r="BF343" s="37">
        <f>'הזנת נתונים'!BE66</f>
        <v>637.66666666666902</v>
      </c>
      <c r="BG343" s="37">
        <f>'הזנת נתונים'!BF66</f>
        <v>648.66666666666902</v>
      </c>
      <c r="BH343" s="37">
        <f>'הזנת נתונים'!BG66</f>
        <v>659.66666666666902</v>
      </c>
      <c r="BI343" s="37">
        <f>'הזנת נתונים'!BH66</f>
        <v>670.66666666666902</v>
      </c>
    </row>
    <row r="344" spans="1:63" x14ac:dyDescent="0.25">
      <c r="A344" s="13" t="s">
        <v>2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  <c r="H344" t="e">
        <v>#N/A</v>
      </c>
      <c r="I344" t="e">
        <v>#N/A</v>
      </c>
      <c r="J344" t="e">
        <v>#N/A</v>
      </c>
      <c r="K344" t="e">
        <v>#N/A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>
        <f t="shared" ref="Z344:BI344" si="914">AVERAGE(B343:Z343)</f>
        <v>153.98666666666691</v>
      </c>
      <c r="AA344">
        <f t="shared" si="914"/>
        <v>164.73333333333366</v>
      </c>
      <c r="AB344">
        <f t="shared" si="914"/>
        <v>175.64000000000036</v>
      </c>
      <c r="AC344">
        <f t="shared" si="914"/>
        <v>186.78666666666709</v>
      </c>
      <c r="AD344">
        <f t="shared" si="914"/>
        <v>197.7733333333338</v>
      </c>
      <c r="AE344">
        <f t="shared" si="914"/>
        <v>208.60000000000051</v>
      </c>
      <c r="AF344">
        <f t="shared" si="914"/>
        <v>219.66666666666723</v>
      </c>
      <c r="AG344">
        <f t="shared" si="914"/>
        <v>230.66666666666725</v>
      </c>
      <c r="AH344">
        <f t="shared" si="914"/>
        <v>241.66666666666734</v>
      </c>
      <c r="AI344">
        <f t="shared" si="914"/>
        <v>252.66666666666737</v>
      </c>
      <c r="AJ344">
        <f t="shared" si="914"/>
        <v>263.66666666666742</v>
      </c>
      <c r="AK344">
        <f t="shared" si="914"/>
        <v>274.66666666666742</v>
      </c>
      <c r="AL344">
        <f t="shared" si="914"/>
        <v>285.66666666666748</v>
      </c>
      <c r="AM344">
        <f t="shared" si="914"/>
        <v>296.66666666666754</v>
      </c>
      <c r="AN344">
        <f t="shared" si="914"/>
        <v>307.66666666666765</v>
      </c>
      <c r="AO344">
        <f t="shared" si="914"/>
        <v>318.66666666666771</v>
      </c>
      <c r="AP344">
        <f t="shared" si="914"/>
        <v>329.66666666666782</v>
      </c>
      <c r="AQ344">
        <f t="shared" si="914"/>
        <v>340.66666666666788</v>
      </c>
      <c r="AR344">
        <f t="shared" si="914"/>
        <v>351.66666666666794</v>
      </c>
      <c r="AS344">
        <f t="shared" si="914"/>
        <v>362.66666666666805</v>
      </c>
      <c r="AT344">
        <f t="shared" si="914"/>
        <v>373.66666666666811</v>
      </c>
      <c r="AU344">
        <f t="shared" si="914"/>
        <v>384.66666666666816</v>
      </c>
      <c r="AV344">
        <f t="shared" si="914"/>
        <v>395.66666666666822</v>
      </c>
      <c r="AW344">
        <f t="shared" si="914"/>
        <v>406.66666666666839</v>
      </c>
      <c r="AX344">
        <f t="shared" si="914"/>
        <v>417.66666666666845</v>
      </c>
      <c r="AY344">
        <f t="shared" si="914"/>
        <v>428.66666666666856</v>
      </c>
      <c r="AZ344">
        <f t="shared" si="914"/>
        <v>439.66666666666862</v>
      </c>
      <c r="BA344">
        <f t="shared" si="914"/>
        <v>450.66666666666862</v>
      </c>
      <c r="BB344">
        <f t="shared" si="914"/>
        <v>461.66666666666868</v>
      </c>
      <c r="BC344">
        <f t="shared" si="914"/>
        <v>472.66666666666873</v>
      </c>
      <c r="BD344">
        <f t="shared" si="914"/>
        <v>483.66666666666873</v>
      </c>
      <c r="BE344">
        <f t="shared" si="914"/>
        <v>494.66666666666885</v>
      </c>
      <c r="BF344">
        <f t="shared" si="914"/>
        <v>505.6666666666689</v>
      </c>
      <c r="BG344">
        <f t="shared" si="914"/>
        <v>516.6666666666689</v>
      </c>
      <c r="BH344">
        <f t="shared" si="914"/>
        <v>527.66666666666902</v>
      </c>
      <c r="BI344">
        <f t="shared" si="914"/>
        <v>538.66666666666902</v>
      </c>
    </row>
    <row r="345" spans="1:63" x14ac:dyDescent="0.25">
      <c r="A345" s="13" t="s">
        <v>9</v>
      </c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>
        <f t="shared" ref="AA345:BI345" si="915">Z344</f>
        <v>153.98666666666691</v>
      </c>
      <c r="AB345" s="7">
        <f t="shared" si="915"/>
        <v>164.73333333333366</v>
      </c>
      <c r="AC345" s="7">
        <f t="shared" si="915"/>
        <v>175.64000000000036</v>
      </c>
      <c r="AD345" s="7">
        <f t="shared" si="915"/>
        <v>186.78666666666709</v>
      </c>
      <c r="AE345" s="7">
        <f t="shared" si="915"/>
        <v>197.7733333333338</v>
      </c>
      <c r="AF345" s="7">
        <f t="shared" si="915"/>
        <v>208.60000000000051</v>
      </c>
      <c r="AG345" s="7">
        <f t="shared" si="915"/>
        <v>219.66666666666723</v>
      </c>
      <c r="AH345" s="7">
        <f t="shared" si="915"/>
        <v>230.66666666666725</v>
      </c>
      <c r="AI345" s="7">
        <f t="shared" si="915"/>
        <v>241.66666666666734</v>
      </c>
      <c r="AJ345" s="7">
        <f t="shared" si="915"/>
        <v>252.66666666666737</v>
      </c>
      <c r="AK345" s="7">
        <f t="shared" si="915"/>
        <v>263.66666666666742</v>
      </c>
      <c r="AL345" s="7">
        <f t="shared" si="915"/>
        <v>274.66666666666742</v>
      </c>
      <c r="AM345" s="7">
        <f t="shared" si="915"/>
        <v>285.66666666666748</v>
      </c>
      <c r="AN345" s="7">
        <f t="shared" si="915"/>
        <v>296.66666666666754</v>
      </c>
      <c r="AO345" s="7">
        <f t="shared" si="915"/>
        <v>307.66666666666765</v>
      </c>
      <c r="AP345" s="7">
        <f t="shared" si="915"/>
        <v>318.66666666666771</v>
      </c>
      <c r="AQ345" s="7">
        <f t="shared" si="915"/>
        <v>329.66666666666782</v>
      </c>
      <c r="AR345" s="7">
        <f t="shared" si="915"/>
        <v>340.66666666666788</v>
      </c>
      <c r="AS345" s="7">
        <f t="shared" si="915"/>
        <v>351.66666666666794</v>
      </c>
      <c r="AT345" s="7">
        <f t="shared" si="915"/>
        <v>362.66666666666805</v>
      </c>
      <c r="AU345" s="7">
        <f t="shared" si="915"/>
        <v>373.66666666666811</v>
      </c>
      <c r="AV345" s="7">
        <f t="shared" si="915"/>
        <v>384.66666666666816</v>
      </c>
      <c r="AW345" s="7">
        <f t="shared" si="915"/>
        <v>395.66666666666822</v>
      </c>
      <c r="AX345" s="7">
        <f t="shared" si="915"/>
        <v>406.66666666666839</v>
      </c>
      <c r="AY345" s="7">
        <f t="shared" si="915"/>
        <v>417.66666666666845</v>
      </c>
      <c r="AZ345" s="7">
        <f t="shared" si="915"/>
        <v>428.66666666666856</v>
      </c>
      <c r="BA345" s="7">
        <f t="shared" si="915"/>
        <v>439.66666666666862</v>
      </c>
      <c r="BB345" s="7">
        <f t="shared" si="915"/>
        <v>450.66666666666862</v>
      </c>
      <c r="BC345" s="7">
        <f t="shared" si="915"/>
        <v>461.66666666666868</v>
      </c>
      <c r="BD345" s="7">
        <f t="shared" si="915"/>
        <v>472.66666666666873</v>
      </c>
      <c r="BE345" s="7">
        <f t="shared" si="915"/>
        <v>483.66666666666873</v>
      </c>
      <c r="BF345" s="7">
        <f t="shared" si="915"/>
        <v>494.66666666666885</v>
      </c>
      <c r="BG345" s="7">
        <f t="shared" si="915"/>
        <v>505.6666666666689</v>
      </c>
      <c r="BH345" s="7">
        <f t="shared" si="915"/>
        <v>516.6666666666689</v>
      </c>
      <c r="BI345" s="7">
        <f t="shared" si="915"/>
        <v>527.66666666666902</v>
      </c>
    </row>
    <row r="346" spans="1:63" x14ac:dyDescent="0.25">
      <c r="A346" s="13" t="s">
        <v>4</v>
      </c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>
        <f t="shared" ref="AA346" si="916">AA345-AA343</f>
        <v>-142.68000000000109</v>
      </c>
      <c r="AB346" s="7">
        <f t="shared" ref="AB346" si="917">AB345-AB343</f>
        <v>-142.93333333333433</v>
      </c>
      <c r="AC346" s="7">
        <f t="shared" ref="AC346" si="918">AC345-AC343</f>
        <v>-143.02666666666764</v>
      </c>
      <c r="AD346" s="7">
        <f t="shared" ref="AD346" si="919">AD345-AD343</f>
        <v>-142.8800000000009</v>
      </c>
      <c r="AE346" s="7">
        <f t="shared" ref="AE346" si="920">AE345-AE343</f>
        <v>-142.8933333333342</v>
      </c>
      <c r="AF346" s="7">
        <f t="shared" ref="AF346" si="921">AF345-AF343</f>
        <v>-143.06666666666749</v>
      </c>
      <c r="AG346" s="7">
        <f t="shared" ref="AG346" si="922">AG345-AG343</f>
        <v>-143.00000000000077</v>
      </c>
      <c r="AH346" s="7">
        <f t="shared" ref="AH346" si="923">AH345-AH343</f>
        <v>-143.00000000000074</v>
      </c>
      <c r="AI346" s="7">
        <f t="shared" ref="AI346" si="924">AI345-AI343</f>
        <v>-143.00000000000065</v>
      </c>
      <c r="AJ346" s="7">
        <f t="shared" ref="AJ346" si="925">AJ345-AJ343</f>
        <v>-143.00000000000063</v>
      </c>
      <c r="AK346" s="7">
        <f t="shared" ref="AK346" si="926">AK345-AK343</f>
        <v>-143.00000000000057</v>
      </c>
      <c r="AL346" s="7">
        <f t="shared" ref="AL346" si="927">AL345-AL343</f>
        <v>-143.00000000000057</v>
      </c>
      <c r="AM346" s="7">
        <f t="shared" ref="AM346" si="928">AM345-AM343</f>
        <v>-143.00000000000153</v>
      </c>
      <c r="AN346" s="7">
        <f t="shared" ref="AN346" si="929">AN345-AN343</f>
        <v>-143.00000000000148</v>
      </c>
      <c r="AO346" s="7">
        <f t="shared" ref="AO346" si="930">AO345-AO343</f>
        <v>-143.00000000000136</v>
      </c>
      <c r="AP346" s="7">
        <f t="shared" ref="AP346" si="931">AP345-AP343</f>
        <v>-143.00000000000131</v>
      </c>
      <c r="AQ346" s="7">
        <f t="shared" ref="AQ346" si="932">AQ345-AQ343</f>
        <v>-143.00000000000119</v>
      </c>
      <c r="AR346" s="7">
        <f t="shared" ref="AR346" si="933">AR345-AR343</f>
        <v>-143.00000000000114</v>
      </c>
      <c r="AS346" s="7">
        <f t="shared" ref="AS346" si="934">AS345-AS343</f>
        <v>-143.00000000000108</v>
      </c>
      <c r="AT346" s="7">
        <f t="shared" ref="AT346" si="935">AT345-AT343</f>
        <v>-142.99999999999994</v>
      </c>
      <c r="AU346" s="7">
        <f t="shared" ref="AU346" si="936">AU345-AU343</f>
        <v>-143.00000000000091</v>
      </c>
      <c r="AV346" s="7">
        <f t="shared" ref="AV346" si="937">AV345-AV343</f>
        <v>-143.00000000000085</v>
      </c>
      <c r="AW346" s="7">
        <f t="shared" ref="AW346" si="938">AW345-AW343</f>
        <v>-143.0000000000008</v>
      </c>
      <c r="AX346" s="7">
        <f t="shared" ref="AX346" si="939">AX345-AX343</f>
        <v>-143.00000000000063</v>
      </c>
      <c r="AY346" s="7">
        <f t="shared" ref="AY346" si="940">AY345-AY343</f>
        <v>-143.00000000000057</v>
      </c>
      <c r="AZ346" s="7">
        <f t="shared" ref="AZ346" si="941">AZ345-AZ343</f>
        <v>-143.00000000000045</v>
      </c>
      <c r="BA346" s="7">
        <f t="shared" ref="BA346" si="942">BA345-BA343</f>
        <v>-143.0000000000004</v>
      </c>
      <c r="BB346" s="7">
        <f t="shared" ref="BB346" si="943">BB345-BB343</f>
        <v>-143.0000000000004</v>
      </c>
      <c r="BC346" s="7">
        <f t="shared" ref="BC346" si="944">BC345-BC343</f>
        <v>-143.00000000000034</v>
      </c>
      <c r="BD346" s="7">
        <f t="shared" ref="BD346" si="945">BD345-BD343</f>
        <v>-143.00000000000028</v>
      </c>
      <c r="BE346" s="7">
        <f t="shared" ref="BE346" si="946">BE345-BE343</f>
        <v>-143.00000000000028</v>
      </c>
      <c r="BF346" s="7">
        <f t="shared" ref="BF346" si="947">BF345-BF343</f>
        <v>-143.00000000000017</v>
      </c>
      <c r="BG346" s="7">
        <f t="shared" ref="BG346" si="948">BG345-BG343</f>
        <v>-143.00000000000011</v>
      </c>
      <c r="BH346" s="7">
        <f t="shared" ref="BH346" si="949">BH345-BH343</f>
        <v>-143.00000000000011</v>
      </c>
      <c r="BI346" s="7">
        <f t="shared" ref="BI346" si="950">BI345-BI343</f>
        <v>-143</v>
      </c>
    </row>
    <row r="347" spans="1:63" x14ac:dyDescent="0.25">
      <c r="A347" s="13" t="s">
        <v>12</v>
      </c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>
        <f t="shared" ref="AA347" si="951">AA346^2</f>
        <v>20357.582400000309</v>
      </c>
      <c r="AB347" s="7">
        <f t="shared" ref="AB347" si="952">AB346^2</f>
        <v>20429.937777778065</v>
      </c>
      <c r="AC347" s="7">
        <f t="shared" ref="AC347" si="953">AC346^2</f>
        <v>20456.627377778055</v>
      </c>
      <c r="AD347" s="7">
        <f t="shared" ref="AD347" si="954">AD346^2</f>
        <v>20414.694400000259</v>
      </c>
      <c r="AE347" s="7">
        <f t="shared" ref="AE347" si="955">AE346^2</f>
        <v>20418.50471111136</v>
      </c>
      <c r="AF347" s="7">
        <f t="shared" ref="AF347" si="956">AF346^2</f>
        <v>20468.071111111345</v>
      </c>
      <c r="AG347" s="7">
        <f t="shared" ref="AG347" si="957">AG346^2</f>
        <v>20449.000000000218</v>
      </c>
      <c r="AH347" s="7">
        <f t="shared" ref="AH347" si="958">AH346^2</f>
        <v>20449.000000000211</v>
      </c>
      <c r="AI347" s="7">
        <f t="shared" ref="AI347" si="959">AI346^2</f>
        <v>20449.000000000186</v>
      </c>
      <c r="AJ347" s="7">
        <f t="shared" ref="AJ347" si="960">AJ346^2</f>
        <v>20449.000000000178</v>
      </c>
      <c r="AK347" s="7">
        <f t="shared" ref="AK347" si="961">AK346^2</f>
        <v>20449.000000000164</v>
      </c>
      <c r="AL347" s="7">
        <f t="shared" ref="AL347" si="962">AL346^2</f>
        <v>20449.000000000164</v>
      </c>
      <c r="AM347" s="7">
        <f t="shared" ref="AM347" si="963">AM346^2</f>
        <v>20449.00000000044</v>
      </c>
      <c r="AN347" s="7">
        <f t="shared" ref="AN347" si="964">AN346^2</f>
        <v>20449.000000000422</v>
      </c>
      <c r="AO347" s="7">
        <f t="shared" ref="AO347" si="965">AO346^2</f>
        <v>20449.000000000389</v>
      </c>
      <c r="AP347" s="7">
        <f t="shared" ref="AP347" si="966">AP346^2</f>
        <v>20449.000000000375</v>
      </c>
      <c r="AQ347" s="7">
        <f t="shared" ref="AQ347" si="967">AQ346^2</f>
        <v>20449.000000000342</v>
      </c>
      <c r="AR347" s="7">
        <f t="shared" ref="AR347" si="968">AR346^2</f>
        <v>20449.000000000324</v>
      </c>
      <c r="AS347" s="7">
        <f t="shared" ref="AS347" si="969">AS346^2</f>
        <v>20449.000000000309</v>
      </c>
      <c r="AT347" s="7">
        <f t="shared" ref="AT347" si="970">AT346^2</f>
        <v>20448.999999999985</v>
      </c>
      <c r="AU347" s="7">
        <f t="shared" ref="AU347" si="971">AU346^2</f>
        <v>20449.000000000262</v>
      </c>
      <c r="AV347" s="7">
        <f t="shared" ref="AV347" si="972">AV346^2</f>
        <v>20449.000000000244</v>
      </c>
      <c r="AW347" s="7">
        <f t="shared" ref="AW347" si="973">AW346^2</f>
        <v>20449.000000000229</v>
      </c>
      <c r="AX347" s="7">
        <f t="shared" ref="AX347" si="974">AX346^2</f>
        <v>20449.000000000178</v>
      </c>
      <c r="AY347" s="7">
        <f t="shared" ref="AY347" si="975">AY346^2</f>
        <v>20449.000000000164</v>
      </c>
      <c r="AZ347" s="7">
        <f t="shared" ref="AZ347" si="976">AZ346^2</f>
        <v>20449.000000000131</v>
      </c>
      <c r="BA347" s="7">
        <f t="shared" ref="BA347" si="977">BA346^2</f>
        <v>20449.000000000113</v>
      </c>
      <c r="BB347" s="7">
        <f t="shared" ref="BB347" si="978">BB346^2</f>
        <v>20449.000000000113</v>
      </c>
      <c r="BC347" s="7">
        <f t="shared" ref="BC347" si="979">BC346^2</f>
        <v>20449.000000000098</v>
      </c>
      <c r="BD347" s="7">
        <f t="shared" ref="BD347" si="980">BD346^2</f>
        <v>20449.00000000008</v>
      </c>
      <c r="BE347" s="7">
        <f t="shared" ref="BE347" si="981">BE346^2</f>
        <v>20449.00000000008</v>
      </c>
      <c r="BF347" s="7">
        <f t="shared" ref="BF347" si="982">BF346^2</f>
        <v>20449.000000000047</v>
      </c>
      <c r="BG347" s="7">
        <f t="shared" ref="BG347" si="983">BG346^2</f>
        <v>20449.000000000033</v>
      </c>
      <c r="BH347" s="7">
        <f t="shared" ref="BH347" si="984">BH346^2</f>
        <v>20449.000000000033</v>
      </c>
      <c r="BI347" s="7">
        <f t="shared" ref="BI347" si="985">BI346^2</f>
        <v>20449</v>
      </c>
    </row>
    <row r="348" spans="1:63" x14ac:dyDescent="0.25">
      <c r="A348" s="38" t="s">
        <v>11</v>
      </c>
      <c r="B348" s="38">
        <v>25</v>
      </c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3" x14ac:dyDescent="0.25">
      <c r="A349" s="8" t="s">
        <v>5</v>
      </c>
      <c r="B349" s="8">
        <f>AVERAGE(G347:BI347)</f>
        <v>20444.754793650995</v>
      </c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3" x14ac:dyDescent="0.25">
      <c r="A350" s="7" t="s">
        <v>7</v>
      </c>
      <c r="B350" s="7">
        <f>BI344</f>
        <v>538.66666666666902</v>
      </c>
    </row>
    <row r="351" spans="1:63" x14ac:dyDescent="0.25">
      <c r="A351" s="31" t="s">
        <v>6</v>
      </c>
      <c r="B351" s="7" t="s">
        <v>62</v>
      </c>
      <c r="C351" s="7">
        <v>61</v>
      </c>
      <c r="D351" s="7">
        <v>62</v>
      </c>
      <c r="E351" s="7">
        <v>63</v>
      </c>
      <c r="F351" s="7">
        <v>64</v>
      </c>
      <c r="G351" s="7">
        <v>65</v>
      </c>
      <c r="H351" s="7">
        <v>66</v>
      </c>
      <c r="I351" s="7">
        <v>67</v>
      </c>
      <c r="J351" s="7">
        <v>68</v>
      </c>
      <c r="K351" s="7">
        <v>69</v>
      </c>
      <c r="L351" s="7">
        <v>70</v>
      </c>
      <c r="M351" s="7">
        <v>71</v>
      </c>
      <c r="N351" s="7">
        <v>72</v>
      </c>
    </row>
    <row r="352" spans="1:63" x14ac:dyDescent="0.25">
      <c r="C352" s="7">
        <f>$B$350</f>
        <v>538.66666666666902</v>
      </c>
      <c r="D352" s="7">
        <f t="shared" ref="D352:N352" si="986">$B$350</f>
        <v>538.66666666666902</v>
      </c>
      <c r="E352" s="7">
        <f t="shared" si="986"/>
        <v>538.66666666666902</v>
      </c>
      <c r="F352" s="7">
        <f t="shared" si="986"/>
        <v>538.66666666666902</v>
      </c>
      <c r="G352" s="7">
        <f t="shared" si="986"/>
        <v>538.66666666666902</v>
      </c>
      <c r="H352" s="7">
        <f t="shared" si="986"/>
        <v>538.66666666666902</v>
      </c>
      <c r="I352" s="7">
        <f t="shared" si="986"/>
        <v>538.66666666666902</v>
      </c>
      <c r="J352" s="7">
        <f t="shared" si="986"/>
        <v>538.66666666666902</v>
      </c>
      <c r="K352" s="7">
        <f t="shared" si="986"/>
        <v>538.66666666666902</v>
      </c>
      <c r="L352" s="7">
        <f t="shared" si="986"/>
        <v>538.66666666666902</v>
      </c>
      <c r="M352" s="7">
        <f t="shared" si="986"/>
        <v>538.66666666666902</v>
      </c>
      <c r="N352" s="7">
        <f t="shared" si="986"/>
        <v>538.66666666666902</v>
      </c>
    </row>
    <row r="355" spans="1:63" x14ac:dyDescent="0.25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</row>
    <row r="357" spans="1:63" x14ac:dyDescent="0.25">
      <c r="A357" s="13" t="s">
        <v>1</v>
      </c>
      <c r="B357" s="13">
        <v>1</v>
      </c>
      <c r="C357" s="13">
        <v>2</v>
      </c>
      <c r="D357" s="13">
        <v>3</v>
      </c>
      <c r="E357" s="13">
        <v>4</v>
      </c>
      <c r="F357" s="13">
        <v>5</v>
      </c>
      <c r="G357" s="13">
        <v>6</v>
      </c>
      <c r="H357" s="13">
        <v>7</v>
      </c>
      <c r="I357" s="13">
        <v>8</v>
      </c>
      <c r="J357" s="13">
        <v>9</v>
      </c>
      <c r="K357" s="13">
        <v>10</v>
      </c>
      <c r="L357" s="13">
        <v>11</v>
      </c>
      <c r="M357" s="13">
        <v>12</v>
      </c>
      <c r="N357" s="13">
        <v>13</v>
      </c>
      <c r="O357" s="13">
        <v>14</v>
      </c>
      <c r="P357" s="13">
        <v>15</v>
      </c>
      <c r="Q357" s="13">
        <v>16</v>
      </c>
      <c r="R357" s="13">
        <v>17</v>
      </c>
      <c r="S357" s="13">
        <v>18</v>
      </c>
      <c r="T357" s="13">
        <v>19</v>
      </c>
      <c r="U357" s="13">
        <v>20</v>
      </c>
      <c r="V357" s="13">
        <v>21</v>
      </c>
      <c r="W357" s="13">
        <v>22</v>
      </c>
      <c r="X357" s="13">
        <v>23</v>
      </c>
      <c r="Y357" s="13">
        <v>24</v>
      </c>
      <c r="Z357" s="13">
        <v>25</v>
      </c>
      <c r="AA357" s="13">
        <v>26</v>
      </c>
      <c r="AB357" s="13">
        <v>27</v>
      </c>
      <c r="AC357" s="13">
        <v>28</v>
      </c>
      <c r="AD357" s="13">
        <v>29</v>
      </c>
      <c r="AE357" s="13">
        <v>30</v>
      </c>
      <c r="AF357" s="13">
        <v>31</v>
      </c>
      <c r="AG357" s="13">
        <v>32</v>
      </c>
      <c r="AH357" s="13">
        <v>33</v>
      </c>
      <c r="AI357" s="13">
        <v>34</v>
      </c>
      <c r="AJ357" s="13">
        <v>35</v>
      </c>
      <c r="AK357" s="13">
        <v>36</v>
      </c>
      <c r="AL357" s="13">
        <v>37</v>
      </c>
      <c r="AM357" s="13">
        <v>38</v>
      </c>
      <c r="AN357" s="13">
        <v>39</v>
      </c>
      <c r="AO357" s="13">
        <v>40</v>
      </c>
      <c r="AP357" s="13">
        <v>41</v>
      </c>
      <c r="AQ357" s="13">
        <v>42</v>
      </c>
      <c r="AR357" s="13">
        <v>43</v>
      </c>
      <c r="AS357" s="13">
        <v>44</v>
      </c>
      <c r="AT357" s="13">
        <v>45</v>
      </c>
      <c r="AU357" s="13">
        <v>46</v>
      </c>
      <c r="AV357" s="13">
        <v>47</v>
      </c>
      <c r="AW357" s="13">
        <v>48</v>
      </c>
      <c r="AX357" s="13">
        <v>49</v>
      </c>
      <c r="AY357" s="13">
        <v>50</v>
      </c>
      <c r="AZ357" s="13">
        <v>51</v>
      </c>
      <c r="BA357" s="13">
        <v>52</v>
      </c>
      <c r="BB357" s="13">
        <v>53</v>
      </c>
      <c r="BC357" s="13">
        <v>54</v>
      </c>
      <c r="BD357" s="13">
        <v>55</v>
      </c>
      <c r="BE357" s="13">
        <v>56</v>
      </c>
      <c r="BF357" s="13">
        <v>57</v>
      </c>
      <c r="BG357" s="13">
        <v>58</v>
      </c>
      <c r="BH357" s="13">
        <v>59</v>
      </c>
      <c r="BI357" s="13">
        <v>60</v>
      </c>
    </row>
    <row r="358" spans="1:63" x14ac:dyDescent="0.25">
      <c r="A358" s="13" t="s">
        <v>0</v>
      </c>
      <c r="B358" s="37">
        <f>'הזנת נתונים'!A66</f>
        <v>28</v>
      </c>
      <c r="C358" s="37">
        <f>'הזנת נתונים'!B66</f>
        <v>35</v>
      </c>
      <c r="D358" s="37">
        <f>'הזנת נתונים'!C66</f>
        <v>40</v>
      </c>
      <c r="E358" s="37">
        <f>'הזנת נתונים'!D66</f>
        <v>55</v>
      </c>
      <c r="F358" s="37">
        <f>'הזנת נתונים'!E66</f>
        <v>70</v>
      </c>
      <c r="G358" s="37">
        <f>'הזנת נתונים'!F66</f>
        <v>75</v>
      </c>
      <c r="H358" s="37">
        <f>'הזנת נתונים'!G66</f>
        <v>87.6666666666667</v>
      </c>
      <c r="I358" s="37">
        <f>'הזנת נתונים'!H66</f>
        <v>98.6666666666667</v>
      </c>
      <c r="J358" s="37">
        <f>'הזנת נתונים'!I66</f>
        <v>109.666666666667</v>
      </c>
      <c r="K358" s="37">
        <f>'הזנת נתונים'!J66</f>
        <v>120.666666666667</v>
      </c>
      <c r="L358" s="37">
        <f>'הזנת נתונים'!K66</f>
        <v>131.666666666667</v>
      </c>
      <c r="M358" s="37">
        <f>'הזנת נתונים'!L66</f>
        <v>142.666666666667</v>
      </c>
      <c r="N358" s="37">
        <f>'הזנת נתונים'!M66</f>
        <v>153.666666666667</v>
      </c>
      <c r="O358" s="37">
        <f>'הזנת נתונים'!N66</f>
        <v>164.666666666667</v>
      </c>
      <c r="P358" s="37">
        <f>'הזנת נתונים'!O66</f>
        <v>175.666666666667</v>
      </c>
      <c r="Q358" s="37">
        <f>'הזנת נתונים'!P66</f>
        <v>186.666666666667</v>
      </c>
      <c r="R358" s="37">
        <f>'הזנת נתונים'!Q66</f>
        <v>197.666666666667</v>
      </c>
      <c r="S358" s="37">
        <f>'הזנת נתונים'!R66</f>
        <v>208.666666666667</v>
      </c>
      <c r="T358" s="37">
        <f>'הזנת נתונים'!S66</f>
        <v>219.666666666667</v>
      </c>
      <c r="U358" s="37">
        <f>'הזנת נתונים'!T66</f>
        <v>230.666666666667</v>
      </c>
      <c r="V358" s="37">
        <f>'הזנת נתונים'!U66</f>
        <v>241.666666666667</v>
      </c>
      <c r="W358" s="37">
        <f>'הזנת נתונים'!V66</f>
        <v>252.666666666667</v>
      </c>
      <c r="X358" s="37">
        <f>'הזנת נתונים'!W66</f>
        <v>263.66666666666703</v>
      </c>
      <c r="Y358" s="37">
        <f>'הזנת נתונים'!X66</f>
        <v>274.66666666666703</v>
      </c>
      <c r="Z358" s="37">
        <f>'הזנת נתונים'!Y66</f>
        <v>285.66666666666799</v>
      </c>
      <c r="AA358" s="37">
        <f>'הזנת נתונים'!Z66</f>
        <v>296.66666666666799</v>
      </c>
      <c r="AB358" s="37">
        <f>'הזנת נתונים'!AA66</f>
        <v>307.66666666666799</v>
      </c>
      <c r="AC358" s="37">
        <f>'הזנת נתונים'!AB66</f>
        <v>318.66666666666799</v>
      </c>
      <c r="AD358" s="37">
        <f>'הזנת נתונים'!AC66</f>
        <v>329.66666666666799</v>
      </c>
      <c r="AE358" s="37">
        <f>'הזנת נתונים'!AD66</f>
        <v>340.66666666666799</v>
      </c>
      <c r="AF358" s="37">
        <f>'הזנת נתונים'!AE66</f>
        <v>351.66666666666799</v>
      </c>
      <c r="AG358" s="37">
        <f>'הזנת נתונים'!AF66</f>
        <v>362.66666666666799</v>
      </c>
      <c r="AH358" s="37">
        <f>'הזנת נתונים'!AG66</f>
        <v>373.66666666666799</v>
      </c>
      <c r="AI358" s="37">
        <f>'הזנת נתונים'!AH66</f>
        <v>384.66666666666799</v>
      </c>
      <c r="AJ358" s="37">
        <f>'הזנת נתונים'!AI66</f>
        <v>395.66666666666799</v>
      </c>
      <c r="AK358" s="37">
        <f>'הזנת נתונים'!AJ66</f>
        <v>406.66666666666799</v>
      </c>
      <c r="AL358" s="37">
        <f>'הזנת נתונים'!AK66</f>
        <v>417.66666666666799</v>
      </c>
      <c r="AM358" s="37">
        <f>'הזנת נתונים'!AL66</f>
        <v>428.66666666666902</v>
      </c>
      <c r="AN358" s="37">
        <f>'הזנת נתונים'!AM66</f>
        <v>439.66666666666902</v>
      </c>
      <c r="AO358" s="37">
        <f>'הזנת נתונים'!AN66</f>
        <v>450.66666666666902</v>
      </c>
      <c r="AP358" s="37">
        <f>'הזנת נתונים'!AO66</f>
        <v>461.66666666666902</v>
      </c>
      <c r="AQ358" s="37">
        <f>'הזנת נתונים'!AP66</f>
        <v>472.66666666666902</v>
      </c>
      <c r="AR358" s="37">
        <f>'הזנת נתונים'!AQ66</f>
        <v>483.66666666666902</v>
      </c>
      <c r="AS358" s="37">
        <f>'הזנת נתונים'!AR66</f>
        <v>494.66666666666902</v>
      </c>
      <c r="AT358" s="37">
        <f>'הזנת נתונים'!AS66</f>
        <v>505.66666666666799</v>
      </c>
      <c r="AU358" s="37">
        <f>'הזנת נתונים'!AT66</f>
        <v>516.66666666666902</v>
      </c>
      <c r="AV358" s="37">
        <f>'הזנת נתונים'!AU66</f>
        <v>527.66666666666902</v>
      </c>
      <c r="AW358" s="37">
        <f>'הזנת נתונים'!AV66</f>
        <v>538.66666666666902</v>
      </c>
      <c r="AX358" s="37">
        <f>'הזנת נתונים'!AW66</f>
        <v>549.66666666666902</v>
      </c>
      <c r="AY358" s="37">
        <f>'הזנת נתונים'!AX66</f>
        <v>560.66666666666902</v>
      </c>
      <c r="AZ358" s="37">
        <f>'הזנת נתונים'!AY66</f>
        <v>571.66666666666902</v>
      </c>
      <c r="BA358" s="37">
        <f>'הזנת נתונים'!AZ66</f>
        <v>582.66666666666902</v>
      </c>
      <c r="BB358" s="37">
        <f>'הזנת נתונים'!BA66</f>
        <v>593.66666666666902</v>
      </c>
      <c r="BC358" s="37">
        <f>'הזנת נתונים'!BB66</f>
        <v>604.66666666666902</v>
      </c>
      <c r="BD358" s="37">
        <f>'הזנת נתונים'!BC66</f>
        <v>615.66666666666902</v>
      </c>
      <c r="BE358" s="37">
        <f>'הזנת נתונים'!BD66</f>
        <v>626.66666666666902</v>
      </c>
      <c r="BF358" s="37">
        <f>'הזנת נתונים'!BE66</f>
        <v>637.66666666666902</v>
      </c>
      <c r="BG358" s="37">
        <f>'הזנת נתונים'!BF66</f>
        <v>648.66666666666902</v>
      </c>
      <c r="BH358" s="37">
        <f>'הזנת נתונים'!BG66</f>
        <v>659.66666666666902</v>
      </c>
      <c r="BI358" s="37">
        <f>'הזנת נתונים'!BH66</f>
        <v>670.66666666666902</v>
      </c>
    </row>
    <row r="359" spans="1:63" x14ac:dyDescent="0.25">
      <c r="A359" s="13" t="s">
        <v>2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>
        <f t="shared" ref="AA359:BI359" si="987">AVERAGE(B358:AA358)</f>
        <v>159.47435897435929</v>
      </c>
      <c r="AB359">
        <f t="shared" si="987"/>
        <v>170.23076923076957</v>
      </c>
      <c r="AC359">
        <f t="shared" si="987"/>
        <v>181.14102564102603</v>
      </c>
      <c r="AD359">
        <f t="shared" si="987"/>
        <v>192.28205128205173</v>
      </c>
      <c r="AE359">
        <f t="shared" si="987"/>
        <v>203.26923076923126</v>
      </c>
      <c r="AF359">
        <f t="shared" si="987"/>
        <v>214.10256410256463</v>
      </c>
      <c r="AG359">
        <f t="shared" si="987"/>
        <v>225.16666666666725</v>
      </c>
      <c r="AH359">
        <f t="shared" si="987"/>
        <v>236.16666666666728</v>
      </c>
      <c r="AI359">
        <f t="shared" si="987"/>
        <v>247.16666666666737</v>
      </c>
      <c r="AJ359">
        <f t="shared" si="987"/>
        <v>258.16666666666737</v>
      </c>
      <c r="AK359">
        <f t="shared" si="987"/>
        <v>269.16666666666742</v>
      </c>
      <c r="AL359">
        <f t="shared" si="987"/>
        <v>280.16666666666748</v>
      </c>
      <c r="AM359">
        <f t="shared" si="987"/>
        <v>291.16666666666754</v>
      </c>
      <c r="AN359">
        <f t="shared" si="987"/>
        <v>302.1666666666676</v>
      </c>
      <c r="AO359">
        <f t="shared" si="987"/>
        <v>313.16666666666765</v>
      </c>
      <c r="AP359">
        <f t="shared" si="987"/>
        <v>324.16666666666777</v>
      </c>
      <c r="AQ359">
        <f t="shared" si="987"/>
        <v>335.16666666666788</v>
      </c>
      <c r="AR359">
        <f t="shared" si="987"/>
        <v>346.16666666666794</v>
      </c>
      <c r="AS359">
        <f t="shared" si="987"/>
        <v>357.16666666666799</v>
      </c>
      <c r="AT359">
        <f t="shared" si="987"/>
        <v>368.16666666666799</v>
      </c>
      <c r="AU359">
        <f t="shared" si="987"/>
        <v>379.16666666666816</v>
      </c>
      <c r="AV359">
        <f t="shared" si="987"/>
        <v>390.16666666666822</v>
      </c>
      <c r="AW359">
        <f t="shared" si="987"/>
        <v>401.16666666666828</v>
      </c>
      <c r="AX359">
        <f t="shared" si="987"/>
        <v>412.16666666666845</v>
      </c>
      <c r="AY359">
        <f t="shared" si="987"/>
        <v>423.1666666666685</v>
      </c>
      <c r="AZ359">
        <f t="shared" si="987"/>
        <v>434.16666666666856</v>
      </c>
      <c r="BA359">
        <f t="shared" si="987"/>
        <v>445.16666666666868</v>
      </c>
      <c r="BB359">
        <f t="shared" si="987"/>
        <v>456.16666666666868</v>
      </c>
      <c r="BC359">
        <f t="shared" si="987"/>
        <v>467.16666666666873</v>
      </c>
      <c r="BD359">
        <f t="shared" si="987"/>
        <v>478.16666666666879</v>
      </c>
      <c r="BE359">
        <f t="shared" si="987"/>
        <v>489.16666666666879</v>
      </c>
      <c r="BF359">
        <f t="shared" si="987"/>
        <v>500.16666666666885</v>
      </c>
      <c r="BG359">
        <f t="shared" si="987"/>
        <v>511.1666666666689</v>
      </c>
      <c r="BH359">
        <f t="shared" si="987"/>
        <v>522.1666666666689</v>
      </c>
      <c r="BI359">
        <f t="shared" si="987"/>
        <v>533.16666666666902</v>
      </c>
    </row>
    <row r="360" spans="1:63" x14ac:dyDescent="0.25">
      <c r="A360" s="13" t="s">
        <v>9</v>
      </c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>
        <f t="shared" ref="AB360:BI360" si="988">AA359</f>
        <v>159.47435897435929</v>
      </c>
      <c r="AC360" s="7">
        <f t="shared" si="988"/>
        <v>170.23076923076957</v>
      </c>
      <c r="AD360" s="7">
        <f t="shared" si="988"/>
        <v>181.14102564102603</v>
      </c>
      <c r="AE360" s="7">
        <f t="shared" si="988"/>
        <v>192.28205128205173</v>
      </c>
      <c r="AF360" s="7">
        <f t="shared" si="988"/>
        <v>203.26923076923126</v>
      </c>
      <c r="AG360" s="7">
        <f t="shared" si="988"/>
        <v>214.10256410256463</v>
      </c>
      <c r="AH360" s="7">
        <f t="shared" si="988"/>
        <v>225.16666666666725</v>
      </c>
      <c r="AI360" s="7">
        <f t="shared" si="988"/>
        <v>236.16666666666728</v>
      </c>
      <c r="AJ360" s="7">
        <f t="shared" si="988"/>
        <v>247.16666666666737</v>
      </c>
      <c r="AK360" s="7">
        <f t="shared" si="988"/>
        <v>258.16666666666737</v>
      </c>
      <c r="AL360" s="7">
        <f t="shared" si="988"/>
        <v>269.16666666666742</v>
      </c>
      <c r="AM360" s="7">
        <f t="shared" si="988"/>
        <v>280.16666666666748</v>
      </c>
      <c r="AN360" s="7">
        <f t="shared" si="988"/>
        <v>291.16666666666754</v>
      </c>
      <c r="AO360" s="7">
        <f t="shared" si="988"/>
        <v>302.1666666666676</v>
      </c>
      <c r="AP360" s="7">
        <f t="shared" si="988"/>
        <v>313.16666666666765</v>
      </c>
      <c r="AQ360" s="7">
        <f t="shared" si="988"/>
        <v>324.16666666666777</v>
      </c>
      <c r="AR360" s="7">
        <f t="shared" si="988"/>
        <v>335.16666666666788</v>
      </c>
      <c r="AS360" s="7">
        <f t="shared" si="988"/>
        <v>346.16666666666794</v>
      </c>
      <c r="AT360" s="7">
        <f t="shared" si="988"/>
        <v>357.16666666666799</v>
      </c>
      <c r="AU360" s="7">
        <f t="shared" si="988"/>
        <v>368.16666666666799</v>
      </c>
      <c r="AV360" s="7">
        <f t="shared" si="988"/>
        <v>379.16666666666816</v>
      </c>
      <c r="AW360" s="7">
        <f t="shared" si="988"/>
        <v>390.16666666666822</v>
      </c>
      <c r="AX360" s="7">
        <f t="shared" si="988"/>
        <v>401.16666666666828</v>
      </c>
      <c r="AY360" s="7">
        <f t="shared" si="988"/>
        <v>412.16666666666845</v>
      </c>
      <c r="AZ360" s="7">
        <f t="shared" si="988"/>
        <v>423.1666666666685</v>
      </c>
      <c r="BA360" s="7">
        <f t="shared" si="988"/>
        <v>434.16666666666856</v>
      </c>
      <c r="BB360" s="7">
        <f t="shared" si="988"/>
        <v>445.16666666666868</v>
      </c>
      <c r="BC360" s="7">
        <f t="shared" si="988"/>
        <v>456.16666666666868</v>
      </c>
      <c r="BD360" s="7">
        <f t="shared" si="988"/>
        <v>467.16666666666873</v>
      </c>
      <c r="BE360" s="7">
        <f t="shared" si="988"/>
        <v>478.16666666666879</v>
      </c>
      <c r="BF360" s="7">
        <f t="shared" si="988"/>
        <v>489.16666666666879</v>
      </c>
      <c r="BG360" s="7">
        <f t="shared" si="988"/>
        <v>500.16666666666885</v>
      </c>
      <c r="BH360" s="7">
        <f t="shared" si="988"/>
        <v>511.1666666666689</v>
      </c>
      <c r="BI360" s="7">
        <f t="shared" si="988"/>
        <v>522.1666666666689</v>
      </c>
    </row>
    <row r="361" spans="1:63" x14ac:dyDescent="0.25">
      <c r="A361" s="13" t="s">
        <v>4</v>
      </c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>
        <f t="shared" ref="AB361" si="989">AB360-AB358</f>
        <v>-148.1923076923087</v>
      </c>
      <c r="AC361" s="7">
        <f t="shared" ref="AC361" si="990">AC360-AC358</f>
        <v>-148.43589743589843</v>
      </c>
      <c r="AD361" s="7">
        <f t="shared" ref="AD361" si="991">AD360-AD358</f>
        <v>-148.52564102564196</v>
      </c>
      <c r="AE361" s="7">
        <f t="shared" ref="AE361" si="992">AE360-AE358</f>
        <v>-148.38461538461627</v>
      </c>
      <c r="AF361" s="7">
        <f t="shared" ref="AF361" si="993">AF360-AF358</f>
        <v>-148.39743589743674</v>
      </c>
      <c r="AG361" s="7">
        <f t="shared" ref="AG361" si="994">AG360-AG358</f>
        <v>-148.56410256410337</v>
      </c>
      <c r="AH361" s="7">
        <f t="shared" ref="AH361" si="995">AH360-AH358</f>
        <v>-148.50000000000074</v>
      </c>
      <c r="AI361" s="7">
        <f t="shared" ref="AI361" si="996">AI360-AI358</f>
        <v>-148.50000000000071</v>
      </c>
      <c r="AJ361" s="7">
        <f t="shared" ref="AJ361" si="997">AJ360-AJ358</f>
        <v>-148.50000000000063</v>
      </c>
      <c r="AK361" s="7">
        <f t="shared" ref="AK361" si="998">AK360-AK358</f>
        <v>-148.50000000000063</v>
      </c>
      <c r="AL361" s="7">
        <f t="shared" ref="AL361" si="999">AL360-AL358</f>
        <v>-148.50000000000057</v>
      </c>
      <c r="AM361" s="7">
        <f t="shared" ref="AM361" si="1000">AM360-AM358</f>
        <v>-148.50000000000153</v>
      </c>
      <c r="AN361" s="7">
        <f t="shared" ref="AN361" si="1001">AN360-AN358</f>
        <v>-148.50000000000148</v>
      </c>
      <c r="AO361" s="7">
        <f t="shared" ref="AO361" si="1002">AO360-AO358</f>
        <v>-148.50000000000142</v>
      </c>
      <c r="AP361" s="7">
        <f t="shared" ref="AP361" si="1003">AP360-AP358</f>
        <v>-148.50000000000136</v>
      </c>
      <c r="AQ361" s="7">
        <f t="shared" ref="AQ361" si="1004">AQ360-AQ358</f>
        <v>-148.50000000000125</v>
      </c>
      <c r="AR361" s="7">
        <f t="shared" ref="AR361" si="1005">AR360-AR358</f>
        <v>-148.50000000000114</v>
      </c>
      <c r="AS361" s="7">
        <f t="shared" ref="AS361" si="1006">AS360-AS358</f>
        <v>-148.50000000000108</v>
      </c>
      <c r="AT361" s="7">
        <f t="shared" ref="AT361" si="1007">AT360-AT358</f>
        <v>-148.5</v>
      </c>
      <c r="AU361" s="7">
        <f t="shared" ref="AU361" si="1008">AU360-AU358</f>
        <v>-148.50000000000102</v>
      </c>
      <c r="AV361" s="7">
        <f t="shared" ref="AV361" si="1009">AV360-AV358</f>
        <v>-148.50000000000085</v>
      </c>
      <c r="AW361" s="7">
        <f t="shared" ref="AW361" si="1010">AW360-AW358</f>
        <v>-148.5000000000008</v>
      </c>
      <c r="AX361" s="7">
        <f t="shared" ref="AX361" si="1011">AX360-AX358</f>
        <v>-148.50000000000074</v>
      </c>
      <c r="AY361" s="7">
        <f t="shared" ref="AY361" si="1012">AY360-AY358</f>
        <v>-148.50000000000057</v>
      </c>
      <c r="AZ361" s="7">
        <f t="shared" ref="AZ361" si="1013">AZ360-AZ358</f>
        <v>-148.50000000000051</v>
      </c>
      <c r="BA361" s="7">
        <f t="shared" ref="BA361" si="1014">BA360-BA358</f>
        <v>-148.50000000000045</v>
      </c>
      <c r="BB361" s="7">
        <f t="shared" ref="BB361" si="1015">BB360-BB358</f>
        <v>-148.50000000000034</v>
      </c>
      <c r="BC361" s="7">
        <f t="shared" ref="BC361" si="1016">BC360-BC358</f>
        <v>-148.50000000000034</v>
      </c>
      <c r="BD361" s="7">
        <f t="shared" ref="BD361" si="1017">BD360-BD358</f>
        <v>-148.50000000000028</v>
      </c>
      <c r="BE361" s="7">
        <f t="shared" ref="BE361" si="1018">BE360-BE358</f>
        <v>-148.50000000000023</v>
      </c>
      <c r="BF361" s="7">
        <f t="shared" ref="BF361" si="1019">BF360-BF358</f>
        <v>-148.50000000000023</v>
      </c>
      <c r="BG361" s="7">
        <f t="shared" ref="BG361" si="1020">BG360-BG358</f>
        <v>-148.50000000000017</v>
      </c>
      <c r="BH361" s="7">
        <f t="shared" ref="BH361" si="1021">BH360-BH358</f>
        <v>-148.50000000000011</v>
      </c>
      <c r="BI361" s="7">
        <f t="shared" ref="BI361" si="1022">BI360-BI358</f>
        <v>-148.50000000000011</v>
      </c>
    </row>
    <row r="362" spans="1:63" x14ac:dyDescent="0.25">
      <c r="A362" s="13" t="s">
        <v>12</v>
      </c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>
        <f t="shared" ref="AB362" si="1023">AB361^2</f>
        <v>21960.960059171895</v>
      </c>
      <c r="AC362" s="7">
        <f t="shared" ref="AC362" si="1024">AC361^2</f>
        <v>22033.215647600558</v>
      </c>
      <c r="AD362" s="7">
        <f t="shared" ref="AD362" si="1025">AD361^2</f>
        <v>22059.866042077858</v>
      </c>
      <c r="AE362" s="7">
        <f t="shared" ref="AE362" si="1026">AE361^2</f>
        <v>22017.994082840498</v>
      </c>
      <c r="AF362" s="7">
        <f t="shared" ref="AF362" si="1027">AF361^2</f>
        <v>22021.798980933847</v>
      </c>
      <c r="AG362" s="7">
        <f t="shared" ref="AG362" si="1028">AG361^2</f>
        <v>22071.292570677426</v>
      </c>
      <c r="AH362" s="7">
        <f t="shared" ref="AH362" si="1029">AH361^2</f>
        <v>22052.250000000218</v>
      </c>
      <c r="AI362" s="7">
        <f t="shared" ref="AI362" si="1030">AI361^2</f>
        <v>22052.250000000211</v>
      </c>
      <c r="AJ362" s="7">
        <f t="shared" ref="AJ362" si="1031">AJ361^2</f>
        <v>22052.250000000186</v>
      </c>
      <c r="AK362" s="7">
        <f t="shared" ref="AK362" si="1032">AK361^2</f>
        <v>22052.250000000186</v>
      </c>
      <c r="AL362" s="7">
        <f t="shared" ref="AL362" si="1033">AL361^2</f>
        <v>22052.250000000167</v>
      </c>
      <c r="AM362" s="7">
        <f t="shared" ref="AM362" si="1034">AM361^2</f>
        <v>22052.250000000455</v>
      </c>
      <c r="AN362" s="7">
        <f t="shared" ref="AN362" si="1035">AN361^2</f>
        <v>22052.25000000044</v>
      </c>
      <c r="AO362" s="7">
        <f t="shared" ref="AO362" si="1036">AO361^2</f>
        <v>22052.250000000422</v>
      </c>
      <c r="AP362" s="7">
        <f t="shared" ref="AP362" si="1037">AP361^2</f>
        <v>22052.250000000404</v>
      </c>
      <c r="AQ362" s="7">
        <f t="shared" ref="AQ362" si="1038">AQ361^2</f>
        <v>22052.250000000371</v>
      </c>
      <c r="AR362" s="7">
        <f t="shared" ref="AR362" si="1039">AR361^2</f>
        <v>22052.250000000338</v>
      </c>
      <c r="AS362" s="7">
        <f t="shared" ref="AS362" si="1040">AS361^2</f>
        <v>22052.25000000032</v>
      </c>
      <c r="AT362" s="7">
        <f t="shared" ref="AT362" si="1041">AT361^2</f>
        <v>22052.25</v>
      </c>
      <c r="AU362" s="7">
        <f t="shared" ref="AU362" si="1042">AU361^2</f>
        <v>22052.250000000306</v>
      </c>
      <c r="AV362" s="7">
        <f t="shared" ref="AV362" si="1043">AV361^2</f>
        <v>22052.250000000255</v>
      </c>
      <c r="AW362" s="7">
        <f t="shared" ref="AW362" si="1044">AW361^2</f>
        <v>22052.250000000236</v>
      </c>
      <c r="AX362" s="7">
        <f t="shared" ref="AX362" si="1045">AX361^2</f>
        <v>22052.250000000218</v>
      </c>
      <c r="AY362" s="7">
        <f t="shared" ref="AY362" si="1046">AY361^2</f>
        <v>22052.250000000167</v>
      </c>
      <c r="AZ362" s="7">
        <f t="shared" ref="AZ362" si="1047">AZ361^2</f>
        <v>22052.250000000153</v>
      </c>
      <c r="BA362" s="7">
        <f t="shared" ref="BA362" si="1048">BA361^2</f>
        <v>22052.250000000135</v>
      </c>
      <c r="BB362" s="7">
        <f t="shared" ref="BB362" si="1049">BB361^2</f>
        <v>22052.250000000102</v>
      </c>
      <c r="BC362" s="7">
        <f t="shared" ref="BC362" si="1050">BC361^2</f>
        <v>22052.250000000102</v>
      </c>
      <c r="BD362" s="7">
        <f t="shared" ref="BD362" si="1051">BD361^2</f>
        <v>22052.250000000084</v>
      </c>
      <c r="BE362" s="7">
        <f t="shared" ref="BE362" si="1052">BE361^2</f>
        <v>22052.250000000069</v>
      </c>
      <c r="BF362" s="7">
        <f t="shared" ref="BF362" si="1053">BF361^2</f>
        <v>22052.250000000069</v>
      </c>
      <c r="BG362" s="7">
        <f t="shared" ref="BG362" si="1054">BG361^2</f>
        <v>22052.250000000051</v>
      </c>
      <c r="BH362" s="7">
        <f t="shared" ref="BH362" si="1055">BH361^2</f>
        <v>22052.250000000033</v>
      </c>
      <c r="BI362" s="7">
        <f t="shared" ref="BI362" si="1056">BI361^2</f>
        <v>22052.250000000033</v>
      </c>
    </row>
    <row r="363" spans="1:63" x14ac:dyDescent="0.25">
      <c r="A363" s="38" t="s">
        <v>11</v>
      </c>
      <c r="B363" s="38">
        <v>26</v>
      </c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3" x14ac:dyDescent="0.25">
      <c r="A364" s="8" t="s">
        <v>5</v>
      </c>
      <c r="B364" s="8">
        <f>AVERAGE(G362:BI362)</f>
        <v>22047.886099509051</v>
      </c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3" x14ac:dyDescent="0.25">
      <c r="A365" s="7" t="s">
        <v>7</v>
      </c>
      <c r="B365" s="7">
        <f>$BI$359</f>
        <v>533.16666666666902</v>
      </c>
    </row>
    <row r="366" spans="1:63" x14ac:dyDescent="0.25">
      <c r="A366" s="31" t="s">
        <v>6</v>
      </c>
      <c r="B366" s="7" t="s">
        <v>62</v>
      </c>
      <c r="C366" s="7">
        <v>61</v>
      </c>
      <c r="D366" s="7">
        <v>62</v>
      </c>
      <c r="E366" s="7">
        <v>63</v>
      </c>
      <c r="F366" s="7">
        <v>64</v>
      </c>
      <c r="G366" s="7">
        <v>65</v>
      </c>
      <c r="H366" s="7">
        <v>66</v>
      </c>
      <c r="I366" s="7">
        <v>67</v>
      </c>
      <c r="J366" s="7">
        <v>68</v>
      </c>
      <c r="K366" s="7">
        <v>69</v>
      </c>
      <c r="L366" s="7">
        <v>70</v>
      </c>
      <c r="M366" s="7">
        <v>71</v>
      </c>
      <c r="N366" s="7">
        <v>72</v>
      </c>
    </row>
    <row r="367" spans="1:63" x14ac:dyDescent="0.25">
      <c r="C367" s="7">
        <f>$B$365</f>
        <v>533.16666666666902</v>
      </c>
      <c r="D367" s="7">
        <f t="shared" ref="D367:N367" si="1057">$B$365</f>
        <v>533.16666666666902</v>
      </c>
      <c r="E367" s="7">
        <f t="shared" si="1057"/>
        <v>533.16666666666902</v>
      </c>
      <c r="F367" s="7">
        <f t="shared" si="1057"/>
        <v>533.16666666666902</v>
      </c>
      <c r="G367" s="7">
        <f t="shared" si="1057"/>
        <v>533.16666666666902</v>
      </c>
      <c r="H367" s="7">
        <f t="shared" si="1057"/>
        <v>533.16666666666902</v>
      </c>
      <c r="I367" s="7">
        <f t="shared" si="1057"/>
        <v>533.16666666666902</v>
      </c>
      <c r="J367" s="7">
        <f t="shared" si="1057"/>
        <v>533.16666666666902</v>
      </c>
      <c r="K367" s="7">
        <f t="shared" si="1057"/>
        <v>533.16666666666902</v>
      </c>
      <c r="L367" s="7">
        <f t="shared" si="1057"/>
        <v>533.16666666666902</v>
      </c>
      <c r="M367" s="7">
        <f t="shared" si="1057"/>
        <v>533.16666666666902</v>
      </c>
      <c r="N367" s="7">
        <f t="shared" si="1057"/>
        <v>533.16666666666902</v>
      </c>
    </row>
    <row r="370" spans="1:63" x14ac:dyDescent="0.25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</row>
    <row r="372" spans="1:63" x14ac:dyDescent="0.25">
      <c r="A372" s="13" t="s">
        <v>1</v>
      </c>
      <c r="B372" s="13">
        <v>1</v>
      </c>
      <c r="C372" s="13">
        <v>2</v>
      </c>
      <c r="D372" s="13">
        <v>3</v>
      </c>
      <c r="E372" s="13">
        <v>4</v>
      </c>
      <c r="F372" s="13">
        <v>5</v>
      </c>
      <c r="G372" s="13">
        <v>6</v>
      </c>
      <c r="H372" s="13">
        <v>7</v>
      </c>
      <c r="I372" s="13">
        <v>8</v>
      </c>
      <c r="J372" s="13">
        <v>9</v>
      </c>
      <c r="K372" s="13">
        <v>10</v>
      </c>
      <c r="L372" s="13">
        <v>11</v>
      </c>
      <c r="M372" s="13">
        <v>12</v>
      </c>
      <c r="N372" s="13">
        <v>13</v>
      </c>
      <c r="O372" s="13">
        <v>14</v>
      </c>
      <c r="P372" s="13">
        <v>15</v>
      </c>
      <c r="Q372" s="13">
        <v>16</v>
      </c>
      <c r="R372" s="13">
        <v>17</v>
      </c>
      <c r="S372" s="13">
        <v>18</v>
      </c>
      <c r="T372" s="13">
        <v>19</v>
      </c>
      <c r="U372" s="13">
        <v>20</v>
      </c>
      <c r="V372" s="13">
        <v>21</v>
      </c>
      <c r="W372" s="13">
        <v>22</v>
      </c>
      <c r="X372" s="13">
        <v>23</v>
      </c>
      <c r="Y372" s="13">
        <v>24</v>
      </c>
      <c r="Z372" s="13">
        <v>25</v>
      </c>
      <c r="AA372" s="13">
        <v>26</v>
      </c>
      <c r="AB372" s="13">
        <v>27</v>
      </c>
      <c r="AC372" s="13">
        <v>28</v>
      </c>
      <c r="AD372" s="13">
        <v>29</v>
      </c>
      <c r="AE372" s="13">
        <v>30</v>
      </c>
      <c r="AF372" s="13">
        <v>31</v>
      </c>
      <c r="AG372" s="13">
        <v>32</v>
      </c>
      <c r="AH372" s="13">
        <v>33</v>
      </c>
      <c r="AI372" s="13">
        <v>34</v>
      </c>
      <c r="AJ372" s="13">
        <v>35</v>
      </c>
      <c r="AK372" s="13">
        <v>36</v>
      </c>
      <c r="AL372" s="13">
        <v>37</v>
      </c>
      <c r="AM372" s="13">
        <v>38</v>
      </c>
      <c r="AN372" s="13">
        <v>39</v>
      </c>
      <c r="AO372" s="13">
        <v>40</v>
      </c>
      <c r="AP372" s="13">
        <v>41</v>
      </c>
      <c r="AQ372" s="13">
        <v>42</v>
      </c>
      <c r="AR372" s="13">
        <v>43</v>
      </c>
      <c r="AS372" s="13">
        <v>44</v>
      </c>
      <c r="AT372" s="13">
        <v>45</v>
      </c>
      <c r="AU372" s="13">
        <v>46</v>
      </c>
      <c r="AV372" s="13">
        <v>47</v>
      </c>
      <c r="AW372" s="13">
        <v>48</v>
      </c>
      <c r="AX372" s="13">
        <v>49</v>
      </c>
      <c r="AY372" s="13">
        <v>50</v>
      </c>
      <c r="AZ372" s="13">
        <v>51</v>
      </c>
      <c r="BA372" s="13">
        <v>52</v>
      </c>
      <c r="BB372" s="13">
        <v>53</v>
      </c>
      <c r="BC372" s="13">
        <v>54</v>
      </c>
      <c r="BD372" s="13">
        <v>55</v>
      </c>
      <c r="BE372" s="13">
        <v>56</v>
      </c>
      <c r="BF372" s="13">
        <v>57</v>
      </c>
      <c r="BG372" s="13">
        <v>58</v>
      </c>
      <c r="BH372" s="13">
        <v>59</v>
      </c>
      <c r="BI372" s="13">
        <v>60</v>
      </c>
    </row>
    <row r="373" spans="1:63" x14ac:dyDescent="0.25">
      <c r="A373" s="13" t="s">
        <v>0</v>
      </c>
      <c r="B373" s="37">
        <f>'הזנת נתונים'!A66</f>
        <v>28</v>
      </c>
      <c r="C373" s="37">
        <f>'הזנת נתונים'!B66</f>
        <v>35</v>
      </c>
      <c r="D373" s="37">
        <f>'הזנת נתונים'!C66</f>
        <v>40</v>
      </c>
      <c r="E373" s="37">
        <f>'הזנת נתונים'!D66</f>
        <v>55</v>
      </c>
      <c r="F373" s="37">
        <f>'הזנת נתונים'!E66</f>
        <v>70</v>
      </c>
      <c r="G373" s="37">
        <f>'הזנת נתונים'!F66</f>
        <v>75</v>
      </c>
      <c r="H373" s="37">
        <f>'הזנת נתונים'!G66</f>
        <v>87.6666666666667</v>
      </c>
      <c r="I373" s="37">
        <f>'הזנת נתונים'!H66</f>
        <v>98.6666666666667</v>
      </c>
      <c r="J373" s="37">
        <f>'הזנת נתונים'!I66</f>
        <v>109.666666666667</v>
      </c>
      <c r="K373" s="37">
        <f>'הזנת נתונים'!J66</f>
        <v>120.666666666667</v>
      </c>
      <c r="L373" s="37">
        <f>'הזנת נתונים'!K66</f>
        <v>131.666666666667</v>
      </c>
      <c r="M373" s="37">
        <f>'הזנת נתונים'!L66</f>
        <v>142.666666666667</v>
      </c>
      <c r="N373" s="37">
        <f>'הזנת נתונים'!M66</f>
        <v>153.666666666667</v>
      </c>
      <c r="O373" s="37">
        <f>'הזנת נתונים'!N66</f>
        <v>164.666666666667</v>
      </c>
      <c r="P373" s="37">
        <f>'הזנת נתונים'!O66</f>
        <v>175.666666666667</v>
      </c>
      <c r="Q373" s="37">
        <f>'הזנת נתונים'!P66</f>
        <v>186.666666666667</v>
      </c>
      <c r="R373" s="37">
        <f>'הזנת נתונים'!Q66</f>
        <v>197.666666666667</v>
      </c>
      <c r="S373" s="37">
        <f>'הזנת נתונים'!R66</f>
        <v>208.666666666667</v>
      </c>
      <c r="T373" s="37">
        <f>'הזנת נתונים'!S66</f>
        <v>219.666666666667</v>
      </c>
      <c r="U373" s="37">
        <f>'הזנת נתונים'!T66</f>
        <v>230.666666666667</v>
      </c>
      <c r="V373" s="37">
        <f>'הזנת נתונים'!U66</f>
        <v>241.666666666667</v>
      </c>
      <c r="W373" s="37">
        <f>'הזנת נתונים'!V66</f>
        <v>252.666666666667</v>
      </c>
      <c r="X373" s="37">
        <f>'הזנת נתונים'!W66</f>
        <v>263.66666666666703</v>
      </c>
      <c r="Y373" s="37">
        <f>'הזנת נתונים'!X66</f>
        <v>274.66666666666703</v>
      </c>
      <c r="Z373" s="37">
        <f>'הזנת נתונים'!Y66</f>
        <v>285.66666666666799</v>
      </c>
      <c r="AA373" s="37">
        <f>'הזנת נתונים'!Z66</f>
        <v>296.66666666666799</v>
      </c>
      <c r="AB373" s="37">
        <f>'הזנת נתונים'!AA66</f>
        <v>307.66666666666799</v>
      </c>
      <c r="AC373" s="37">
        <f>'הזנת נתונים'!AB66</f>
        <v>318.66666666666799</v>
      </c>
      <c r="AD373" s="37">
        <f>'הזנת נתונים'!AC66</f>
        <v>329.66666666666799</v>
      </c>
      <c r="AE373" s="37">
        <f>'הזנת נתונים'!AD66</f>
        <v>340.66666666666799</v>
      </c>
      <c r="AF373" s="37">
        <f>'הזנת נתונים'!AE66</f>
        <v>351.66666666666799</v>
      </c>
      <c r="AG373" s="37">
        <f>'הזנת נתונים'!AF66</f>
        <v>362.66666666666799</v>
      </c>
      <c r="AH373" s="37">
        <f>'הזנת נתונים'!AG66</f>
        <v>373.66666666666799</v>
      </c>
      <c r="AI373" s="37">
        <f>'הזנת נתונים'!AH66</f>
        <v>384.66666666666799</v>
      </c>
      <c r="AJ373" s="37">
        <f>'הזנת נתונים'!AI66</f>
        <v>395.66666666666799</v>
      </c>
      <c r="AK373" s="37">
        <f>'הזנת נתונים'!AJ66</f>
        <v>406.66666666666799</v>
      </c>
      <c r="AL373" s="37">
        <f>'הזנת נתונים'!AK66</f>
        <v>417.66666666666799</v>
      </c>
      <c r="AM373" s="37">
        <f>'הזנת נתונים'!AL66</f>
        <v>428.66666666666902</v>
      </c>
      <c r="AN373" s="37">
        <f>'הזנת נתונים'!AM66</f>
        <v>439.66666666666902</v>
      </c>
      <c r="AO373" s="37">
        <f>'הזנת נתונים'!AN66</f>
        <v>450.66666666666902</v>
      </c>
      <c r="AP373" s="37">
        <f>'הזנת נתונים'!AO66</f>
        <v>461.66666666666902</v>
      </c>
      <c r="AQ373" s="37">
        <f>'הזנת נתונים'!AP66</f>
        <v>472.66666666666902</v>
      </c>
      <c r="AR373" s="37">
        <f>'הזנת נתונים'!AQ66</f>
        <v>483.66666666666902</v>
      </c>
      <c r="AS373" s="37">
        <f>'הזנת נתונים'!AR66</f>
        <v>494.66666666666902</v>
      </c>
      <c r="AT373" s="37">
        <f>'הזנת נתונים'!AS66</f>
        <v>505.66666666666799</v>
      </c>
      <c r="AU373" s="37">
        <f>'הזנת נתונים'!AT66</f>
        <v>516.66666666666902</v>
      </c>
      <c r="AV373" s="37">
        <f>'הזנת נתונים'!AU66</f>
        <v>527.66666666666902</v>
      </c>
      <c r="AW373" s="37">
        <f>'הזנת נתונים'!AV66</f>
        <v>538.66666666666902</v>
      </c>
      <c r="AX373" s="37">
        <f>'הזנת נתונים'!AW66</f>
        <v>549.66666666666902</v>
      </c>
      <c r="AY373" s="37">
        <f>'הזנת נתונים'!AX66</f>
        <v>560.66666666666902</v>
      </c>
      <c r="AZ373" s="37">
        <f>'הזנת נתונים'!AY66</f>
        <v>571.66666666666902</v>
      </c>
      <c r="BA373" s="37">
        <f>'הזנת נתונים'!AZ66</f>
        <v>582.66666666666902</v>
      </c>
      <c r="BB373" s="37">
        <f>'הזנת נתונים'!BA66</f>
        <v>593.66666666666902</v>
      </c>
      <c r="BC373" s="37">
        <f>'הזנת נתונים'!BB66</f>
        <v>604.66666666666902</v>
      </c>
      <c r="BD373" s="37">
        <f>'הזנת נתונים'!BC66</f>
        <v>615.66666666666902</v>
      </c>
      <c r="BE373" s="37">
        <f>'הזנת נתונים'!BD66</f>
        <v>626.66666666666902</v>
      </c>
      <c r="BF373" s="37">
        <f>'הזנת נתונים'!BE66</f>
        <v>637.66666666666902</v>
      </c>
      <c r="BG373" s="37">
        <f>'הזנת נתונים'!BF66</f>
        <v>648.66666666666902</v>
      </c>
      <c r="BH373" s="37">
        <f>'הזנת נתונים'!BG66</f>
        <v>659.66666666666902</v>
      </c>
      <c r="BI373" s="37">
        <f>'הזנת נתונים'!BH66</f>
        <v>670.66666666666902</v>
      </c>
    </row>
    <row r="374" spans="1:63" x14ac:dyDescent="0.25">
      <c r="A374" s="13" t="s">
        <v>2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  <c r="Z374" t="e">
        <v>#N/A</v>
      </c>
      <c r="AA374" t="e">
        <v>#N/A</v>
      </c>
      <c r="AB374">
        <f t="shared" ref="AB374:BI374" si="1058">AVERAGE(B373:AB373)</f>
        <v>164.9629629629633</v>
      </c>
      <c r="AC374">
        <f t="shared" si="1058"/>
        <v>175.72839506172878</v>
      </c>
      <c r="AD374">
        <f t="shared" si="1058"/>
        <v>186.6419753086424</v>
      </c>
      <c r="AE374">
        <f t="shared" si="1058"/>
        <v>197.77777777777825</v>
      </c>
      <c r="AF374">
        <f t="shared" si="1058"/>
        <v>208.76543209876596</v>
      </c>
      <c r="AG374">
        <f t="shared" si="1058"/>
        <v>219.6049382716055</v>
      </c>
      <c r="AH374">
        <f t="shared" si="1058"/>
        <v>230.66666666666728</v>
      </c>
      <c r="AI374">
        <f t="shared" si="1058"/>
        <v>241.66666666666731</v>
      </c>
      <c r="AJ374">
        <f t="shared" si="1058"/>
        <v>252.66666666666737</v>
      </c>
      <c r="AK374">
        <f t="shared" si="1058"/>
        <v>263.66666666666742</v>
      </c>
      <c r="AL374">
        <f t="shared" si="1058"/>
        <v>274.66666666666742</v>
      </c>
      <c r="AM374">
        <f t="shared" si="1058"/>
        <v>285.66666666666748</v>
      </c>
      <c r="AN374">
        <f t="shared" si="1058"/>
        <v>296.6666666666676</v>
      </c>
      <c r="AO374">
        <f t="shared" si="1058"/>
        <v>307.66666666666765</v>
      </c>
      <c r="AP374">
        <f t="shared" si="1058"/>
        <v>318.66666666666777</v>
      </c>
      <c r="AQ374">
        <f t="shared" si="1058"/>
        <v>329.66666666666782</v>
      </c>
      <c r="AR374">
        <f t="shared" si="1058"/>
        <v>340.66666666666794</v>
      </c>
      <c r="AS374">
        <f t="shared" si="1058"/>
        <v>351.66666666666799</v>
      </c>
      <c r="AT374">
        <f t="shared" si="1058"/>
        <v>362.66666666666799</v>
      </c>
      <c r="AU374">
        <f t="shared" si="1058"/>
        <v>373.66666666666811</v>
      </c>
      <c r="AV374">
        <f t="shared" si="1058"/>
        <v>384.66666666666822</v>
      </c>
      <c r="AW374">
        <f t="shared" si="1058"/>
        <v>395.66666666666828</v>
      </c>
      <c r="AX374">
        <f t="shared" si="1058"/>
        <v>406.66666666666833</v>
      </c>
      <c r="AY374">
        <f t="shared" si="1058"/>
        <v>417.6666666666685</v>
      </c>
      <c r="AZ374">
        <f t="shared" si="1058"/>
        <v>428.66666666666856</v>
      </c>
      <c r="BA374">
        <f t="shared" si="1058"/>
        <v>439.66666666666862</v>
      </c>
      <c r="BB374">
        <f t="shared" si="1058"/>
        <v>450.66666666666868</v>
      </c>
      <c r="BC374">
        <f t="shared" si="1058"/>
        <v>461.66666666666868</v>
      </c>
      <c r="BD374">
        <f t="shared" si="1058"/>
        <v>472.66666666666873</v>
      </c>
      <c r="BE374">
        <f t="shared" si="1058"/>
        <v>483.66666666666885</v>
      </c>
      <c r="BF374">
        <f t="shared" si="1058"/>
        <v>494.66666666666885</v>
      </c>
      <c r="BG374">
        <f t="shared" si="1058"/>
        <v>505.6666666666689</v>
      </c>
      <c r="BH374">
        <f t="shared" si="1058"/>
        <v>516.6666666666689</v>
      </c>
      <c r="BI374">
        <f t="shared" si="1058"/>
        <v>527.6666666666689</v>
      </c>
    </row>
    <row r="375" spans="1:63" x14ac:dyDescent="0.25">
      <c r="A375" s="13" t="s">
        <v>9</v>
      </c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>
        <f t="shared" ref="AC375:BI375" si="1059">AB374</f>
        <v>164.9629629629633</v>
      </c>
      <c r="AD375" s="7">
        <f t="shared" si="1059"/>
        <v>175.72839506172878</v>
      </c>
      <c r="AE375" s="7">
        <f t="shared" si="1059"/>
        <v>186.6419753086424</v>
      </c>
      <c r="AF375" s="7">
        <f t="shared" si="1059"/>
        <v>197.77777777777825</v>
      </c>
      <c r="AG375" s="7">
        <f t="shared" si="1059"/>
        <v>208.76543209876596</v>
      </c>
      <c r="AH375" s="7">
        <f t="shared" si="1059"/>
        <v>219.6049382716055</v>
      </c>
      <c r="AI375" s="7">
        <f t="shared" si="1059"/>
        <v>230.66666666666728</v>
      </c>
      <c r="AJ375" s="7">
        <f t="shared" si="1059"/>
        <v>241.66666666666731</v>
      </c>
      <c r="AK375" s="7">
        <f t="shared" si="1059"/>
        <v>252.66666666666737</v>
      </c>
      <c r="AL375" s="7">
        <f t="shared" si="1059"/>
        <v>263.66666666666742</v>
      </c>
      <c r="AM375" s="7">
        <f t="shared" si="1059"/>
        <v>274.66666666666742</v>
      </c>
      <c r="AN375" s="7">
        <f t="shared" si="1059"/>
        <v>285.66666666666748</v>
      </c>
      <c r="AO375" s="7">
        <f t="shared" si="1059"/>
        <v>296.6666666666676</v>
      </c>
      <c r="AP375" s="7">
        <f t="shared" si="1059"/>
        <v>307.66666666666765</v>
      </c>
      <c r="AQ375" s="7">
        <f t="shared" si="1059"/>
        <v>318.66666666666777</v>
      </c>
      <c r="AR375" s="7">
        <f t="shared" si="1059"/>
        <v>329.66666666666782</v>
      </c>
      <c r="AS375" s="7">
        <f t="shared" si="1059"/>
        <v>340.66666666666794</v>
      </c>
      <c r="AT375" s="7">
        <f t="shared" si="1059"/>
        <v>351.66666666666799</v>
      </c>
      <c r="AU375" s="7">
        <f t="shared" si="1059"/>
        <v>362.66666666666799</v>
      </c>
      <c r="AV375" s="7">
        <f t="shared" si="1059"/>
        <v>373.66666666666811</v>
      </c>
      <c r="AW375" s="7">
        <f t="shared" si="1059"/>
        <v>384.66666666666822</v>
      </c>
      <c r="AX375" s="7">
        <f t="shared" si="1059"/>
        <v>395.66666666666828</v>
      </c>
      <c r="AY375" s="7">
        <f t="shared" si="1059"/>
        <v>406.66666666666833</v>
      </c>
      <c r="AZ375" s="7">
        <f t="shared" si="1059"/>
        <v>417.6666666666685</v>
      </c>
      <c r="BA375" s="7">
        <f t="shared" si="1059"/>
        <v>428.66666666666856</v>
      </c>
      <c r="BB375" s="7">
        <f t="shared" si="1059"/>
        <v>439.66666666666862</v>
      </c>
      <c r="BC375" s="7">
        <f t="shared" si="1059"/>
        <v>450.66666666666868</v>
      </c>
      <c r="BD375" s="7">
        <f t="shared" si="1059"/>
        <v>461.66666666666868</v>
      </c>
      <c r="BE375" s="7">
        <f t="shared" si="1059"/>
        <v>472.66666666666873</v>
      </c>
      <c r="BF375" s="7">
        <f t="shared" si="1059"/>
        <v>483.66666666666885</v>
      </c>
      <c r="BG375" s="7">
        <f t="shared" si="1059"/>
        <v>494.66666666666885</v>
      </c>
      <c r="BH375" s="7">
        <f t="shared" si="1059"/>
        <v>505.6666666666689</v>
      </c>
      <c r="BI375" s="7">
        <f t="shared" si="1059"/>
        <v>516.6666666666689</v>
      </c>
    </row>
    <row r="376" spans="1:63" x14ac:dyDescent="0.25">
      <c r="A376" s="13" t="s">
        <v>4</v>
      </c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>
        <f t="shared" ref="AC376" si="1060">AC375-AC373</f>
        <v>-153.70370370370469</v>
      </c>
      <c r="AD376" s="7">
        <f t="shared" ref="AD376" si="1061">AD375-AD373</f>
        <v>-153.93827160493922</v>
      </c>
      <c r="AE376" s="7">
        <f t="shared" ref="AE376" si="1062">AE375-AE373</f>
        <v>-154.02469135802559</v>
      </c>
      <c r="AF376" s="7">
        <f t="shared" ref="AF376" si="1063">AF375-AF373</f>
        <v>-153.88888888888974</v>
      </c>
      <c r="AG376" s="7">
        <f t="shared" ref="AG376" si="1064">AG375-AG373</f>
        <v>-153.90123456790204</v>
      </c>
      <c r="AH376" s="7">
        <f t="shared" ref="AH376" si="1065">AH375-AH373</f>
        <v>-154.06172839506249</v>
      </c>
      <c r="AI376" s="7">
        <f t="shared" ref="AI376" si="1066">AI375-AI373</f>
        <v>-154.00000000000071</v>
      </c>
      <c r="AJ376" s="7">
        <f t="shared" ref="AJ376" si="1067">AJ375-AJ373</f>
        <v>-154.00000000000068</v>
      </c>
      <c r="AK376" s="7">
        <f t="shared" ref="AK376" si="1068">AK375-AK373</f>
        <v>-154.00000000000063</v>
      </c>
      <c r="AL376" s="7">
        <f t="shared" ref="AL376" si="1069">AL375-AL373</f>
        <v>-154.00000000000057</v>
      </c>
      <c r="AM376" s="7">
        <f t="shared" ref="AM376" si="1070">AM375-AM373</f>
        <v>-154.00000000000159</v>
      </c>
      <c r="AN376" s="7">
        <f t="shared" ref="AN376" si="1071">AN375-AN373</f>
        <v>-154.00000000000153</v>
      </c>
      <c r="AO376" s="7">
        <f t="shared" ref="AO376" si="1072">AO375-AO373</f>
        <v>-154.00000000000142</v>
      </c>
      <c r="AP376" s="7">
        <f t="shared" ref="AP376" si="1073">AP375-AP373</f>
        <v>-154.00000000000136</v>
      </c>
      <c r="AQ376" s="7">
        <f t="shared" ref="AQ376" si="1074">AQ375-AQ373</f>
        <v>-154.00000000000125</v>
      </c>
      <c r="AR376" s="7">
        <f t="shared" ref="AR376" si="1075">AR375-AR373</f>
        <v>-154.00000000000119</v>
      </c>
      <c r="AS376" s="7">
        <f t="shared" ref="AS376" si="1076">AS375-AS373</f>
        <v>-154.00000000000108</v>
      </c>
      <c r="AT376" s="7">
        <f t="shared" ref="AT376" si="1077">AT375-AT373</f>
        <v>-154</v>
      </c>
      <c r="AU376" s="7">
        <f t="shared" ref="AU376" si="1078">AU375-AU373</f>
        <v>-154.00000000000102</v>
      </c>
      <c r="AV376" s="7">
        <f t="shared" ref="AV376" si="1079">AV375-AV373</f>
        <v>-154.00000000000091</v>
      </c>
      <c r="AW376" s="7">
        <f t="shared" ref="AW376" si="1080">AW375-AW373</f>
        <v>-154.0000000000008</v>
      </c>
      <c r="AX376" s="7">
        <f t="shared" ref="AX376" si="1081">AX375-AX373</f>
        <v>-154.00000000000074</v>
      </c>
      <c r="AY376" s="7">
        <f t="shared" ref="AY376" si="1082">AY375-AY373</f>
        <v>-154.00000000000068</v>
      </c>
      <c r="AZ376" s="7">
        <f t="shared" ref="AZ376" si="1083">AZ375-AZ373</f>
        <v>-154.00000000000051</v>
      </c>
      <c r="BA376" s="7">
        <f t="shared" ref="BA376" si="1084">BA375-BA373</f>
        <v>-154.00000000000045</v>
      </c>
      <c r="BB376" s="7">
        <f t="shared" ref="BB376" si="1085">BB375-BB373</f>
        <v>-154.0000000000004</v>
      </c>
      <c r="BC376" s="7">
        <f t="shared" ref="BC376" si="1086">BC375-BC373</f>
        <v>-154.00000000000034</v>
      </c>
      <c r="BD376" s="7">
        <f t="shared" ref="BD376" si="1087">BD375-BD373</f>
        <v>-154.00000000000034</v>
      </c>
      <c r="BE376" s="7">
        <f t="shared" ref="BE376" si="1088">BE375-BE373</f>
        <v>-154.00000000000028</v>
      </c>
      <c r="BF376" s="7">
        <f t="shared" ref="BF376" si="1089">BF375-BF373</f>
        <v>-154.00000000000017</v>
      </c>
      <c r="BG376" s="7">
        <f t="shared" ref="BG376" si="1090">BG375-BG373</f>
        <v>-154.00000000000017</v>
      </c>
      <c r="BH376" s="7">
        <f t="shared" ref="BH376" si="1091">BH375-BH373</f>
        <v>-154.00000000000011</v>
      </c>
      <c r="BI376" s="7">
        <f t="shared" ref="BI376" si="1092">BI375-BI373</f>
        <v>-154.00000000000011</v>
      </c>
    </row>
    <row r="377" spans="1:63" x14ac:dyDescent="0.25">
      <c r="A377" s="13" t="s">
        <v>12</v>
      </c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>
        <f t="shared" ref="AC377" si="1093">AC376^2</f>
        <v>23624.828532236243</v>
      </c>
      <c r="AD377" s="7">
        <f t="shared" ref="AD377" si="1094">AD376^2</f>
        <v>23696.991464716037</v>
      </c>
      <c r="AE377" s="7">
        <f t="shared" ref="AE377" si="1095">AE376^2</f>
        <v>23723.605547935043</v>
      </c>
      <c r="AF377" s="7">
        <f t="shared" ref="AF377" si="1096">AF376^2</f>
        <v>23681.790123457053</v>
      </c>
      <c r="AG377" s="7">
        <f t="shared" ref="AG377" si="1097">AG376^2</f>
        <v>23685.590001524404</v>
      </c>
      <c r="AH377" s="7">
        <f t="shared" ref="AH377" si="1098">AH376^2</f>
        <v>23735.016156074002</v>
      </c>
      <c r="AI377" s="7">
        <f t="shared" ref="AI377" si="1099">AI376^2</f>
        <v>23716.000000000218</v>
      </c>
      <c r="AJ377" s="7">
        <f t="shared" ref="AJ377" si="1100">AJ376^2</f>
        <v>23716.000000000211</v>
      </c>
      <c r="AK377" s="7">
        <f t="shared" ref="AK377" si="1101">AK376^2</f>
        <v>23716.000000000193</v>
      </c>
      <c r="AL377" s="7">
        <f t="shared" ref="AL377" si="1102">AL376^2</f>
        <v>23716.000000000175</v>
      </c>
      <c r="AM377" s="7">
        <f t="shared" ref="AM377" si="1103">AM376^2</f>
        <v>23716.000000000491</v>
      </c>
      <c r="AN377" s="7">
        <f t="shared" ref="AN377" si="1104">AN376^2</f>
        <v>23716.000000000473</v>
      </c>
      <c r="AO377" s="7">
        <f t="shared" ref="AO377" si="1105">AO376^2</f>
        <v>23716.000000000437</v>
      </c>
      <c r="AP377" s="7">
        <f t="shared" ref="AP377" si="1106">AP376^2</f>
        <v>23716.000000000422</v>
      </c>
      <c r="AQ377" s="7">
        <f t="shared" ref="AQ377" si="1107">AQ376^2</f>
        <v>23716.000000000386</v>
      </c>
      <c r="AR377" s="7">
        <f t="shared" ref="AR377" si="1108">AR376^2</f>
        <v>23716.000000000367</v>
      </c>
      <c r="AS377" s="7">
        <f t="shared" ref="AS377" si="1109">AS376^2</f>
        <v>23716.000000000331</v>
      </c>
      <c r="AT377" s="7">
        <f t="shared" ref="AT377" si="1110">AT376^2</f>
        <v>23716</v>
      </c>
      <c r="AU377" s="7">
        <f t="shared" ref="AU377" si="1111">AU376^2</f>
        <v>23716.000000000317</v>
      </c>
      <c r="AV377" s="7">
        <f t="shared" ref="AV377" si="1112">AV376^2</f>
        <v>23716.00000000028</v>
      </c>
      <c r="AW377" s="7">
        <f t="shared" ref="AW377" si="1113">AW376^2</f>
        <v>23716.000000000244</v>
      </c>
      <c r="AX377" s="7">
        <f t="shared" ref="AX377" si="1114">AX376^2</f>
        <v>23716.000000000229</v>
      </c>
      <c r="AY377" s="7">
        <f t="shared" ref="AY377" si="1115">AY376^2</f>
        <v>23716.000000000211</v>
      </c>
      <c r="AZ377" s="7">
        <f t="shared" ref="AZ377" si="1116">AZ376^2</f>
        <v>23716.000000000156</v>
      </c>
      <c r="BA377" s="7">
        <f t="shared" ref="BA377" si="1117">BA376^2</f>
        <v>23716.000000000138</v>
      </c>
      <c r="BB377" s="7">
        <f t="shared" ref="BB377" si="1118">BB376^2</f>
        <v>23716.000000000124</v>
      </c>
      <c r="BC377" s="7">
        <f t="shared" ref="BC377" si="1119">BC376^2</f>
        <v>23716.000000000106</v>
      </c>
      <c r="BD377" s="7">
        <f t="shared" ref="BD377" si="1120">BD376^2</f>
        <v>23716.000000000106</v>
      </c>
      <c r="BE377" s="7">
        <f t="shared" ref="BE377" si="1121">BE376^2</f>
        <v>23716.000000000087</v>
      </c>
      <c r="BF377" s="7">
        <f t="shared" ref="BF377" si="1122">BF376^2</f>
        <v>23716.000000000051</v>
      </c>
      <c r="BG377" s="7">
        <f t="shared" ref="BG377" si="1123">BG376^2</f>
        <v>23716.000000000051</v>
      </c>
      <c r="BH377" s="7">
        <f t="shared" ref="BH377" si="1124">BH376^2</f>
        <v>23716.000000000036</v>
      </c>
      <c r="BI377" s="7">
        <f t="shared" ref="BI377" si="1125">BI376^2</f>
        <v>23716.000000000036</v>
      </c>
    </row>
    <row r="378" spans="1:63" x14ac:dyDescent="0.25">
      <c r="A378" s="38" t="s">
        <v>11</v>
      </c>
      <c r="B378" s="38">
        <v>27</v>
      </c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3" x14ac:dyDescent="0.25">
      <c r="A379" s="8" t="s">
        <v>5</v>
      </c>
      <c r="B379" s="8">
        <f>AVERAGE(G377:BI377)</f>
        <v>23711.50975230147</v>
      </c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3" x14ac:dyDescent="0.25">
      <c r="A380" s="7" t="s">
        <v>7</v>
      </c>
      <c r="B380" s="7">
        <f>BI374</f>
        <v>527.6666666666689</v>
      </c>
    </row>
    <row r="381" spans="1:63" x14ac:dyDescent="0.25">
      <c r="A381" s="31" t="s">
        <v>6</v>
      </c>
      <c r="B381" s="7" t="s">
        <v>62</v>
      </c>
      <c r="C381" s="7">
        <v>61</v>
      </c>
      <c r="D381" s="7">
        <v>62</v>
      </c>
      <c r="E381" s="7">
        <v>63</v>
      </c>
      <c r="F381" s="7">
        <v>64</v>
      </c>
      <c r="G381" s="7">
        <v>65</v>
      </c>
      <c r="H381" s="7">
        <v>66</v>
      </c>
      <c r="I381" s="7">
        <v>67</v>
      </c>
      <c r="J381" s="7">
        <v>68</v>
      </c>
      <c r="K381" s="7">
        <v>69</v>
      </c>
      <c r="L381" s="7">
        <v>70</v>
      </c>
      <c r="M381" s="7">
        <v>71</v>
      </c>
      <c r="N381" s="7">
        <v>72</v>
      </c>
    </row>
    <row r="382" spans="1:63" x14ac:dyDescent="0.25">
      <c r="C382" s="7">
        <f>$B$380</f>
        <v>527.6666666666689</v>
      </c>
      <c r="D382" s="7">
        <f t="shared" ref="D382:N382" si="1126">$B$380</f>
        <v>527.6666666666689</v>
      </c>
      <c r="E382" s="7">
        <f t="shared" si="1126"/>
        <v>527.6666666666689</v>
      </c>
      <c r="F382" s="7">
        <f t="shared" si="1126"/>
        <v>527.6666666666689</v>
      </c>
      <c r="G382" s="7">
        <f t="shared" si="1126"/>
        <v>527.6666666666689</v>
      </c>
      <c r="H382" s="7">
        <f t="shared" si="1126"/>
        <v>527.6666666666689</v>
      </c>
      <c r="I382" s="7">
        <f t="shared" si="1126"/>
        <v>527.6666666666689</v>
      </c>
      <c r="J382" s="7">
        <f t="shared" si="1126"/>
        <v>527.6666666666689</v>
      </c>
      <c r="K382" s="7">
        <f t="shared" si="1126"/>
        <v>527.6666666666689</v>
      </c>
      <c r="L382" s="7">
        <f t="shared" si="1126"/>
        <v>527.6666666666689</v>
      </c>
      <c r="M382" s="7">
        <f t="shared" si="1126"/>
        <v>527.6666666666689</v>
      </c>
      <c r="N382" s="7">
        <f t="shared" si="1126"/>
        <v>527.6666666666689</v>
      </c>
    </row>
    <row r="385" spans="1:63" x14ac:dyDescent="0.25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</row>
    <row r="387" spans="1:63" x14ac:dyDescent="0.25">
      <c r="A387" s="13" t="s">
        <v>1</v>
      </c>
      <c r="B387" s="13">
        <v>1</v>
      </c>
      <c r="C387" s="13">
        <v>2</v>
      </c>
      <c r="D387" s="13">
        <v>3</v>
      </c>
      <c r="E387" s="13">
        <v>4</v>
      </c>
      <c r="F387" s="13">
        <v>5</v>
      </c>
      <c r="G387" s="13">
        <v>6</v>
      </c>
      <c r="H387" s="13">
        <v>7</v>
      </c>
      <c r="I387" s="13">
        <v>8</v>
      </c>
      <c r="J387" s="13">
        <v>9</v>
      </c>
      <c r="K387" s="13">
        <v>10</v>
      </c>
      <c r="L387" s="13">
        <v>11</v>
      </c>
      <c r="M387" s="13">
        <v>12</v>
      </c>
      <c r="N387" s="13">
        <v>13</v>
      </c>
      <c r="O387" s="13">
        <v>14</v>
      </c>
      <c r="P387" s="13">
        <v>15</v>
      </c>
      <c r="Q387" s="13">
        <v>16</v>
      </c>
      <c r="R387" s="13">
        <v>17</v>
      </c>
      <c r="S387" s="13">
        <v>18</v>
      </c>
      <c r="T387" s="13">
        <v>19</v>
      </c>
      <c r="U387" s="13">
        <v>20</v>
      </c>
      <c r="V387" s="13">
        <v>21</v>
      </c>
      <c r="W387" s="13">
        <v>22</v>
      </c>
      <c r="X387" s="13">
        <v>23</v>
      </c>
      <c r="Y387" s="13">
        <v>24</v>
      </c>
      <c r="Z387" s="13">
        <v>25</v>
      </c>
      <c r="AA387" s="13">
        <v>26</v>
      </c>
      <c r="AB387" s="13">
        <v>27</v>
      </c>
      <c r="AC387" s="13">
        <v>28</v>
      </c>
      <c r="AD387" s="13">
        <v>29</v>
      </c>
      <c r="AE387" s="13">
        <v>30</v>
      </c>
      <c r="AF387" s="13">
        <v>31</v>
      </c>
      <c r="AG387" s="13">
        <v>32</v>
      </c>
      <c r="AH387" s="13">
        <v>33</v>
      </c>
      <c r="AI387" s="13">
        <v>34</v>
      </c>
      <c r="AJ387" s="13">
        <v>35</v>
      </c>
      <c r="AK387" s="13">
        <v>36</v>
      </c>
      <c r="AL387" s="13">
        <v>37</v>
      </c>
      <c r="AM387" s="13">
        <v>38</v>
      </c>
      <c r="AN387" s="13">
        <v>39</v>
      </c>
      <c r="AO387" s="13">
        <v>40</v>
      </c>
      <c r="AP387" s="13">
        <v>41</v>
      </c>
      <c r="AQ387" s="13">
        <v>42</v>
      </c>
      <c r="AR387" s="13">
        <v>43</v>
      </c>
      <c r="AS387" s="13">
        <v>44</v>
      </c>
      <c r="AT387" s="13">
        <v>45</v>
      </c>
      <c r="AU387" s="13">
        <v>46</v>
      </c>
      <c r="AV387" s="13">
        <v>47</v>
      </c>
      <c r="AW387" s="13">
        <v>48</v>
      </c>
      <c r="AX387" s="13">
        <v>49</v>
      </c>
      <c r="AY387" s="13">
        <v>50</v>
      </c>
      <c r="AZ387" s="13">
        <v>51</v>
      </c>
      <c r="BA387" s="13">
        <v>52</v>
      </c>
      <c r="BB387" s="13">
        <v>53</v>
      </c>
      <c r="BC387" s="13">
        <v>54</v>
      </c>
      <c r="BD387" s="13">
        <v>55</v>
      </c>
      <c r="BE387" s="13">
        <v>56</v>
      </c>
      <c r="BF387" s="13">
        <v>57</v>
      </c>
      <c r="BG387" s="13">
        <v>58</v>
      </c>
      <c r="BH387" s="13">
        <v>59</v>
      </c>
      <c r="BI387" s="13">
        <v>60</v>
      </c>
    </row>
    <row r="388" spans="1:63" x14ac:dyDescent="0.25">
      <c r="A388" s="13" t="s">
        <v>0</v>
      </c>
      <c r="B388" s="37">
        <f>'הזנת נתונים'!A66</f>
        <v>28</v>
      </c>
      <c r="C388" s="37">
        <f>'הזנת נתונים'!B66</f>
        <v>35</v>
      </c>
      <c r="D388" s="37">
        <f>'הזנת נתונים'!C66</f>
        <v>40</v>
      </c>
      <c r="E388" s="37">
        <f>'הזנת נתונים'!D66</f>
        <v>55</v>
      </c>
      <c r="F388" s="37">
        <f>'הזנת נתונים'!E66</f>
        <v>70</v>
      </c>
      <c r="G388" s="37">
        <f>'הזנת נתונים'!F66</f>
        <v>75</v>
      </c>
      <c r="H388" s="37">
        <f>'הזנת נתונים'!G66</f>
        <v>87.6666666666667</v>
      </c>
      <c r="I388" s="37">
        <f>'הזנת נתונים'!H66</f>
        <v>98.6666666666667</v>
      </c>
      <c r="J388" s="37">
        <f>'הזנת נתונים'!I66</f>
        <v>109.666666666667</v>
      </c>
      <c r="K388" s="37">
        <f>'הזנת נתונים'!J66</f>
        <v>120.666666666667</v>
      </c>
      <c r="L388" s="37">
        <f>'הזנת נתונים'!K66</f>
        <v>131.666666666667</v>
      </c>
      <c r="M388" s="37">
        <f>'הזנת נתונים'!L66</f>
        <v>142.666666666667</v>
      </c>
      <c r="N388" s="37">
        <f>'הזנת נתונים'!M66</f>
        <v>153.666666666667</v>
      </c>
      <c r="O388" s="37">
        <f>'הזנת נתונים'!N66</f>
        <v>164.666666666667</v>
      </c>
      <c r="P388" s="37">
        <f>'הזנת נתונים'!O66</f>
        <v>175.666666666667</v>
      </c>
      <c r="Q388" s="37">
        <f>'הזנת נתונים'!P66</f>
        <v>186.666666666667</v>
      </c>
      <c r="R388" s="37">
        <f>'הזנת נתונים'!Q66</f>
        <v>197.666666666667</v>
      </c>
      <c r="S388" s="37">
        <f>'הזנת נתונים'!R66</f>
        <v>208.666666666667</v>
      </c>
      <c r="T388" s="37">
        <f>'הזנת נתונים'!S66</f>
        <v>219.666666666667</v>
      </c>
      <c r="U388" s="37">
        <f>'הזנת נתונים'!T66</f>
        <v>230.666666666667</v>
      </c>
      <c r="V388" s="37">
        <f>'הזנת נתונים'!U66</f>
        <v>241.666666666667</v>
      </c>
      <c r="W388" s="37">
        <f>'הזנת נתונים'!V66</f>
        <v>252.666666666667</v>
      </c>
      <c r="X388" s="37">
        <f>'הזנת נתונים'!W66</f>
        <v>263.66666666666703</v>
      </c>
      <c r="Y388" s="37">
        <f>'הזנת נתונים'!X66</f>
        <v>274.66666666666703</v>
      </c>
      <c r="Z388" s="37">
        <f>'הזנת נתונים'!Y66</f>
        <v>285.66666666666799</v>
      </c>
      <c r="AA388" s="37">
        <f>'הזנת נתונים'!Z66</f>
        <v>296.66666666666799</v>
      </c>
      <c r="AB388" s="37">
        <f>'הזנת נתונים'!AA66</f>
        <v>307.66666666666799</v>
      </c>
      <c r="AC388" s="37">
        <f>'הזנת נתונים'!AB66</f>
        <v>318.66666666666799</v>
      </c>
      <c r="AD388" s="37">
        <f>'הזנת נתונים'!AC66</f>
        <v>329.66666666666799</v>
      </c>
      <c r="AE388" s="37">
        <f>'הזנת נתונים'!AD66</f>
        <v>340.66666666666799</v>
      </c>
      <c r="AF388" s="37">
        <f>'הזנת נתונים'!AE66</f>
        <v>351.66666666666799</v>
      </c>
      <c r="AG388" s="37">
        <f>'הזנת נתונים'!AF66</f>
        <v>362.66666666666799</v>
      </c>
      <c r="AH388" s="37">
        <f>'הזנת נתונים'!AG66</f>
        <v>373.66666666666799</v>
      </c>
      <c r="AI388" s="37">
        <f>'הזנת נתונים'!AH66</f>
        <v>384.66666666666799</v>
      </c>
      <c r="AJ388" s="37">
        <f>'הזנת נתונים'!AI66</f>
        <v>395.66666666666799</v>
      </c>
      <c r="AK388" s="37">
        <f>'הזנת נתונים'!AJ66</f>
        <v>406.66666666666799</v>
      </c>
      <c r="AL388" s="37">
        <f>'הזנת נתונים'!AK66</f>
        <v>417.66666666666799</v>
      </c>
      <c r="AM388" s="37">
        <f>'הזנת נתונים'!AL66</f>
        <v>428.66666666666902</v>
      </c>
      <c r="AN388" s="37">
        <f>'הזנת נתונים'!AM66</f>
        <v>439.66666666666902</v>
      </c>
      <c r="AO388" s="37">
        <f>'הזנת נתונים'!AN66</f>
        <v>450.66666666666902</v>
      </c>
      <c r="AP388" s="37">
        <f>'הזנת נתונים'!AO66</f>
        <v>461.66666666666902</v>
      </c>
      <c r="AQ388" s="37">
        <f>'הזנת נתונים'!AP66</f>
        <v>472.66666666666902</v>
      </c>
      <c r="AR388" s="37">
        <f>'הזנת נתונים'!AQ66</f>
        <v>483.66666666666902</v>
      </c>
      <c r="AS388" s="37">
        <f>'הזנת נתונים'!AR66</f>
        <v>494.66666666666902</v>
      </c>
      <c r="AT388" s="37">
        <f>'הזנת נתונים'!AS66</f>
        <v>505.66666666666799</v>
      </c>
      <c r="AU388" s="37">
        <f>'הזנת נתונים'!AT66</f>
        <v>516.66666666666902</v>
      </c>
      <c r="AV388" s="37">
        <f>'הזנת נתונים'!AU66</f>
        <v>527.66666666666902</v>
      </c>
      <c r="AW388" s="37">
        <f>'הזנת נתונים'!AV66</f>
        <v>538.66666666666902</v>
      </c>
      <c r="AX388" s="37">
        <f>'הזנת נתונים'!AW66</f>
        <v>549.66666666666902</v>
      </c>
      <c r="AY388" s="37">
        <f>'הזנת נתונים'!AX66</f>
        <v>560.66666666666902</v>
      </c>
      <c r="AZ388" s="37">
        <f>'הזנת נתונים'!AY66</f>
        <v>571.66666666666902</v>
      </c>
      <c r="BA388" s="37">
        <f>'הזנת נתונים'!AZ66</f>
        <v>582.66666666666902</v>
      </c>
      <c r="BB388" s="37">
        <f>'הזנת נתונים'!BA66</f>
        <v>593.66666666666902</v>
      </c>
      <c r="BC388" s="37">
        <f>'הזנת נתונים'!BB66</f>
        <v>604.66666666666902</v>
      </c>
      <c r="BD388" s="37">
        <f>'הזנת נתונים'!BC66</f>
        <v>615.66666666666902</v>
      </c>
      <c r="BE388" s="37">
        <f>'הזנת נתונים'!BD66</f>
        <v>626.66666666666902</v>
      </c>
      <c r="BF388" s="37">
        <f>'הזנת נתונים'!BE66</f>
        <v>637.66666666666902</v>
      </c>
      <c r="BG388" s="37">
        <f>'הזנת נתונים'!BF66</f>
        <v>648.66666666666902</v>
      </c>
      <c r="BH388" s="37">
        <f>'הזנת נתונים'!BG66</f>
        <v>659.66666666666902</v>
      </c>
      <c r="BI388" s="37">
        <f>'הזנת נתונים'!BH66</f>
        <v>670.66666666666902</v>
      </c>
    </row>
    <row r="389" spans="1:63" x14ac:dyDescent="0.25">
      <c r="A389" s="13" t="s">
        <v>2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 t="e">
        <v>#N/A</v>
      </c>
      <c r="Y389" t="e">
        <v>#N/A</v>
      </c>
      <c r="Z389" t="e">
        <v>#N/A</v>
      </c>
      <c r="AA389" t="e">
        <v>#N/A</v>
      </c>
      <c r="AB389" t="e">
        <v>#N/A</v>
      </c>
      <c r="AC389">
        <f t="shared" ref="AC389:BI389" si="1127">AVERAGE(B388:AC388)</f>
        <v>170.45238095238133</v>
      </c>
      <c r="AD389">
        <f t="shared" si="1127"/>
        <v>181.22619047619088</v>
      </c>
      <c r="AE389">
        <f t="shared" si="1127"/>
        <v>192.14285714285759</v>
      </c>
      <c r="AF389">
        <f t="shared" si="1127"/>
        <v>203.27380952381003</v>
      </c>
      <c r="AG389">
        <f t="shared" si="1127"/>
        <v>214.2619047619053</v>
      </c>
      <c r="AH389">
        <f t="shared" si="1127"/>
        <v>225.10714285714343</v>
      </c>
      <c r="AI389">
        <f t="shared" si="1127"/>
        <v>236.16666666666728</v>
      </c>
      <c r="AJ389">
        <f t="shared" si="1127"/>
        <v>247.16666666666734</v>
      </c>
      <c r="AK389">
        <f t="shared" si="1127"/>
        <v>258.16666666666737</v>
      </c>
      <c r="AL389">
        <f t="shared" si="1127"/>
        <v>269.16666666666742</v>
      </c>
      <c r="AM389">
        <f t="shared" si="1127"/>
        <v>280.16666666666748</v>
      </c>
      <c r="AN389">
        <f t="shared" si="1127"/>
        <v>291.16666666666754</v>
      </c>
      <c r="AO389">
        <f t="shared" si="1127"/>
        <v>302.1666666666676</v>
      </c>
      <c r="AP389">
        <f t="shared" si="1127"/>
        <v>313.16666666666777</v>
      </c>
      <c r="AQ389">
        <f t="shared" si="1127"/>
        <v>324.16666666666782</v>
      </c>
      <c r="AR389">
        <f t="shared" si="1127"/>
        <v>335.16666666666788</v>
      </c>
      <c r="AS389">
        <f t="shared" si="1127"/>
        <v>346.16666666666799</v>
      </c>
      <c r="AT389">
        <f t="shared" si="1127"/>
        <v>357.16666666666799</v>
      </c>
      <c r="AU389">
        <f t="shared" si="1127"/>
        <v>368.16666666666805</v>
      </c>
      <c r="AV389">
        <f t="shared" si="1127"/>
        <v>379.16666666666816</v>
      </c>
      <c r="AW389">
        <f t="shared" si="1127"/>
        <v>390.16666666666828</v>
      </c>
      <c r="AX389">
        <f t="shared" si="1127"/>
        <v>401.16666666666833</v>
      </c>
      <c r="AY389">
        <f t="shared" si="1127"/>
        <v>412.16666666666839</v>
      </c>
      <c r="AZ389">
        <f t="shared" si="1127"/>
        <v>423.1666666666685</v>
      </c>
      <c r="BA389">
        <f t="shared" si="1127"/>
        <v>434.16666666666862</v>
      </c>
      <c r="BB389">
        <f t="shared" si="1127"/>
        <v>445.16666666666868</v>
      </c>
      <c r="BC389">
        <f t="shared" si="1127"/>
        <v>456.16666666666873</v>
      </c>
      <c r="BD389">
        <f t="shared" si="1127"/>
        <v>467.16666666666873</v>
      </c>
      <c r="BE389">
        <f t="shared" si="1127"/>
        <v>478.16666666666879</v>
      </c>
      <c r="BF389">
        <f t="shared" si="1127"/>
        <v>489.16666666666885</v>
      </c>
      <c r="BG389">
        <f t="shared" si="1127"/>
        <v>500.16666666666885</v>
      </c>
      <c r="BH389">
        <f t="shared" si="1127"/>
        <v>511.1666666666689</v>
      </c>
      <c r="BI389">
        <f t="shared" si="1127"/>
        <v>522.16666666666902</v>
      </c>
    </row>
    <row r="390" spans="1:63" x14ac:dyDescent="0.25">
      <c r="A390" s="13" t="s">
        <v>9</v>
      </c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>
        <f t="shared" ref="AD390:BI390" si="1128">AC389</f>
        <v>170.45238095238133</v>
      </c>
      <c r="AE390" s="7">
        <f t="shared" si="1128"/>
        <v>181.22619047619088</v>
      </c>
      <c r="AF390" s="7">
        <f t="shared" si="1128"/>
        <v>192.14285714285759</v>
      </c>
      <c r="AG390" s="7">
        <f t="shared" si="1128"/>
        <v>203.27380952381003</v>
      </c>
      <c r="AH390" s="7">
        <f t="shared" si="1128"/>
        <v>214.2619047619053</v>
      </c>
      <c r="AI390" s="7">
        <f t="shared" si="1128"/>
        <v>225.10714285714343</v>
      </c>
      <c r="AJ390" s="7">
        <f t="shared" si="1128"/>
        <v>236.16666666666728</v>
      </c>
      <c r="AK390" s="7">
        <f t="shared" si="1128"/>
        <v>247.16666666666734</v>
      </c>
      <c r="AL390" s="7">
        <f t="shared" si="1128"/>
        <v>258.16666666666737</v>
      </c>
      <c r="AM390" s="7">
        <f t="shared" si="1128"/>
        <v>269.16666666666742</v>
      </c>
      <c r="AN390" s="7">
        <f t="shared" si="1128"/>
        <v>280.16666666666748</v>
      </c>
      <c r="AO390" s="7">
        <f t="shared" si="1128"/>
        <v>291.16666666666754</v>
      </c>
      <c r="AP390" s="7">
        <f t="shared" si="1128"/>
        <v>302.1666666666676</v>
      </c>
      <c r="AQ390" s="7">
        <f t="shared" si="1128"/>
        <v>313.16666666666777</v>
      </c>
      <c r="AR390" s="7">
        <f t="shared" si="1128"/>
        <v>324.16666666666782</v>
      </c>
      <c r="AS390" s="7">
        <f t="shared" si="1128"/>
        <v>335.16666666666788</v>
      </c>
      <c r="AT390" s="7">
        <f t="shared" si="1128"/>
        <v>346.16666666666799</v>
      </c>
      <c r="AU390" s="7">
        <f t="shared" si="1128"/>
        <v>357.16666666666799</v>
      </c>
      <c r="AV390" s="7">
        <f t="shared" si="1128"/>
        <v>368.16666666666805</v>
      </c>
      <c r="AW390" s="7">
        <f t="shared" si="1128"/>
        <v>379.16666666666816</v>
      </c>
      <c r="AX390" s="7">
        <f t="shared" si="1128"/>
        <v>390.16666666666828</v>
      </c>
      <c r="AY390" s="7">
        <f t="shared" si="1128"/>
        <v>401.16666666666833</v>
      </c>
      <c r="AZ390" s="7">
        <f t="shared" si="1128"/>
        <v>412.16666666666839</v>
      </c>
      <c r="BA390" s="7">
        <f t="shared" si="1128"/>
        <v>423.1666666666685</v>
      </c>
      <c r="BB390" s="7">
        <f t="shared" si="1128"/>
        <v>434.16666666666862</v>
      </c>
      <c r="BC390" s="7">
        <f t="shared" si="1128"/>
        <v>445.16666666666868</v>
      </c>
      <c r="BD390" s="7">
        <f t="shared" si="1128"/>
        <v>456.16666666666873</v>
      </c>
      <c r="BE390" s="7">
        <f t="shared" si="1128"/>
        <v>467.16666666666873</v>
      </c>
      <c r="BF390" s="7">
        <f t="shared" si="1128"/>
        <v>478.16666666666879</v>
      </c>
      <c r="BG390" s="7">
        <f t="shared" si="1128"/>
        <v>489.16666666666885</v>
      </c>
      <c r="BH390" s="7">
        <f t="shared" si="1128"/>
        <v>500.16666666666885</v>
      </c>
      <c r="BI390" s="7">
        <f t="shared" si="1128"/>
        <v>511.1666666666689</v>
      </c>
    </row>
    <row r="391" spans="1:63" x14ac:dyDescent="0.25">
      <c r="A391" s="13" t="s">
        <v>4</v>
      </c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>
        <f t="shared" ref="AD391" si="1129">AD390-AD388</f>
        <v>-159.21428571428666</v>
      </c>
      <c r="AE391" s="7">
        <f t="shared" ref="AE391" si="1130">AE390-AE388</f>
        <v>-159.44047619047711</v>
      </c>
      <c r="AF391" s="7">
        <f t="shared" ref="AF391" si="1131">AF390-AF388</f>
        <v>-159.5238095238104</v>
      </c>
      <c r="AG391" s="7">
        <f t="shared" ref="AG391" si="1132">AG390-AG388</f>
        <v>-159.39285714285796</v>
      </c>
      <c r="AH391" s="7">
        <f t="shared" ref="AH391" si="1133">AH390-AH388</f>
        <v>-159.40476190476269</v>
      </c>
      <c r="AI391" s="7">
        <f t="shared" ref="AI391" si="1134">AI390-AI388</f>
        <v>-159.55952380952456</v>
      </c>
      <c r="AJ391" s="7">
        <f t="shared" ref="AJ391" si="1135">AJ390-AJ388</f>
        <v>-159.50000000000071</v>
      </c>
      <c r="AK391" s="7">
        <f t="shared" ref="AK391" si="1136">AK390-AK388</f>
        <v>-159.50000000000065</v>
      </c>
      <c r="AL391" s="7">
        <f t="shared" ref="AL391" si="1137">AL390-AL388</f>
        <v>-159.50000000000063</v>
      </c>
      <c r="AM391" s="7">
        <f t="shared" ref="AM391" si="1138">AM390-AM388</f>
        <v>-159.50000000000159</v>
      </c>
      <c r="AN391" s="7">
        <f t="shared" ref="AN391" si="1139">AN390-AN388</f>
        <v>-159.50000000000153</v>
      </c>
      <c r="AO391" s="7">
        <f t="shared" ref="AO391" si="1140">AO390-AO388</f>
        <v>-159.50000000000148</v>
      </c>
      <c r="AP391" s="7">
        <f t="shared" ref="AP391" si="1141">AP390-AP388</f>
        <v>-159.50000000000142</v>
      </c>
      <c r="AQ391" s="7">
        <f t="shared" ref="AQ391" si="1142">AQ390-AQ388</f>
        <v>-159.50000000000125</v>
      </c>
      <c r="AR391" s="7">
        <f t="shared" ref="AR391" si="1143">AR390-AR388</f>
        <v>-159.50000000000119</v>
      </c>
      <c r="AS391" s="7">
        <f t="shared" ref="AS391" si="1144">AS390-AS388</f>
        <v>-159.50000000000114</v>
      </c>
      <c r="AT391" s="7">
        <f t="shared" ref="AT391" si="1145">AT390-AT388</f>
        <v>-159.5</v>
      </c>
      <c r="AU391" s="7">
        <f t="shared" ref="AU391" si="1146">AU390-AU388</f>
        <v>-159.50000000000102</v>
      </c>
      <c r="AV391" s="7">
        <f t="shared" ref="AV391" si="1147">AV390-AV388</f>
        <v>-159.50000000000097</v>
      </c>
      <c r="AW391" s="7">
        <f t="shared" ref="AW391" si="1148">AW390-AW388</f>
        <v>-159.50000000000085</v>
      </c>
      <c r="AX391" s="7">
        <f t="shared" ref="AX391" si="1149">AX390-AX388</f>
        <v>-159.50000000000074</v>
      </c>
      <c r="AY391" s="7">
        <f t="shared" ref="AY391" si="1150">AY390-AY388</f>
        <v>-159.50000000000068</v>
      </c>
      <c r="AZ391" s="7">
        <f t="shared" ref="AZ391" si="1151">AZ390-AZ388</f>
        <v>-159.50000000000063</v>
      </c>
      <c r="BA391" s="7">
        <f t="shared" ref="BA391" si="1152">BA390-BA388</f>
        <v>-159.50000000000051</v>
      </c>
      <c r="BB391" s="7">
        <f t="shared" ref="BB391" si="1153">BB390-BB388</f>
        <v>-159.5000000000004</v>
      </c>
      <c r="BC391" s="7">
        <f t="shared" ref="BC391" si="1154">BC390-BC388</f>
        <v>-159.50000000000034</v>
      </c>
      <c r="BD391" s="7">
        <f t="shared" ref="BD391" si="1155">BD390-BD388</f>
        <v>-159.50000000000028</v>
      </c>
      <c r="BE391" s="7">
        <f t="shared" ref="BE391" si="1156">BE390-BE388</f>
        <v>-159.50000000000028</v>
      </c>
      <c r="BF391" s="7">
        <f t="shared" ref="BF391" si="1157">BF390-BF388</f>
        <v>-159.50000000000023</v>
      </c>
      <c r="BG391" s="7">
        <f t="shared" ref="BG391" si="1158">BG390-BG388</f>
        <v>-159.50000000000017</v>
      </c>
      <c r="BH391" s="7">
        <f t="shared" ref="BH391" si="1159">BH390-BH388</f>
        <v>-159.50000000000017</v>
      </c>
      <c r="BI391" s="7">
        <f t="shared" ref="BI391" si="1160">BI390-BI388</f>
        <v>-159.50000000000011</v>
      </c>
    </row>
    <row r="392" spans="1:63" x14ac:dyDescent="0.25">
      <c r="A392" s="13" t="s">
        <v>12</v>
      </c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>
        <f t="shared" ref="AD392" si="1161">AD391^2</f>
        <v>25349.188775510505</v>
      </c>
      <c r="AE392" s="7">
        <f t="shared" ref="AE392" si="1162">AE391^2</f>
        <v>25421.265447846101</v>
      </c>
      <c r="AF392" s="7">
        <f t="shared" ref="AF392" si="1163">AF391^2</f>
        <v>25447.845804988941</v>
      </c>
      <c r="AG392" s="7">
        <f t="shared" ref="AG392" si="1164">AG391^2</f>
        <v>25406.082908163527</v>
      </c>
      <c r="AH392" s="7">
        <f t="shared" ref="AH392" si="1165">AH391^2</f>
        <v>25409.878117914082</v>
      </c>
      <c r="AI392" s="7">
        <f t="shared" ref="AI392" si="1166">AI391^2</f>
        <v>25459.241638322237</v>
      </c>
      <c r="AJ392" s="7">
        <f t="shared" ref="AJ392" si="1167">AJ391^2</f>
        <v>25440.250000000226</v>
      </c>
      <c r="AK392" s="7">
        <f t="shared" ref="AK392" si="1168">AK391^2</f>
        <v>25440.250000000207</v>
      </c>
      <c r="AL392" s="7">
        <f t="shared" ref="AL392" si="1169">AL391^2</f>
        <v>25440.2500000002</v>
      </c>
      <c r="AM392" s="7">
        <f t="shared" ref="AM392" si="1170">AM391^2</f>
        <v>25440.250000000509</v>
      </c>
      <c r="AN392" s="7">
        <f t="shared" ref="AN392" si="1171">AN391^2</f>
        <v>25440.250000000491</v>
      </c>
      <c r="AO392" s="7">
        <f t="shared" ref="AO392" si="1172">AO391^2</f>
        <v>25440.250000000473</v>
      </c>
      <c r="AP392" s="7">
        <f t="shared" ref="AP392" si="1173">AP391^2</f>
        <v>25440.250000000455</v>
      </c>
      <c r="AQ392" s="7">
        <f t="shared" ref="AQ392" si="1174">AQ391^2</f>
        <v>25440.2500000004</v>
      </c>
      <c r="AR392" s="7">
        <f t="shared" ref="AR392" si="1175">AR391^2</f>
        <v>25440.250000000382</v>
      </c>
      <c r="AS392" s="7">
        <f t="shared" ref="AS392" si="1176">AS391^2</f>
        <v>25440.250000000364</v>
      </c>
      <c r="AT392" s="7">
        <f t="shared" ref="AT392" si="1177">AT391^2</f>
        <v>25440.25</v>
      </c>
      <c r="AU392" s="7">
        <f t="shared" ref="AU392" si="1178">AU391^2</f>
        <v>25440.250000000327</v>
      </c>
      <c r="AV392" s="7">
        <f t="shared" ref="AV392" si="1179">AV391^2</f>
        <v>25440.250000000309</v>
      </c>
      <c r="AW392" s="7">
        <f t="shared" ref="AW392" si="1180">AW391^2</f>
        <v>25440.250000000273</v>
      </c>
      <c r="AX392" s="7">
        <f t="shared" ref="AX392" si="1181">AX391^2</f>
        <v>25440.250000000236</v>
      </c>
      <c r="AY392" s="7">
        <f t="shared" ref="AY392" si="1182">AY391^2</f>
        <v>25440.250000000218</v>
      </c>
      <c r="AZ392" s="7">
        <f t="shared" ref="AZ392" si="1183">AZ391^2</f>
        <v>25440.2500000002</v>
      </c>
      <c r="BA392" s="7">
        <f t="shared" ref="BA392" si="1184">BA391^2</f>
        <v>25440.250000000164</v>
      </c>
      <c r="BB392" s="7">
        <f t="shared" ref="BB392" si="1185">BB391^2</f>
        <v>25440.250000000127</v>
      </c>
      <c r="BC392" s="7">
        <f t="shared" ref="BC392" si="1186">BC391^2</f>
        <v>25440.250000000109</v>
      </c>
      <c r="BD392" s="7">
        <f t="shared" ref="BD392" si="1187">BD391^2</f>
        <v>25440.250000000091</v>
      </c>
      <c r="BE392" s="7">
        <f t="shared" ref="BE392" si="1188">BE391^2</f>
        <v>25440.250000000091</v>
      </c>
      <c r="BF392" s="7">
        <f t="shared" ref="BF392" si="1189">BF391^2</f>
        <v>25440.250000000073</v>
      </c>
      <c r="BG392" s="7">
        <f t="shared" ref="BG392" si="1190">BG391^2</f>
        <v>25440.250000000055</v>
      </c>
      <c r="BH392" s="7">
        <f t="shared" ref="BH392" si="1191">BH391^2</f>
        <v>25440.250000000055</v>
      </c>
      <c r="BI392" s="7">
        <f t="shared" ref="BI392" si="1192">BI391^2</f>
        <v>25440.250000000036</v>
      </c>
    </row>
    <row r="393" spans="1:63" x14ac:dyDescent="0.25">
      <c r="A393" s="38" t="s">
        <v>11</v>
      </c>
      <c r="B393" s="38">
        <v>28</v>
      </c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3" x14ac:dyDescent="0.25">
      <c r="A394" s="8" t="s">
        <v>5</v>
      </c>
      <c r="B394" s="8">
        <f>AVERAGE(G392:BI392)</f>
        <v>25435.625084148483</v>
      </c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3" x14ac:dyDescent="0.25">
      <c r="A395" s="7" t="s">
        <v>7</v>
      </c>
      <c r="B395" s="7">
        <f>$BI$389</f>
        <v>522.16666666666902</v>
      </c>
    </row>
    <row r="396" spans="1:63" x14ac:dyDescent="0.25">
      <c r="A396" s="31" t="s">
        <v>6</v>
      </c>
      <c r="B396" s="7" t="s">
        <v>62</v>
      </c>
      <c r="C396" s="7">
        <v>61</v>
      </c>
      <c r="D396" s="7">
        <v>62</v>
      </c>
      <c r="E396" s="7">
        <v>63</v>
      </c>
      <c r="F396" s="7">
        <v>64</v>
      </c>
      <c r="G396" s="7">
        <v>65</v>
      </c>
      <c r="H396" s="7">
        <v>66</v>
      </c>
      <c r="I396" s="7">
        <v>67</v>
      </c>
      <c r="J396" s="7">
        <v>68</v>
      </c>
      <c r="K396" s="7">
        <v>69</v>
      </c>
      <c r="L396" s="7">
        <v>70</v>
      </c>
      <c r="M396" s="7">
        <v>71</v>
      </c>
      <c r="N396" s="7">
        <v>72</v>
      </c>
    </row>
    <row r="397" spans="1:63" x14ac:dyDescent="0.25">
      <c r="C397" s="7">
        <f>$B$395</f>
        <v>522.16666666666902</v>
      </c>
      <c r="D397" s="7">
        <f t="shared" ref="D397:N397" si="1193">$B$395</f>
        <v>522.16666666666902</v>
      </c>
      <c r="E397" s="7">
        <f t="shared" si="1193"/>
        <v>522.16666666666902</v>
      </c>
      <c r="F397" s="7">
        <f t="shared" si="1193"/>
        <v>522.16666666666902</v>
      </c>
      <c r="G397" s="7">
        <f t="shared" si="1193"/>
        <v>522.16666666666902</v>
      </c>
      <c r="H397" s="7">
        <f t="shared" si="1193"/>
        <v>522.16666666666902</v>
      </c>
      <c r="I397" s="7">
        <f t="shared" si="1193"/>
        <v>522.16666666666902</v>
      </c>
      <c r="J397" s="7">
        <f t="shared" si="1193"/>
        <v>522.16666666666902</v>
      </c>
      <c r="K397" s="7">
        <f t="shared" si="1193"/>
        <v>522.16666666666902</v>
      </c>
      <c r="L397" s="7">
        <f t="shared" si="1193"/>
        <v>522.16666666666902</v>
      </c>
      <c r="M397" s="7">
        <f t="shared" si="1193"/>
        <v>522.16666666666902</v>
      </c>
      <c r="N397" s="7">
        <f t="shared" si="1193"/>
        <v>522.16666666666902</v>
      </c>
    </row>
    <row r="399" spans="1:63" x14ac:dyDescent="0.25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</row>
    <row r="401" spans="1:63" x14ac:dyDescent="0.25">
      <c r="A401" s="13" t="s">
        <v>1</v>
      </c>
      <c r="B401" s="13">
        <v>1</v>
      </c>
      <c r="C401" s="13">
        <v>2</v>
      </c>
      <c r="D401" s="13">
        <v>3</v>
      </c>
      <c r="E401" s="13">
        <v>4</v>
      </c>
      <c r="F401" s="13">
        <v>5</v>
      </c>
      <c r="G401" s="13">
        <v>6</v>
      </c>
      <c r="H401" s="13">
        <v>7</v>
      </c>
      <c r="I401" s="13">
        <v>8</v>
      </c>
      <c r="J401" s="13">
        <v>9</v>
      </c>
      <c r="K401" s="13">
        <v>10</v>
      </c>
      <c r="L401" s="13">
        <v>11</v>
      </c>
      <c r="M401" s="13">
        <v>12</v>
      </c>
      <c r="N401" s="13">
        <v>13</v>
      </c>
      <c r="O401" s="13">
        <v>14</v>
      </c>
      <c r="P401" s="13">
        <v>15</v>
      </c>
      <c r="Q401" s="13">
        <v>16</v>
      </c>
      <c r="R401" s="13">
        <v>17</v>
      </c>
      <c r="S401" s="13">
        <v>18</v>
      </c>
      <c r="T401" s="13">
        <v>19</v>
      </c>
      <c r="U401" s="13">
        <v>20</v>
      </c>
      <c r="V401" s="13">
        <v>21</v>
      </c>
      <c r="W401" s="13">
        <v>22</v>
      </c>
      <c r="X401" s="13">
        <v>23</v>
      </c>
      <c r="Y401" s="13">
        <v>24</v>
      </c>
      <c r="Z401" s="13">
        <v>25</v>
      </c>
      <c r="AA401" s="13">
        <v>26</v>
      </c>
      <c r="AB401" s="13">
        <v>27</v>
      </c>
      <c r="AC401" s="13">
        <v>28</v>
      </c>
      <c r="AD401" s="13">
        <v>29</v>
      </c>
      <c r="AE401" s="13">
        <v>30</v>
      </c>
      <c r="AF401" s="13">
        <v>31</v>
      </c>
      <c r="AG401" s="13">
        <v>32</v>
      </c>
      <c r="AH401" s="13">
        <v>33</v>
      </c>
      <c r="AI401" s="13">
        <v>34</v>
      </c>
      <c r="AJ401" s="13">
        <v>35</v>
      </c>
      <c r="AK401" s="13">
        <v>36</v>
      </c>
      <c r="AL401" s="13">
        <v>37</v>
      </c>
      <c r="AM401" s="13">
        <v>38</v>
      </c>
      <c r="AN401" s="13">
        <v>39</v>
      </c>
      <c r="AO401" s="13">
        <v>40</v>
      </c>
      <c r="AP401" s="13">
        <v>41</v>
      </c>
      <c r="AQ401" s="13">
        <v>42</v>
      </c>
      <c r="AR401" s="13">
        <v>43</v>
      </c>
      <c r="AS401" s="13">
        <v>44</v>
      </c>
      <c r="AT401" s="13">
        <v>45</v>
      </c>
      <c r="AU401" s="13">
        <v>46</v>
      </c>
      <c r="AV401" s="13">
        <v>47</v>
      </c>
      <c r="AW401" s="13">
        <v>48</v>
      </c>
      <c r="AX401" s="13">
        <v>49</v>
      </c>
      <c r="AY401" s="13">
        <v>50</v>
      </c>
      <c r="AZ401" s="13">
        <v>51</v>
      </c>
      <c r="BA401" s="13">
        <v>52</v>
      </c>
      <c r="BB401" s="13">
        <v>53</v>
      </c>
      <c r="BC401" s="13">
        <v>54</v>
      </c>
      <c r="BD401" s="13">
        <v>55</v>
      </c>
      <c r="BE401" s="13">
        <v>56</v>
      </c>
      <c r="BF401" s="13">
        <v>57</v>
      </c>
      <c r="BG401" s="13">
        <v>58</v>
      </c>
      <c r="BH401" s="13">
        <v>59</v>
      </c>
      <c r="BI401" s="13">
        <v>60</v>
      </c>
    </row>
    <row r="402" spans="1:63" x14ac:dyDescent="0.25">
      <c r="A402" s="13" t="s">
        <v>0</v>
      </c>
      <c r="B402" s="37">
        <f>'הזנת נתונים'!A66</f>
        <v>28</v>
      </c>
      <c r="C402" s="37">
        <f>'הזנת נתונים'!B66</f>
        <v>35</v>
      </c>
      <c r="D402" s="37">
        <f>'הזנת נתונים'!C66</f>
        <v>40</v>
      </c>
      <c r="E402" s="37">
        <f>'הזנת נתונים'!D66</f>
        <v>55</v>
      </c>
      <c r="F402" s="37">
        <f>'הזנת נתונים'!E66</f>
        <v>70</v>
      </c>
      <c r="G402" s="37">
        <f>'הזנת נתונים'!F66</f>
        <v>75</v>
      </c>
      <c r="H402" s="37">
        <f>'הזנת נתונים'!G66</f>
        <v>87.6666666666667</v>
      </c>
      <c r="I402" s="37">
        <f>'הזנת נתונים'!H66</f>
        <v>98.6666666666667</v>
      </c>
      <c r="J402" s="37">
        <f>'הזנת נתונים'!I66</f>
        <v>109.666666666667</v>
      </c>
      <c r="K402" s="37">
        <f>'הזנת נתונים'!J66</f>
        <v>120.666666666667</v>
      </c>
      <c r="L402" s="37">
        <f>'הזנת נתונים'!K66</f>
        <v>131.666666666667</v>
      </c>
      <c r="M402" s="37">
        <f>'הזנת נתונים'!L66</f>
        <v>142.666666666667</v>
      </c>
      <c r="N402" s="37">
        <f>'הזנת נתונים'!M66</f>
        <v>153.666666666667</v>
      </c>
      <c r="O402" s="37">
        <f>'הזנת נתונים'!N66</f>
        <v>164.666666666667</v>
      </c>
      <c r="P402" s="37">
        <f>'הזנת נתונים'!O66</f>
        <v>175.666666666667</v>
      </c>
      <c r="Q402" s="37">
        <f>'הזנת נתונים'!P66</f>
        <v>186.666666666667</v>
      </c>
      <c r="R402" s="37">
        <f>'הזנת נתונים'!Q66</f>
        <v>197.666666666667</v>
      </c>
      <c r="S402" s="37">
        <f>'הזנת נתונים'!R66</f>
        <v>208.666666666667</v>
      </c>
      <c r="T402" s="37">
        <f>'הזנת נתונים'!S66</f>
        <v>219.666666666667</v>
      </c>
      <c r="U402" s="37">
        <f>'הזנת נתונים'!T66</f>
        <v>230.666666666667</v>
      </c>
      <c r="V402" s="37">
        <f>'הזנת נתונים'!U66</f>
        <v>241.666666666667</v>
      </c>
      <c r="W402" s="37">
        <f>'הזנת נתונים'!V66</f>
        <v>252.666666666667</v>
      </c>
      <c r="X402" s="37">
        <f>'הזנת נתונים'!W66</f>
        <v>263.66666666666703</v>
      </c>
      <c r="Y402" s="37">
        <f>'הזנת נתונים'!X66</f>
        <v>274.66666666666703</v>
      </c>
      <c r="Z402" s="37">
        <f>'הזנת נתונים'!Y66</f>
        <v>285.66666666666799</v>
      </c>
      <c r="AA402" s="37">
        <f>'הזנת נתונים'!Z66</f>
        <v>296.66666666666799</v>
      </c>
      <c r="AB402" s="37">
        <f>'הזנת נתונים'!AA66</f>
        <v>307.66666666666799</v>
      </c>
      <c r="AC402" s="37">
        <f>'הזנת נתונים'!AB66</f>
        <v>318.66666666666799</v>
      </c>
      <c r="AD402" s="37">
        <f>'הזנת נתונים'!AC66</f>
        <v>329.66666666666799</v>
      </c>
      <c r="AE402" s="37">
        <f>'הזנת נתונים'!AD66</f>
        <v>340.66666666666799</v>
      </c>
      <c r="AF402" s="37">
        <f>'הזנת נתונים'!AE66</f>
        <v>351.66666666666799</v>
      </c>
      <c r="AG402" s="37">
        <f>'הזנת נתונים'!AF66</f>
        <v>362.66666666666799</v>
      </c>
      <c r="AH402" s="37">
        <f>'הזנת נתונים'!AG66</f>
        <v>373.66666666666799</v>
      </c>
      <c r="AI402" s="37">
        <f>'הזנת נתונים'!AH66</f>
        <v>384.66666666666799</v>
      </c>
      <c r="AJ402" s="37">
        <f>'הזנת נתונים'!AI66</f>
        <v>395.66666666666799</v>
      </c>
      <c r="AK402" s="37">
        <f>'הזנת נתונים'!AJ66</f>
        <v>406.66666666666799</v>
      </c>
      <c r="AL402" s="37">
        <f>'הזנת נתונים'!AK66</f>
        <v>417.66666666666799</v>
      </c>
      <c r="AM402" s="37">
        <f>'הזנת נתונים'!AL66</f>
        <v>428.66666666666902</v>
      </c>
      <c r="AN402" s="37">
        <f>'הזנת נתונים'!AM66</f>
        <v>439.66666666666902</v>
      </c>
      <c r="AO402" s="37">
        <f>'הזנת נתונים'!AN66</f>
        <v>450.66666666666902</v>
      </c>
      <c r="AP402" s="37">
        <f>'הזנת נתונים'!AO66</f>
        <v>461.66666666666902</v>
      </c>
      <c r="AQ402" s="37">
        <f>'הזנת נתונים'!AP66</f>
        <v>472.66666666666902</v>
      </c>
      <c r="AR402" s="37">
        <f>'הזנת נתונים'!AQ66</f>
        <v>483.66666666666902</v>
      </c>
      <c r="AS402" s="37">
        <f>'הזנת נתונים'!AR66</f>
        <v>494.66666666666902</v>
      </c>
      <c r="AT402" s="37">
        <f>'הזנת נתונים'!AS66</f>
        <v>505.66666666666799</v>
      </c>
      <c r="AU402" s="37">
        <f>'הזנת נתונים'!AT66</f>
        <v>516.66666666666902</v>
      </c>
      <c r="AV402" s="37">
        <f>'הזנת נתונים'!AU66</f>
        <v>527.66666666666902</v>
      </c>
      <c r="AW402" s="37">
        <f>'הזנת נתונים'!AV66</f>
        <v>538.66666666666902</v>
      </c>
      <c r="AX402" s="37">
        <f>'הזנת נתונים'!AW66</f>
        <v>549.66666666666902</v>
      </c>
      <c r="AY402" s="37">
        <f>'הזנת נתונים'!AX66</f>
        <v>560.66666666666902</v>
      </c>
      <c r="AZ402" s="37">
        <f>'הזנת נתונים'!AY66</f>
        <v>571.66666666666902</v>
      </c>
      <c r="BA402" s="37">
        <f>'הזנת נתונים'!AZ66</f>
        <v>582.66666666666902</v>
      </c>
      <c r="BB402" s="37">
        <f>'הזנת נתונים'!BA66</f>
        <v>593.66666666666902</v>
      </c>
      <c r="BC402" s="37">
        <f>'הזנת נתונים'!BB66</f>
        <v>604.66666666666902</v>
      </c>
      <c r="BD402" s="37">
        <f>'הזנת נתונים'!BC66</f>
        <v>615.66666666666902</v>
      </c>
      <c r="BE402" s="37">
        <f>'הזנת נתונים'!BD66</f>
        <v>626.66666666666902</v>
      </c>
      <c r="BF402" s="37">
        <f>'הזנת נתונים'!BE66</f>
        <v>637.66666666666902</v>
      </c>
      <c r="BG402" s="37">
        <f>'הזנת נתונים'!BF66</f>
        <v>648.66666666666902</v>
      </c>
      <c r="BH402" s="37">
        <f>'הזנת נתונים'!BG66</f>
        <v>659.66666666666902</v>
      </c>
      <c r="BI402" s="37">
        <f>'הזנת נתונים'!BH66</f>
        <v>670.66666666666902</v>
      </c>
    </row>
    <row r="403" spans="1:63" x14ac:dyDescent="0.25">
      <c r="A403" s="13" t="s">
        <v>2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  <c r="W403" t="e">
        <v>#N/A</v>
      </c>
      <c r="X403" t="e">
        <v>#N/A</v>
      </c>
      <c r="Y403" t="e">
        <v>#N/A</v>
      </c>
      <c r="Z403" t="e">
        <v>#N/A</v>
      </c>
      <c r="AA403" t="e">
        <v>#N/A</v>
      </c>
      <c r="AB403" t="e">
        <v>#N/A</v>
      </c>
      <c r="AC403" t="e">
        <v>#N/A</v>
      </c>
      <c r="AD403">
        <f t="shared" ref="AD403:BI403" si="1194">AVERAGE(B402:AD402)</f>
        <v>175.94252873563258</v>
      </c>
      <c r="AE403">
        <f t="shared" si="1194"/>
        <v>186.72413793103493</v>
      </c>
      <c r="AF403">
        <f t="shared" si="1194"/>
        <v>197.64367816092002</v>
      </c>
      <c r="AG403">
        <f t="shared" si="1194"/>
        <v>208.77011494252926</v>
      </c>
      <c r="AH403">
        <f t="shared" si="1194"/>
        <v>219.75862068965574</v>
      </c>
      <c r="AI403">
        <f t="shared" si="1194"/>
        <v>230.60919540229946</v>
      </c>
      <c r="AJ403">
        <f t="shared" si="1194"/>
        <v>241.66666666666731</v>
      </c>
      <c r="AK403">
        <f t="shared" si="1194"/>
        <v>252.66666666666734</v>
      </c>
      <c r="AL403">
        <f t="shared" si="1194"/>
        <v>263.66666666666742</v>
      </c>
      <c r="AM403">
        <f t="shared" si="1194"/>
        <v>274.66666666666748</v>
      </c>
      <c r="AN403">
        <f t="shared" si="1194"/>
        <v>285.66666666666754</v>
      </c>
      <c r="AO403">
        <f t="shared" si="1194"/>
        <v>296.66666666666765</v>
      </c>
      <c r="AP403">
        <f t="shared" si="1194"/>
        <v>307.66666666666771</v>
      </c>
      <c r="AQ403">
        <f t="shared" si="1194"/>
        <v>318.66666666666782</v>
      </c>
      <c r="AR403">
        <f t="shared" si="1194"/>
        <v>329.66666666666788</v>
      </c>
      <c r="AS403">
        <f t="shared" si="1194"/>
        <v>340.66666666666794</v>
      </c>
      <c r="AT403">
        <f t="shared" si="1194"/>
        <v>351.66666666666799</v>
      </c>
      <c r="AU403">
        <f t="shared" si="1194"/>
        <v>362.66666666666805</v>
      </c>
      <c r="AV403">
        <f t="shared" si="1194"/>
        <v>373.66666666666811</v>
      </c>
      <c r="AW403">
        <f t="shared" si="1194"/>
        <v>384.66666666666822</v>
      </c>
      <c r="AX403">
        <f t="shared" si="1194"/>
        <v>395.66666666666833</v>
      </c>
      <c r="AY403">
        <f t="shared" si="1194"/>
        <v>406.66666666666839</v>
      </c>
      <c r="AZ403">
        <f t="shared" si="1194"/>
        <v>417.66666666666845</v>
      </c>
      <c r="BA403">
        <f t="shared" si="1194"/>
        <v>428.66666666666856</v>
      </c>
      <c r="BB403">
        <f t="shared" si="1194"/>
        <v>439.66666666666862</v>
      </c>
      <c r="BC403">
        <f t="shared" si="1194"/>
        <v>450.66666666666868</v>
      </c>
      <c r="BD403">
        <f t="shared" si="1194"/>
        <v>461.66666666666873</v>
      </c>
      <c r="BE403">
        <f t="shared" si="1194"/>
        <v>472.66666666666873</v>
      </c>
      <c r="BF403">
        <f t="shared" si="1194"/>
        <v>483.66666666666885</v>
      </c>
      <c r="BG403">
        <f t="shared" si="1194"/>
        <v>494.6666666666689</v>
      </c>
      <c r="BH403">
        <f t="shared" si="1194"/>
        <v>505.6666666666689</v>
      </c>
      <c r="BI403">
        <f t="shared" si="1194"/>
        <v>516.6666666666689</v>
      </c>
    </row>
    <row r="404" spans="1:63" x14ac:dyDescent="0.25">
      <c r="A404" s="13" t="s">
        <v>9</v>
      </c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>
        <f t="shared" ref="AE404:BI404" si="1195">AD403</f>
        <v>175.94252873563258</v>
      </c>
      <c r="AF404" s="7">
        <f t="shared" si="1195"/>
        <v>186.72413793103493</v>
      </c>
      <c r="AG404" s="7">
        <f t="shared" si="1195"/>
        <v>197.64367816092002</v>
      </c>
      <c r="AH404" s="7">
        <f t="shared" si="1195"/>
        <v>208.77011494252926</v>
      </c>
      <c r="AI404" s="7">
        <f t="shared" si="1195"/>
        <v>219.75862068965574</v>
      </c>
      <c r="AJ404" s="7">
        <f t="shared" si="1195"/>
        <v>230.60919540229946</v>
      </c>
      <c r="AK404" s="7">
        <f t="shared" si="1195"/>
        <v>241.66666666666731</v>
      </c>
      <c r="AL404" s="7">
        <f t="shared" si="1195"/>
        <v>252.66666666666734</v>
      </c>
      <c r="AM404" s="7">
        <f t="shared" si="1195"/>
        <v>263.66666666666742</v>
      </c>
      <c r="AN404" s="7">
        <f t="shared" si="1195"/>
        <v>274.66666666666748</v>
      </c>
      <c r="AO404" s="7">
        <f t="shared" si="1195"/>
        <v>285.66666666666754</v>
      </c>
      <c r="AP404" s="7">
        <f t="shared" si="1195"/>
        <v>296.66666666666765</v>
      </c>
      <c r="AQ404" s="7">
        <f t="shared" si="1195"/>
        <v>307.66666666666771</v>
      </c>
      <c r="AR404" s="7">
        <f t="shared" si="1195"/>
        <v>318.66666666666782</v>
      </c>
      <c r="AS404" s="7">
        <f t="shared" si="1195"/>
        <v>329.66666666666788</v>
      </c>
      <c r="AT404" s="7">
        <f t="shared" si="1195"/>
        <v>340.66666666666794</v>
      </c>
      <c r="AU404" s="7">
        <f t="shared" si="1195"/>
        <v>351.66666666666799</v>
      </c>
      <c r="AV404" s="7">
        <f t="shared" si="1195"/>
        <v>362.66666666666805</v>
      </c>
      <c r="AW404" s="7">
        <f t="shared" si="1195"/>
        <v>373.66666666666811</v>
      </c>
      <c r="AX404" s="7">
        <f t="shared" si="1195"/>
        <v>384.66666666666822</v>
      </c>
      <c r="AY404" s="7">
        <f t="shared" si="1195"/>
        <v>395.66666666666833</v>
      </c>
      <c r="AZ404" s="7">
        <f t="shared" si="1195"/>
        <v>406.66666666666839</v>
      </c>
      <c r="BA404" s="7">
        <f t="shared" si="1195"/>
        <v>417.66666666666845</v>
      </c>
      <c r="BB404" s="7">
        <f t="shared" si="1195"/>
        <v>428.66666666666856</v>
      </c>
      <c r="BC404" s="7">
        <f t="shared" si="1195"/>
        <v>439.66666666666862</v>
      </c>
      <c r="BD404" s="7">
        <f t="shared" si="1195"/>
        <v>450.66666666666868</v>
      </c>
      <c r="BE404" s="7">
        <f t="shared" si="1195"/>
        <v>461.66666666666873</v>
      </c>
      <c r="BF404" s="7">
        <f t="shared" si="1195"/>
        <v>472.66666666666873</v>
      </c>
      <c r="BG404" s="7">
        <f t="shared" si="1195"/>
        <v>483.66666666666885</v>
      </c>
      <c r="BH404" s="7">
        <f t="shared" si="1195"/>
        <v>494.6666666666689</v>
      </c>
      <c r="BI404" s="7">
        <f t="shared" si="1195"/>
        <v>505.6666666666689</v>
      </c>
    </row>
    <row r="405" spans="1:63" x14ac:dyDescent="0.25">
      <c r="A405" s="13" t="s">
        <v>4</v>
      </c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>
        <f t="shared" ref="AE405" si="1196">AE404-AE402</f>
        <v>-164.72413793103541</v>
      </c>
      <c r="AF405" s="7">
        <f t="shared" ref="AF405" si="1197">AF404-AF402</f>
        <v>-164.94252873563306</v>
      </c>
      <c r="AG405" s="7">
        <f t="shared" ref="AG405" si="1198">AG404-AG402</f>
        <v>-165.02298850574797</v>
      </c>
      <c r="AH405" s="7">
        <f t="shared" ref="AH405" si="1199">AH404-AH402</f>
        <v>-164.89655172413873</v>
      </c>
      <c r="AI405" s="7">
        <f t="shared" ref="AI405" si="1200">AI404-AI402</f>
        <v>-164.90804597701225</v>
      </c>
      <c r="AJ405" s="7">
        <f t="shared" ref="AJ405" si="1201">AJ404-AJ402</f>
        <v>-165.05747126436853</v>
      </c>
      <c r="AK405" s="7">
        <f t="shared" ref="AK405" si="1202">AK404-AK402</f>
        <v>-165.00000000000068</v>
      </c>
      <c r="AL405" s="7">
        <f t="shared" ref="AL405" si="1203">AL404-AL402</f>
        <v>-165.00000000000065</v>
      </c>
      <c r="AM405" s="7">
        <f t="shared" ref="AM405" si="1204">AM404-AM402</f>
        <v>-165.00000000000159</v>
      </c>
      <c r="AN405" s="7">
        <f t="shared" ref="AN405" si="1205">AN404-AN402</f>
        <v>-165.00000000000153</v>
      </c>
      <c r="AO405" s="7">
        <f t="shared" ref="AO405" si="1206">AO404-AO402</f>
        <v>-165.00000000000148</v>
      </c>
      <c r="AP405" s="7">
        <f t="shared" ref="AP405" si="1207">AP404-AP402</f>
        <v>-165.00000000000136</v>
      </c>
      <c r="AQ405" s="7">
        <f t="shared" ref="AQ405" si="1208">AQ404-AQ402</f>
        <v>-165.00000000000131</v>
      </c>
      <c r="AR405" s="7">
        <f t="shared" ref="AR405" si="1209">AR404-AR402</f>
        <v>-165.00000000000119</v>
      </c>
      <c r="AS405" s="7">
        <f t="shared" ref="AS405" si="1210">AS404-AS402</f>
        <v>-165.00000000000114</v>
      </c>
      <c r="AT405" s="7">
        <f t="shared" ref="AT405" si="1211">AT404-AT402</f>
        <v>-165.00000000000006</v>
      </c>
      <c r="AU405" s="7">
        <f t="shared" ref="AU405" si="1212">AU404-AU402</f>
        <v>-165.00000000000102</v>
      </c>
      <c r="AV405" s="7">
        <f t="shared" ref="AV405" si="1213">AV404-AV402</f>
        <v>-165.00000000000097</v>
      </c>
      <c r="AW405" s="7">
        <f t="shared" ref="AW405" si="1214">AW404-AW402</f>
        <v>-165.00000000000091</v>
      </c>
      <c r="AX405" s="7">
        <f t="shared" ref="AX405" si="1215">AX404-AX402</f>
        <v>-165.0000000000008</v>
      </c>
      <c r="AY405" s="7">
        <f t="shared" ref="AY405" si="1216">AY404-AY402</f>
        <v>-165.00000000000068</v>
      </c>
      <c r="AZ405" s="7">
        <f t="shared" ref="AZ405" si="1217">AZ404-AZ402</f>
        <v>-165.00000000000063</v>
      </c>
      <c r="BA405" s="7">
        <f t="shared" ref="BA405" si="1218">BA404-BA402</f>
        <v>-165.00000000000057</v>
      </c>
      <c r="BB405" s="7">
        <f t="shared" ref="BB405" si="1219">BB404-BB402</f>
        <v>-165.00000000000045</v>
      </c>
      <c r="BC405" s="7">
        <f t="shared" ref="BC405" si="1220">BC404-BC402</f>
        <v>-165.0000000000004</v>
      </c>
      <c r="BD405" s="7">
        <f t="shared" ref="BD405" si="1221">BD404-BD402</f>
        <v>-165.00000000000034</v>
      </c>
      <c r="BE405" s="7">
        <f t="shared" ref="BE405" si="1222">BE404-BE402</f>
        <v>-165.00000000000028</v>
      </c>
      <c r="BF405" s="7">
        <f t="shared" ref="BF405" si="1223">BF404-BF402</f>
        <v>-165.00000000000028</v>
      </c>
      <c r="BG405" s="7">
        <f t="shared" ref="BG405" si="1224">BG404-BG402</f>
        <v>-165.00000000000017</v>
      </c>
      <c r="BH405" s="7">
        <f t="shared" ref="BH405" si="1225">BH404-BH402</f>
        <v>-165.00000000000011</v>
      </c>
      <c r="BI405" s="7">
        <f t="shared" ref="BI405" si="1226">BI404-BI402</f>
        <v>-165.00000000000011</v>
      </c>
    </row>
    <row r="406" spans="1:63" x14ac:dyDescent="0.25">
      <c r="A406" s="13" t="s">
        <v>12</v>
      </c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>
        <f t="shared" ref="AE406" si="1227">AE405^2</f>
        <v>27134.041617122781</v>
      </c>
      <c r="AF406" s="7">
        <f t="shared" ref="AF406" si="1228">AF405^2</f>
        <v>27206.037785705139</v>
      </c>
      <c r="AG406" s="7">
        <f t="shared" ref="AG406" si="1229">AG405^2</f>
        <v>27232.58673536823</v>
      </c>
      <c r="AH406" s="7">
        <f t="shared" ref="AH406" si="1230">AH405^2</f>
        <v>27190.87277051156</v>
      </c>
      <c r="AI406" s="7">
        <f t="shared" ref="AI406" si="1231">AI405^2</f>
        <v>27194.663627956386</v>
      </c>
      <c r="AJ406" s="7">
        <f t="shared" ref="AJ406" si="1232">AJ405^2</f>
        <v>27243.968820187842</v>
      </c>
      <c r="AK406" s="7">
        <f t="shared" ref="AK406" si="1233">AK405^2</f>
        <v>27225.000000000226</v>
      </c>
      <c r="AL406" s="7">
        <f t="shared" ref="AL406" si="1234">AL405^2</f>
        <v>27225.000000000215</v>
      </c>
      <c r="AM406" s="7">
        <f t="shared" ref="AM406" si="1235">AM405^2</f>
        <v>27225.000000000524</v>
      </c>
      <c r="AN406" s="7">
        <f t="shared" ref="AN406" si="1236">AN405^2</f>
        <v>27225.000000000506</v>
      </c>
      <c r="AO406" s="7">
        <f t="shared" ref="AO406" si="1237">AO405^2</f>
        <v>27225.000000000487</v>
      </c>
      <c r="AP406" s="7">
        <f t="shared" ref="AP406" si="1238">AP405^2</f>
        <v>27225.000000000451</v>
      </c>
      <c r="AQ406" s="7">
        <f t="shared" ref="AQ406" si="1239">AQ405^2</f>
        <v>27225.000000000433</v>
      </c>
      <c r="AR406" s="7">
        <f t="shared" ref="AR406" si="1240">AR405^2</f>
        <v>27225.000000000393</v>
      </c>
      <c r="AS406" s="7">
        <f t="shared" ref="AS406" si="1241">AS405^2</f>
        <v>27225.000000000375</v>
      </c>
      <c r="AT406" s="7">
        <f t="shared" ref="AT406" si="1242">AT405^2</f>
        <v>27225.000000000018</v>
      </c>
      <c r="AU406" s="7">
        <f t="shared" ref="AU406" si="1243">AU405^2</f>
        <v>27225.000000000338</v>
      </c>
      <c r="AV406" s="7">
        <f t="shared" ref="AV406" si="1244">AV405^2</f>
        <v>27225.00000000032</v>
      </c>
      <c r="AW406" s="7">
        <f t="shared" ref="AW406" si="1245">AW405^2</f>
        <v>27225.000000000298</v>
      </c>
      <c r="AX406" s="7">
        <f t="shared" ref="AX406" si="1246">AX405^2</f>
        <v>27225.000000000262</v>
      </c>
      <c r="AY406" s="7">
        <f t="shared" ref="AY406" si="1247">AY405^2</f>
        <v>27225.000000000226</v>
      </c>
      <c r="AZ406" s="7">
        <f t="shared" ref="AZ406" si="1248">AZ405^2</f>
        <v>27225.000000000207</v>
      </c>
      <c r="BA406" s="7">
        <f t="shared" ref="BA406" si="1249">BA405^2</f>
        <v>27225.000000000189</v>
      </c>
      <c r="BB406" s="7">
        <f t="shared" ref="BB406" si="1250">BB405^2</f>
        <v>27225.000000000149</v>
      </c>
      <c r="BC406" s="7">
        <f t="shared" ref="BC406" si="1251">BC405^2</f>
        <v>27225.000000000131</v>
      </c>
      <c r="BD406" s="7">
        <f t="shared" ref="BD406" si="1252">BD405^2</f>
        <v>27225.000000000113</v>
      </c>
      <c r="BE406" s="7">
        <f t="shared" ref="BE406" si="1253">BE405^2</f>
        <v>27225.000000000095</v>
      </c>
      <c r="BF406" s="7">
        <f t="shared" ref="BF406" si="1254">BF405^2</f>
        <v>27225.000000000095</v>
      </c>
      <c r="BG406" s="7">
        <f t="shared" ref="BG406" si="1255">BG405^2</f>
        <v>27225.000000000055</v>
      </c>
      <c r="BH406" s="7">
        <f t="shared" ref="BH406" si="1256">BH405^2</f>
        <v>27225.000000000036</v>
      </c>
      <c r="BI406" s="7">
        <f t="shared" ref="BI406" si="1257">BI405^2</f>
        <v>27225.000000000036</v>
      </c>
    </row>
    <row r="407" spans="1:63" x14ac:dyDescent="0.25">
      <c r="A407" s="38" t="s">
        <v>11</v>
      </c>
      <c r="B407" s="38">
        <v>29</v>
      </c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3" x14ac:dyDescent="0.25">
      <c r="A408" s="8" t="s">
        <v>5</v>
      </c>
      <c r="B408" s="8">
        <f>AVERAGE(G406:BI406)</f>
        <v>27220.231334092194</v>
      </c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3" x14ac:dyDescent="0.25">
      <c r="A409" s="7" t="s">
        <v>7</v>
      </c>
      <c r="B409" s="7">
        <f>$BI$403</f>
        <v>516.6666666666689</v>
      </c>
    </row>
    <row r="410" spans="1:63" x14ac:dyDescent="0.25">
      <c r="A410" s="31" t="s">
        <v>6</v>
      </c>
      <c r="B410" s="7" t="s">
        <v>62</v>
      </c>
      <c r="C410" s="7">
        <v>61</v>
      </c>
      <c r="D410" s="7">
        <v>62</v>
      </c>
      <c r="E410" s="7">
        <v>63</v>
      </c>
      <c r="F410" s="7">
        <v>64</v>
      </c>
      <c r="G410" s="7">
        <v>65</v>
      </c>
      <c r="H410" s="7">
        <v>66</v>
      </c>
      <c r="I410" s="7">
        <v>67</v>
      </c>
      <c r="J410" s="7">
        <v>68</v>
      </c>
      <c r="K410" s="7">
        <v>69</v>
      </c>
      <c r="L410" s="7">
        <v>70</v>
      </c>
      <c r="M410" s="7">
        <v>71</v>
      </c>
      <c r="N410" s="7">
        <v>72</v>
      </c>
    </row>
    <row r="411" spans="1:63" x14ac:dyDescent="0.25">
      <c r="C411" s="7">
        <f>$B$409</f>
        <v>516.6666666666689</v>
      </c>
      <c r="D411" s="7">
        <f t="shared" ref="D411:N411" si="1258">$B$409</f>
        <v>516.6666666666689</v>
      </c>
      <c r="E411" s="7">
        <f t="shared" si="1258"/>
        <v>516.6666666666689</v>
      </c>
      <c r="F411" s="7">
        <f t="shared" si="1258"/>
        <v>516.6666666666689</v>
      </c>
      <c r="G411" s="7">
        <f t="shared" si="1258"/>
        <v>516.6666666666689</v>
      </c>
      <c r="H411" s="7">
        <f t="shared" si="1258"/>
        <v>516.6666666666689</v>
      </c>
      <c r="I411" s="7">
        <f t="shared" si="1258"/>
        <v>516.6666666666689</v>
      </c>
      <c r="J411" s="7">
        <f t="shared" si="1258"/>
        <v>516.6666666666689</v>
      </c>
      <c r="K411" s="7">
        <f t="shared" si="1258"/>
        <v>516.6666666666689</v>
      </c>
      <c r="L411" s="7">
        <f t="shared" si="1258"/>
        <v>516.6666666666689</v>
      </c>
      <c r="M411" s="7">
        <f t="shared" si="1258"/>
        <v>516.6666666666689</v>
      </c>
      <c r="N411" s="7">
        <f t="shared" si="1258"/>
        <v>516.6666666666689</v>
      </c>
    </row>
    <row r="414" spans="1:63" x14ac:dyDescent="0.2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</row>
    <row r="416" spans="1:63" x14ac:dyDescent="0.25">
      <c r="A416" s="13" t="s">
        <v>1</v>
      </c>
      <c r="B416" s="13">
        <v>1</v>
      </c>
      <c r="C416" s="13">
        <v>2</v>
      </c>
      <c r="D416" s="13">
        <v>3</v>
      </c>
      <c r="E416" s="13">
        <v>4</v>
      </c>
      <c r="F416" s="13">
        <v>5</v>
      </c>
      <c r="G416" s="13">
        <v>6</v>
      </c>
      <c r="H416" s="13">
        <v>7</v>
      </c>
      <c r="I416" s="13">
        <v>8</v>
      </c>
      <c r="J416" s="13">
        <v>9</v>
      </c>
      <c r="K416" s="13">
        <v>10</v>
      </c>
      <c r="L416" s="13">
        <v>11</v>
      </c>
      <c r="M416" s="13">
        <v>12</v>
      </c>
      <c r="N416" s="13">
        <v>13</v>
      </c>
      <c r="O416" s="13">
        <v>14</v>
      </c>
      <c r="P416" s="13">
        <v>15</v>
      </c>
      <c r="Q416" s="13">
        <v>16</v>
      </c>
      <c r="R416" s="13">
        <v>17</v>
      </c>
      <c r="S416" s="13">
        <v>18</v>
      </c>
      <c r="T416" s="13">
        <v>19</v>
      </c>
      <c r="U416" s="13">
        <v>20</v>
      </c>
      <c r="V416" s="13">
        <v>21</v>
      </c>
      <c r="W416" s="13">
        <v>22</v>
      </c>
      <c r="X416" s="13">
        <v>23</v>
      </c>
      <c r="Y416" s="13">
        <v>24</v>
      </c>
      <c r="Z416" s="13">
        <v>25</v>
      </c>
      <c r="AA416" s="13">
        <v>26</v>
      </c>
      <c r="AB416" s="13">
        <v>27</v>
      </c>
      <c r="AC416" s="13">
        <v>28</v>
      </c>
      <c r="AD416" s="13">
        <v>29</v>
      </c>
      <c r="AE416" s="13">
        <v>30</v>
      </c>
      <c r="AF416" s="13">
        <v>31</v>
      </c>
      <c r="AG416" s="13">
        <v>32</v>
      </c>
      <c r="AH416" s="13">
        <v>33</v>
      </c>
      <c r="AI416" s="13">
        <v>34</v>
      </c>
      <c r="AJ416" s="13">
        <v>35</v>
      </c>
      <c r="AK416" s="13">
        <v>36</v>
      </c>
      <c r="AL416" s="13">
        <v>37</v>
      </c>
      <c r="AM416" s="13">
        <v>38</v>
      </c>
      <c r="AN416" s="13">
        <v>39</v>
      </c>
      <c r="AO416" s="13">
        <v>40</v>
      </c>
      <c r="AP416" s="13">
        <v>41</v>
      </c>
      <c r="AQ416" s="13">
        <v>42</v>
      </c>
      <c r="AR416" s="13">
        <v>43</v>
      </c>
      <c r="AS416" s="13">
        <v>44</v>
      </c>
      <c r="AT416" s="13">
        <v>45</v>
      </c>
      <c r="AU416" s="13">
        <v>46</v>
      </c>
      <c r="AV416" s="13">
        <v>47</v>
      </c>
      <c r="AW416" s="13">
        <v>48</v>
      </c>
      <c r="AX416" s="13">
        <v>49</v>
      </c>
      <c r="AY416" s="13">
        <v>50</v>
      </c>
      <c r="AZ416" s="13">
        <v>51</v>
      </c>
      <c r="BA416" s="13">
        <v>52</v>
      </c>
      <c r="BB416" s="13">
        <v>53</v>
      </c>
      <c r="BC416" s="13">
        <v>54</v>
      </c>
      <c r="BD416" s="13">
        <v>55</v>
      </c>
      <c r="BE416" s="13">
        <v>56</v>
      </c>
      <c r="BF416" s="13">
        <v>57</v>
      </c>
      <c r="BG416" s="13">
        <v>58</v>
      </c>
      <c r="BH416" s="13">
        <v>59</v>
      </c>
      <c r="BI416" s="13">
        <v>60</v>
      </c>
    </row>
    <row r="417" spans="1:61" x14ac:dyDescent="0.25">
      <c r="A417" s="13" t="s">
        <v>0</v>
      </c>
      <c r="B417" s="37">
        <f>'הזנת נתונים'!A66</f>
        <v>28</v>
      </c>
      <c r="C417" s="37">
        <f>'הזנת נתונים'!B66</f>
        <v>35</v>
      </c>
      <c r="D417" s="37">
        <f>'הזנת נתונים'!C66</f>
        <v>40</v>
      </c>
      <c r="E417" s="37">
        <f>'הזנת נתונים'!D66</f>
        <v>55</v>
      </c>
      <c r="F417" s="37">
        <f>'הזנת נתונים'!E66</f>
        <v>70</v>
      </c>
      <c r="G417" s="37">
        <f>'הזנת נתונים'!F66</f>
        <v>75</v>
      </c>
      <c r="H417" s="37">
        <f>'הזנת נתונים'!G66</f>
        <v>87.6666666666667</v>
      </c>
      <c r="I417" s="37">
        <f>'הזנת נתונים'!H66</f>
        <v>98.6666666666667</v>
      </c>
      <c r="J417" s="37">
        <f>'הזנת נתונים'!I66</f>
        <v>109.666666666667</v>
      </c>
      <c r="K417" s="37">
        <f>'הזנת נתונים'!J66</f>
        <v>120.666666666667</v>
      </c>
      <c r="L417" s="37">
        <f>'הזנת נתונים'!K66</f>
        <v>131.666666666667</v>
      </c>
      <c r="M417" s="37">
        <f>'הזנת נתונים'!L66</f>
        <v>142.666666666667</v>
      </c>
      <c r="N417" s="37">
        <f>'הזנת נתונים'!M66</f>
        <v>153.666666666667</v>
      </c>
      <c r="O417" s="37">
        <f>'הזנת נתונים'!N66</f>
        <v>164.666666666667</v>
      </c>
      <c r="P417" s="37">
        <f>'הזנת נתונים'!O66</f>
        <v>175.666666666667</v>
      </c>
      <c r="Q417" s="37">
        <f>'הזנת נתונים'!P66</f>
        <v>186.666666666667</v>
      </c>
      <c r="R417" s="37">
        <f>'הזנת נתונים'!Q66</f>
        <v>197.666666666667</v>
      </c>
      <c r="S417" s="37">
        <f>'הזנת נתונים'!R66</f>
        <v>208.666666666667</v>
      </c>
      <c r="T417" s="37">
        <f>'הזנת נתונים'!S66</f>
        <v>219.666666666667</v>
      </c>
      <c r="U417" s="37">
        <f>'הזנת נתונים'!T66</f>
        <v>230.666666666667</v>
      </c>
      <c r="V417" s="37">
        <f>'הזנת נתונים'!U66</f>
        <v>241.666666666667</v>
      </c>
      <c r="W417" s="37">
        <f>'הזנת נתונים'!V66</f>
        <v>252.666666666667</v>
      </c>
      <c r="X417" s="37">
        <f>'הזנת נתונים'!W66</f>
        <v>263.66666666666703</v>
      </c>
      <c r="Y417" s="37">
        <f>'הזנת נתונים'!X66</f>
        <v>274.66666666666703</v>
      </c>
      <c r="Z417" s="37">
        <f>'הזנת נתונים'!Y66</f>
        <v>285.66666666666799</v>
      </c>
      <c r="AA417" s="37">
        <f>'הזנת נתונים'!Z66</f>
        <v>296.66666666666799</v>
      </c>
      <c r="AB417" s="37">
        <f>'הזנת נתונים'!AA66</f>
        <v>307.66666666666799</v>
      </c>
      <c r="AC417" s="37">
        <f>'הזנת נתונים'!AB66</f>
        <v>318.66666666666799</v>
      </c>
      <c r="AD417" s="37">
        <f>'הזנת נתונים'!AC66</f>
        <v>329.66666666666799</v>
      </c>
      <c r="AE417" s="37">
        <f>'הזנת נתונים'!AD66</f>
        <v>340.66666666666799</v>
      </c>
      <c r="AF417" s="37">
        <f>'הזנת נתונים'!AE66</f>
        <v>351.66666666666799</v>
      </c>
      <c r="AG417" s="37">
        <f>'הזנת נתונים'!AF66</f>
        <v>362.66666666666799</v>
      </c>
      <c r="AH417" s="37">
        <f>'הזנת נתונים'!AG66</f>
        <v>373.66666666666799</v>
      </c>
      <c r="AI417" s="37">
        <f>'הזנת נתונים'!AH66</f>
        <v>384.66666666666799</v>
      </c>
      <c r="AJ417" s="37">
        <f>'הזנת נתונים'!AI66</f>
        <v>395.66666666666799</v>
      </c>
      <c r="AK417" s="37">
        <f>'הזנת נתונים'!AJ66</f>
        <v>406.66666666666799</v>
      </c>
      <c r="AL417" s="37">
        <f>'הזנת נתונים'!AK66</f>
        <v>417.66666666666799</v>
      </c>
      <c r="AM417" s="37">
        <f>'הזנת נתונים'!AL66</f>
        <v>428.66666666666902</v>
      </c>
      <c r="AN417" s="37">
        <f>'הזנת נתונים'!AM66</f>
        <v>439.66666666666902</v>
      </c>
      <c r="AO417" s="37">
        <f>'הזנת נתונים'!AN66</f>
        <v>450.66666666666902</v>
      </c>
      <c r="AP417" s="37">
        <f>'הזנת נתונים'!AO66</f>
        <v>461.66666666666902</v>
      </c>
      <c r="AQ417" s="37">
        <f>'הזנת נתונים'!AP66</f>
        <v>472.66666666666902</v>
      </c>
      <c r="AR417" s="37">
        <f>'הזנת נתונים'!AQ66</f>
        <v>483.66666666666902</v>
      </c>
      <c r="AS417" s="37">
        <f>'הזנת נתונים'!AR66</f>
        <v>494.66666666666902</v>
      </c>
      <c r="AT417" s="37">
        <f>'הזנת נתונים'!AS66</f>
        <v>505.66666666666799</v>
      </c>
      <c r="AU417" s="37">
        <f>'הזנת נתונים'!AT66</f>
        <v>516.66666666666902</v>
      </c>
      <c r="AV417" s="37">
        <f>'הזנת נתונים'!AU66</f>
        <v>527.66666666666902</v>
      </c>
      <c r="AW417" s="37">
        <f>'הזנת נתונים'!AV66</f>
        <v>538.66666666666902</v>
      </c>
      <c r="AX417" s="37">
        <f>'הזנת נתונים'!AW66</f>
        <v>549.66666666666902</v>
      </c>
      <c r="AY417" s="37">
        <f>'הזנת נתונים'!AX66</f>
        <v>560.66666666666902</v>
      </c>
      <c r="AZ417" s="37">
        <f>'הזנת נתונים'!AY66</f>
        <v>571.66666666666902</v>
      </c>
      <c r="BA417" s="37">
        <f>'הזנת נתונים'!AZ66</f>
        <v>582.66666666666902</v>
      </c>
      <c r="BB417" s="37">
        <f>'הזנת נתונים'!BA66</f>
        <v>593.66666666666902</v>
      </c>
      <c r="BC417" s="37">
        <f>'הזנת נתונים'!BB66</f>
        <v>604.66666666666902</v>
      </c>
      <c r="BD417" s="37">
        <f>'הזנת נתונים'!BC66</f>
        <v>615.66666666666902</v>
      </c>
      <c r="BE417" s="37">
        <f>'הזנת נתונים'!BD66</f>
        <v>626.66666666666902</v>
      </c>
      <c r="BF417" s="37">
        <f>'הזנת נתונים'!BE66</f>
        <v>637.66666666666902</v>
      </c>
      <c r="BG417" s="37">
        <f>'הזנת נתונים'!BF66</f>
        <v>648.66666666666902</v>
      </c>
      <c r="BH417" s="37">
        <f>'הזנת נתונים'!BG66</f>
        <v>659.66666666666902</v>
      </c>
      <c r="BI417" s="37">
        <f>'הזנת נתונים'!BH66</f>
        <v>670.66666666666902</v>
      </c>
    </row>
    <row r="418" spans="1:61" x14ac:dyDescent="0.25">
      <c r="A418" s="13" t="s">
        <v>2</v>
      </c>
      <c r="B418" t="e">
        <v>#N/A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  <c r="H418" t="e">
        <v>#N/A</v>
      </c>
      <c r="I418" t="e">
        <v>#N/A</v>
      </c>
      <c r="J418" t="e">
        <v>#N/A</v>
      </c>
      <c r="K418" t="e">
        <v>#N/A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 t="e">
        <v>#N/A</v>
      </c>
      <c r="W418" t="e">
        <v>#N/A</v>
      </c>
      <c r="X418" t="e">
        <v>#N/A</v>
      </c>
      <c r="Y418" t="e">
        <v>#N/A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>
        <f t="shared" ref="AE418:BI418" si="1259">AVERAGE(B417:AE417)</f>
        <v>181.43333333333376</v>
      </c>
      <c r="AF418">
        <f t="shared" si="1259"/>
        <v>192.22222222222268</v>
      </c>
      <c r="AG418">
        <f t="shared" si="1259"/>
        <v>203.14444444444496</v>
      </c>
      <c r="AH418">
        <f t="shared" si="1259"/>
        <v>214.26666666666722</v>
      </c>
      <c r="AI418">
        <f t="shared" si="1259"/>
        <v>225.25555555555613</v>
      </c>
      <c r="AJ418">
        <f t="shared" si="1259"/>
        <v>236.11111111111174</v>
      </c>
      <c r="AK418">
        <f t="shared" si="1259"/>
        <v>247.16666666666734</v>
      </c>
      <c r="AL418">
        <f t="shared" si="1259"/>
        <v>258.16666666666737</v>
      </c>
      <c r="AM418">
        <f t="shared" si="1259"/>
        <v>269.16666666666748</v>
      </c>
      <c r="AN418">
        <f t="shared" si="1259"/>
        <v>280.16666666666754</v>
      </c>
      <c r="AO418">
        <f t="shared" si="1259"/>
        <v>291.16666666666765</v>
      </c>
      <c r="AP418">
        <f t="shared" si="1259"/>
        <v>302.16666666666771</v>
      </c>
      <c r="AQ418">
        <f t="shared" si="1259"/>
        <v>313.16666666666777</v>
      </c>
      <c r="AR418">
        <f t="shared" si="1259"/>
        <v>324.16666666666788</v>
      </c>
      <c r="AS418">
        <f t="shared" si="1259"/>
        <v>335.16666666666794</v>
      </c>
      <c r="AT418">
        <f t="shared" si="1259"/>
        <v>346.16666666666794</v>
      </c>
      <c r="AU418">
        <f t="shared" si="1259"/>
        <v>357.16666666666805</v>
      </c>
      <c r="AV418">
        <f t="shared" si="1259"/>
        <v>368.16666666666811</v>
      </c>
      <c r="AW418">
        <f t="shared" si="1259"/>
        <v>379.16666666666816</v>
      </c>
      <c r="AX418">
        <f t="shared" si="1259"/>
        <v>390.16666666666822</v>
      </c>
      <c r="AY418">
        <f t="shared" si="1259"/>
        <v>401.16666666666839</v>
      </c>
      <c r="AZ418">
        <f t="shared" si="1259"/>
        <v>412.16666666666845</v>
      </c>
      <c r="BA418">
        <f t="shared" si="1259"/>
        <v>423.1666666666685</v>
      </c>
      <c r="BB418">
        <f t="shared" si="1259"/>
        <v>434.16666666666862</v>
      </c>
      <c r="BC418">
        <f t="shared" si="1259"/>
        <v>445.16666666666868</v>
      </c>
      <c r="BD418">
        <f t="shared" si="1259"/>
        <v>456.16666666666873</v>
      </c>
      <c r="BE418">
        <f t="shared" si="1259"/>
        <v>467.16666666666879</v>
      </c>
      <c r="BF418">
        <f t="shared" si="1259"/>
        <v>478.16666666666879</v>
      </c>
      <c r="BG418">
        <f t="shared" si="1259"/>
        <v>489.16666666666885</v>
      </c>
      <c r="BH418">
        <f t="shared" si="1259"/>
        <v>500.1666666666689</v>
      </c>
      <c r="BI418">
        <f t="shared" si="1259"/>
        <v>511.1666666666689</v>
      </c>
    </row>
    <row r="419" spans="1:61" x14ac:dyDescent="0.25">
      <c r="A419" s="13" t="s">
        <v>9</v>
      </c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>
        <f t="shared" ref="AF419:BI419" si="1260">AE418</f>
        <v>181.43333333333376</v>
      </c>
      <c r="AG419" s="7">
        <f t="shared" si="1260"/>
        <v>192.22222222222268</v>
      </c>
      <c r="AH419" s="7">
        <f t="shared" si="1260"/>
        <v>203.14444444444496</v>
      </c>
      <c r="AI419" s="7">
        <f t="shared" si="1260"/>
        <v>214.26666666666722</v>
      </c>
      <c r="AJ419" s="7">
        <f t="shared" si="1260"/>
        <v>225.25555555555613</v>
      </c>
      <c r="AK419" s="7">
        <f t="shared" si="1260"/>
        <v>236.11111111111174</v>
      </c>
      <c r="AL419" s="7">
        <f t="shared" si="1260"/>
        <v>247.16666666666734</v>
      </c>
      <c r="AM419" s="7">
        <f t="shared" si="1260"/>
        <v>258.16666666666737</v>
      </c>
      <c r="AN419" s="7">
        <f t="shared" si="1260"/>
        <v>269.16666666666748</v>
      </c>
      <c r="AO419" s="7">
        <f t="shared" si="1260"/>
        <v>280.16666666666754</v>
      </c>
      <c r="AP419" s="7">
        <f t="shared" si="1260"/>
        <v>291.16666666666765</v>
      </c>
      <c r="AQ419" s="7">
        <f t="shared" si="1260"/>
        <v>302.16666666666771</v>
      </c>
      <c r="AR419" s="7">
        <f t="shared" si="1260"/>
        <v>313.16666666666777</v>
      </c>
      <c r="AS419" s="7">
        <f t="shared" si="1260"/>
        <v>324.16666666666788</v>
      </c>
      <c r="AT419" s="7">
        <f t="shared" si="1260"/>
        <v>335.16666666666794</v>
      </c>
      <c r="AU419" s="7">
        <f t="shared" si="1260"/>
        <v>346.16666666666794</v>
      </c>
      <c r="AV419" s="7">
        <f t="shared" si="1260"/>
        <v>357.16666666666805</v>
      </c>
      <c r="AW419" s="7">
        <f t="shared" si="1260"/>
        <v>368.16666666666811</v>
      </c>
      <c r="AX419" s="7">
        <f t="shared" si="1260"/>
        <v>379.16666666666816</v>
      </c>
      <c r="AY419" s="7">
        <f t="shared" si="1260"/>
        <v>390.16666666666822</v>
      </c>
      <c r="AZ419" s="7">
        <f t="shared" si="1260"/>
        <v>401.16666666666839</v>
      </c>
      <c r="BA419" s="7">
        <f t="shared" si="1260"/>
        <v>412.16666666666845</v>
      </c>
      <c r="BB419" s="7">
        <f t="shared" si="1260"/>
        <v>423.1666666666685</v>
      </c>
      <c r="BC419" s="7">
        <f t="shared" si="1260"/>
        <v>434.16666666666862</v>
      </c>
      <c r="BD419" s="7">
        <f t="shared" si="1260"/>
        <v>445.16666666666868</v>
      </c>
      <c r="BE419" s="7">
        <f t="shared" si="1260"/>
        <v>456.16666666666873</v>
      </c>
      <c r="BF419" s="7">
        <f t="shared" si="1260"/>
        <v>467.16666666666879</v>
      </c>
      <c r="BG419" s="7">
        <f t="shared" si="1260"/>
        <v>478.16666666666879</v>
      </c>
      <c r="BH419" s="7">
        <f t="shared" si="1260"/>
        <v>489.16666666666885</v>
      </c>
      <c r="BI419" s="7">
        <f t="shared" si="1260"/>
        <v>500.1666666666689</v>
      </c>
    </row>
    <row r="420" spans="1:61" x14ac:dyDescent="0.25">
      <c r="A420" s="13" t="s">
        <v>4</v>
      </c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>
        <f t="shared" ref="AF420" si="1261">AF419-AF417</f>
        <v>-170.23333333333423</v>
      </c>
      <c r="AG420" s="7">
        <f t="shared" ref="AG420" si="1262">AG419-AG417</f>
        <v>-170.44444444444531</v>
      </c>
      <c r="AH420" s="7">
        <f t="shared" ref="AH420" si="1263">AH419-AH417</f>
        <v>-170.52222222222304</v>
      </c>
      <c r="AI420" s="7">
        <f t="shared" ref="AI420" si="1264">AI419-AI417</f>
        <v>-170.40000000000077</v>
      </c>
      <c r="AJ420" s="7">
        <f t="shared" ref="AJ420" si="1265">AJ419-AJ417</f>
        <v>-170.41111111111186</v>
      </c>
      <c r="AK420" s="7">
        <f t="shared" ref="AK420" si="1266">AK419-AK417</f>
        <v>-170.55555555555625</v>
      </c>
      <c r="AL420" s="7">
        <f t="shared" ref="AL420" si="1267">AL419-AL417</f>
        <v>-170.50000000000065</v>
      </c>
      <c r="AM420" s="7">
        <f t="shared" ref="AM420" si="1268">AM419-AM417</f>
        <v>-170.50000000000165</v>
      </c>
      <c r="AN420" s="7">
        <f t="shared" ref="AN420" si="1269">AN419-AN417</f>
        <v>-170.50000000000153</v>
      </c>
      <c r="AO420" s="7">
        <f t="shared" ref="AO420" si="1270">AO419-AO417</f>
        <v>-170.50000000000148</v>
      </c>
      <c r="AP420" s="7">
        <f t="shared" ref="AP420" si="1271">AP419-AP417</f>
        <v>-170.50000000000136</v>
      </c>
      <c r="AQ420" s="7">
        <f t="shared" ref="AQ420" si="1272">AQ419-AQ417</f>
        <v>-170.50000000000131</v>
      </c>
      <c r="AR420" s="7">
        <f t="shared" ref="AR420" si="1273">AR419-AR417</f>
        <v>-170.50000000000125</v>
      </c>
      <c r="AS420" s="7">
        <f t="shared" ref="AS420" si="1274">AS419-AS417</f>
        <v>-170.50000000000114</v>
      </c>
      <c r="AT420" s="7">
        <f t="shared" ref="AT420" si="1275">AT419-AT417</f>
        <v>-170.50000000000006</v>
      </c>
      <c r="AU420" s="7">
        <f t="shared" ref="AU420" si="1276">AU419-AU417</f>
        <v>-170.50000000000108</v>
      </c>
      <c r="AV420" s="7">
        <f t="shared" ref="AV420" si="1277">AV419-AV417</f>
        <v>-170.50000000000097</v>
      </c>
      <c r="AW420" s="7">
        <f t="shared" ref="AW420" si="1278">AW419-AW417</f>
        <v>-170.50000000000091</v>
      </c>
      <c r="AX420" s="7">
        <f t="shared" ref="AX420" si="1279">AX419-AX417</f>
        <v>-170.50000000000085</v>
      </c>
      <c r="AY420" s="7">
        <f t="shared" ref="AY420" si="1280">AY419-AY417</f>
        <v>-170.5000000000008</v>
      </c>
      <c r="AZ420" s="7">
        <f t="shared" ref="AZ420" si="1281">AZ419-AZ417</f>
        <v>-170.50000000000063</v>
      </c>
      <c r="BA420" s="7">
        <f t="shared" ref="BA420" si="1282">BA419-BA417</f>
        <v>-170.50000000000057</v>
      </c>
      <c r="BB420" s="7">
        <f t="shared" ref="BB420" si="1283">BB419-BB417</f>
        <v>-170.50000000000051</v>
      </c>
      <c r="BC420" s="7">
        <f t="shared" ref="BC420" si="1284">BC419-BC417</f>
        <v>-170.5000000000004</v>
      </c>
      <c r="BD420" s="7">
        <f t="shared" ref="BD420" si="1285">BD419-BD417</f>
        <v>-170.50000000000034</v>
      </c>
      <c r="BE420" s="7">
        <f t="shared" ref="BE420" si="1286">BE419-BE417</f>
        <v>-170.50000000000028</v>
      </c>
      <c r="BF420" s="7">
        <f t="shared" ref="BF420" si="1287">BF419-BF417</f>
        <v>-170.50000000000023</v>
      </c>
      <c r="BG420" s="7">
        <f t="shared" ref="BG420" si="1288">BG419-BG417</f>
        <v>-170.50000000000023</v>
      </c>
      <c r="BH420" s="7">
        <f t="shared" ref="BH420" si="1289">BH419-BH417</f>
        <v>-170.50000000000017</v>
      </c>
      <c r="BI420" s="7">
        <f t="shared" ref="BI420" si="1290">BI419-BI417</f>
        <v>-170.50000000000011</v>
      </c>
    </row>
    <row r="421" spans="1:61" x14ac:dyDescent="0.25">
      <c r="A421" s="13" t="s">
        <v>12</v>
      </c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>
        <f t="shared" ref="AF421" si="1291">AF420^2</f>
        <v>28979.387777778084</v>
      </c>
      <c r="AG421" s="7">
        <f t="shared" ref="AG421" si="1292">AG420^2</f>
        <v>29051.308641975604</v>
      </c>
      <c r="AH421" s="7">
        <f t="shared" ref="AH421" si="1293">AH420^2</f>
        <v>29077.828271605216</v>
      </c>
      <c r="AI421" s="7">
        <f t="shared" ref="AI421" si="1294">AI420^2</f>
        <v>29036.160000000262</v>
      </c>
      <c r="AJ421" s="7">
        <f t="shared" ref="AJ421" si="1295">AJ420^2</f>
        <v>29039.946790123715</v>
      </c>
      <c r="AK421" s="7">
        <f t="shared" ref="AK421" si="1296">AK420^2</f>
        <v>29089.197530864436</v>
      </c>
      <c r="AL421" s="7">
        <f t="shared" ref="AL421" si="1297">AL420^2</f>
        <v>29070.250000000222</v>
      </c>
      <c r="AM421" s="7">
        <f t="shared" ref="AM421" si="1298">AM420^2</f>
        <v>29070.250000000564</v>
      </c>
      <c r="AN421" s="7">
        <f t="shared" ref="AN421" si="1299">AN420^2</f>
        <v>29070.250000000524</v>
      </c>
      <c r="AO421" s="7">
        <f t="shared" ref="AO421" si="1300">AO420^2</f>
        <v>29070.250000000506</v>
      </c>
      <c r="AP421" s="7">
        <f t="shared" ref="AP421" si="1301">AP420^2</f>
        <v>29070.250000000466</v>
      </c>
      <c r="AQ421" s="7">
        <f t="shared" ref="AQ421" si="1302">AQ420^2</f>
        <v>29070.250000000447</v>
      </c>
      <c r="AR421" s="7">
        <f t="shared" ref="AR421" si="1303">AR420^2</f>
        <v>29070.250000000426</v>
      </c>
      <c r="AS421" s="7">
        <f t="shared" ref="AS421" si="1304">AS420^2</f>
        <v>29070.250000000389</v>
      </c>
      <c r="AT421" s="7">
        <f t="shared" ref="AT421" si="1305">AT420^2</f>
        <v>29070.250000000018</v>
      </c>
      <c r="AU421" s="7">
        <f t="shared" ref="AU421" si="1306">AU420^2</f>
        <v>29070.250000000367</v>
      </c>
      <c r="AV421" s="7">
        <f t="shared" ref="AV421" si="1307">AV420^2</f>
        <v>29070.250000000331</v>
      </c>
      <c r="AW421" s="7">
        <f t="shared" ref="AW421" si="1308">AW420^2</f>
        <v>29070.250000000309</v>
      </c>
      <c r="AX421" s="7">
        <f t="shared" ref="AX421" si="1309">AX420^2</f>
        <v>29070.250000000291</v>
      </c>
      <c r="AY421" s="7">
        <f t="shared" ref="AY421" si="1310">AY420^2</f>
        <v>29070.250000000273</v>
      </c>
      <c r="AZ421" s="7">
        <f t="shared" ref="AZ421" si="1311">AZ420^2</f>
        <v>29070.250000000215</v>
      </c>
      <c r="BA421" s="7">
        <f t="shared" ref="BA421" si="1312">BA420^2</f>
        <v>29070.250000000193</v>
      </c>
      <c r="BB421" s="7">
        <f t="shared" ref="BB421" si="1313">BB420^2</f>
        <v>29070.250000000175</v>
      </c>
      <c r="BC421" s="7">
        <f t="shared" ref="BC421" si="1314">BC420^2</f>
        <v>29070.250000000135</v>
      </c>
      <c r="BD421" s="7">
        <f t="shared" ref="BD421" si="1315">BD420^2</f>
        <v>29070.250000000116</v>
      </c>
      <c r="BE421" s="7">
        <f t="shared" ref="BE421" si="1316">BE420^2</f>
        <v>29070.250000000098</v>
      </c>
      <c r="BF421" s="7">
        <f t="shared" ref="BF421" si="1317">BF420^2</f>
        <v>29070.250000000076</v>
      </c>
      <c r="BG421" s="7">
        <f t="shared" ref="BG421" si="1318">BG420^2</f>
        <v>29070.250000000076</v>
      </c>
      <c r="BH421" s="7">
        <f t="shared" ref="BH421" si="1319">BH420^2</f>
        <v>29070.250000000058</v>
      </c>
      <c r="BI421" s="7">
        <f t="shared" ref="BI421" si="1320">BI420^2</f>
        <v>29070.25000000004</v>
      </c>
    </row>
    <row r="422" spans="1:61" x14ac:dyDescent="0.25">
      <c r="A422" s="38" t="s">
        <v>11</v>
      </c>
      <c r="B422" s="38">
        <v>30</v>
      </c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 t="s">
        <v>5</v>
      </c>
      <c r="B423" s="8">
        <f>AVERAGE(G421:BI421)</f>
        <v>29065.327633745121</v>
      </c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7" t="s">
        <v>7</v>
      </c>
      <c r="B424" s="7">
        <f>$BI$418</f>
        <v>511.1666666666689</v>
      </c>
    </row>
    <row r="425" spans="1:61" x14ac:dyDescent="0.25">
      <c r="A425" s="31" t="s">
        <v>6</v>
      </c>
      <c r="B425" s="7" t="s">
        <v>62</v>
      </c>
      <c r="C425" s="7">
        <v>61</v>
      </c>
      <c r="D425" s="7">
        <v>62</v>
      </c>
      <c r="E425" s="7">
        <v>63</v>
      </c>
      <c r="F425" s="7">
        <v>64</v>
      </c>
      <c r="G425" s="7">
        <v>65</v>
      </c>
      <c r="H425" s="7">
        <v>66</v>
      </c>
      <c r="I425" s="7">
        <v>67</v>
      </c>
      <c r="J425" s="7">
        <v>68</v>
      </c>
      <c r="K425" s="7">
        <v>69</v>
      </c>
      <c r="L425" s="7">
        <v>70</v>
      </c>
      <c r="M425" s="7">
        <v>71</v>
      </c>
      <c r="N425" s="7">
        <v>72</v>
      </c>
    </row>
    <row r="426" spans="1:61" x14ac:dyDescent="0.25">
      <c r="C426" s="7">
        <f>$B$424</f>
        <v>511.1666666666689</v>
      </c>
      <c r="D426" s="7">
        <f t="shared" ref="D426:N426" si="1321">$B$424</f>
        <v>511.1666666666689</v>
      </c>
      <c r="E426" s="7">
        <f t="shared" si="1321"/>
        <v>511.1666666666689</v>
      </c>
      <c r="F426" s="7">
        <f t="shared" si="1321"/>
        <v>511.1666666666689</v>
      </c>
      <c r="G426" s="7">
        <f t="shared" si="1321"/>
        <v>511.1666666666689</v>
      </c>
      <c r="H426" s="7">
        <f t="shared" si="1321"/>
        <v>511.1666666666689</v>
      </c>
      <c r="I426" s="7">
        <f t="shared" si="1321"/>
        <v>511.1666666666689</v>
      </c>
      <c r="J426" s="7">
        <f t="shared" si="1321"/>
        <v>511.1666666666689</v>
      </c>
      <c r="K426" s="7">
        <f t="shared" si="1321"/>
        <v>511.1666666666689</v>
      </c>
      <c r="L426" s="7">
        <f t="shared" si="1321"/>
        <v>511.1666666666689</v>
      </c>
      <c r="M426" s="7">
        <f t="shared" si="1321"/>
        <v>511.1666666666689</v>
      </c>
      <c r="N426" s="7">
        <f t="shared" si="1321"/>
        <v>511.1666666666689</v>
      </c>
    </row>
    <row r="432" spans="1:61" x14ac:dyDescent="0.25">
      <c r="E432" s="63" t="s">
        <v>22</v>
      </c>
      <c r="F432" s="63" t="s">
        <v>115</v>
      </c>
      <c r="G432" s="65" t="s">
        <v>6</v>
      </c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7"/>
    </row>
    <row r="433" spans="5:18" x14ac:dyDescent="0.25">
      <c r="E433" s="64"/>
      <c r="F433" s="64"/>
      <c r="G433" s="54">
        <v>1</v>
      </c>
      <c r="H433" s="54">
        <v>2</v>
      </c>
      <c r="I433" s="54">
        <v>3</v>
      </c>
      <c r="J433" s="54">
        <v>4</v>
      </c>
      <c r="K433" s="54">
        <v>5</v>
      </c>
      <c r="L433" s="54">
        <v>6</v>
      </c>
      <c r="M433" s="54">
        <v>7</v>
      </c>
      <c r="N433" s="54">
        <v>8</v>
      </c>
      <c r="O433" s="54">
        <v>9</v>
      </c>
      <c r="P433" s="54">
        <v>10</v>
      </c>
      <c r="Q433" s="54">
        <v>11</v>
      </c>
      <c r="R433" s="54">
        <v>12</v>
      </c>
    </row>
    <row r="434" spans="5:18" x14ac:dyDescent="0.25">
      <c r="E434" s="1">
        <f>B22</f>
        <v>271.18055555555753</v>
      </c>
      <c r="F434" s="1">
        <v>2</v>
      </c>
      <c r="G434" s="1">
        <f>$B$23</f>
        <v>665.16666666666902</v>
      </c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</row>
    <row r="435" spans="5:18" x14ac:dyDescent="0.25">
      <c r="E435" s="1">
        <f>B37</f>
        <v>484.52025124540103</v>
      </c>
      <c r="F435" s="1">
        <v>3</v>
      </c>
      <c r="G435" s="1">
        <f>$B$38</f>
        <v>659.66666666666902</v>
      </c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</row>
    <row r="436" spans="5:18" x14ac:dyDescent="0.25">
      <c r="E436" s="1">
        <f>B51</f>
        <v>756.21651785714846</v>
      </c>
      <c r="F436" s="1">
        <v>4</v>
      </c>
      <c r="G436" s="1">
        <f>$B$52</f>
        <v>654.16666666666902</v>
      </c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</row>
    <row r="437" spans="5:18" x14ac:dyDescent="0.25">
      <c r="E437" s="1">
        <f>B8</f>
        <v>1083.7317171717254</v>
      </c>
      <c r="F437" s="1">
        <v>5</v>
      </c>
      <c r="G437" s="1">
        <f>$B$9</f>
        <v>648.66666666666902</v>
      </c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</row>
    <row r="438" spans="5:18" x14ac:dyDescent="0.25">
      <c r="E438" s="1">
        <f>B66</f>
        <v>1479.2047896662252</v>
      </c>
      <c r="F438" s="1">
        <v>6</v>
      </c>
      <c r="G438" s="1">
        <f>$B$67</f>
        <v>643.1666666666689</v>
      </c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</row>
    <row r="439" spans="5:18" x14ac:dyDescent="0.25">
      <c r="E439" s="1">
        <f>B81</f>
        <v>1932.949599965792</v>
      </c>
      <c r="F439" s="1">
        <v>7</v>
      </c>
      <c r="G439" s="1">
        <f>$B$82</f>
        <v>637.6666666666689</v>
      </c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</row>
    <row r="440" spans="5:18" x14ac:dyDescent="0.25">
      <c r="E440" s="1">
        <f>B96</f>
        <v>2447.1821247329322</v>
      </c>
      <c r="F440" s="1">
        <v>8</v>
      </c>
      <c r="G440" s="1">
        <f>$B$97</f>
        <v>632.1666666666689</v>
      </c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</row>
    <row r="441" spans="5:18" x14ac:dyDescent="0.25">
      <c r="E441" s="1">
        <f>B110</f>
        <v>3021.905376691172</v>
      </c>
      <c r="F441" s="1">
        <v>9</v>
      </c>
      <c r="G441" s="1">
        <f>$B$111</f>
        <v>626.6666666666689</v>
      </c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</row>
    <row r="442" spans="5:18" x14ac:dyDescent="0.25">
      <c r="E442" s="1">
        <f>B125</f>
        <v>3657.1212222222571</v>
      </c>
      <c r="F442" s="1">
        <v>10</v>
      </c>
      <c r="G442" s="1">
        <f>$B$126</f>
        <v>621.1666666666689</v>
      </c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</row>
    <row r="443" spans="5:18" x14ac:dyDescent="0.25">
      <c r="E443" s="1">
        <f>B141</f>
        <v>4352.8308502464761</v>
      </c>
      <c r="F443" s="1">
        <v>11</v>
      </c>
      <c r="G443" s="1">
        <f>$B$142</f>
        <v>615.6666666666689</v>
      </c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</row>
    <row r="444" spans="5:18" x14ac:dyDescent="0.25">
      <c r="E444" s="1">
        <f>B156</f>
        <v>5109.0350276492272</v>
      </c>
      <c r="F444" s="1">
        <v>12</v>
      </c>
      <c r="G444" s="1">
        <f>$B$157</f>
        <v>610.1666666666689</v>
      </c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</row>
    <row r="445" spans="5:18" x14ac:dyDescent="0.25">
      <c r="E445" s="1">
        <f>B170</f>
        <v>5925.7342453873307</v>
      </c>
      <c r="F445" s="1">
        <v>13</v>
      </c>
      <c r="G445" s="1">
        <f>$B$171</f>
        <v>604.6666666666689</v>
      </c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</row>
    <row r="446" spans="5:18" x14ac:dyDescent="0.25">
      <c r="E446" s="1">
        <f>B185</f>
        <v>6802.9288055802745</v>
      </c>
      <c r="F446" s="1">
        <v>14</v>
      </c>
      <c r="G446" s="1">
        <f>$B$186</f>
        <v>599.1666666666689</v>
      </c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</row>
    <row r="447" spans="5:18" x14ac:dyDescent="0.25">
      <c r="E447" s="1">
        <f>B201</f>
        <v>7740.6188751715426</v>
      </c>
      <c r="F447" s="1">
        <v>15</v>
      </c>
      <c r="G447" s="1">
        <f>$B$202</f>
        <v>593.66666666666902</v>
      </c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</row>
    <row r="448" spans="5:18" x14ac:dyDescent="0.25">
      <c r="E448" s="1">
        <f>B216</f>
        <v>8738.8045198075379</v>
      </c>
      <c r="F448" s="1">
        <v>16</v>
      </c>
      <c r="G448" s="1">
        <f>$B$217</f>
        <v>588.1666666666689</v>
      </c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</row>
    <row r="449" spans="5:18" x14ac:dyDescent="0.25">
      <c r="E449" s="1">
        <f>B230</f>
        <v>9797.4857255260613</v>
      </c>
      <c r="F449" s="1">
        <v>17</v>
      </c>
      <c r="G449" s="1">
        <f>$B$231</f>
        <v>582.6666666666689</v>
      </c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</row>
    <row r="450" spans="5:18" x14ac:dyDescent="0.25">
      <c r="E450" s="1">
        <f>B245</f>
        <v>10916.662412633197</v>
      </c>
      <c r="F450" s="1">
        <v>18</v>
      </c>
      <c r="G450" s="1">
        <f>$B$246</f>
        <v>577.16666666666902</v>
      </c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</row>
    <row r="451" spans="5:18" x14ac:dyDescent="0.25">
      <c r="E451" s="1">
        <f>B260</f>
        <v>12096.334444369497</v>
      </c>
      <c r="F451" s="1">
        <v>19</v>
      </c>
      <c r="G451" s="1">
        <f>$B$261</f>
        <v>571.66666666666902</v>
      </c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</row>
    <row r="452" spans="5:18" x14ac:dyDescent="0.25">
      <c r="E452" s="1">
        <f>B275</f>
        <v>13336.501631944575</v>
      </c>
      <c r="F452" s="1">
        <v>20</v>
      </c>
      <c r="G452" s="1">
        <f>$B$276</f>
        <v>566.16666666666902</v>
      </c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</row>
    <row r="453" spans="5:18" x14ac:dyDescent="0.25">
      <c r="E453" s="1">
        <f>B289</f>
        <v>14637.163736909915</v>
      </c>
      <c r="F453" s="1">
        <v>21</v>
      </c>
      <c r="G453" s="1">
        <f>$B$290</f>
        <v>560.66666666666902</v>
      </c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</row>
    <row r="454" spans="5:18" x14ac:dyDescent="0.25">
      <c r="E454" s="1">
        <f>B304</f>
        <v>15998.320471461177</v>
      </c>
      <c r="F454" s="1">
        <v>22</v>
      </c>
      <c r="G454" s="1">
        <f>$B$305</f>
        <v>555.16666666666902</v>
      </c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</row>
    <row r="455" spans="5:18" x14ac:dyDescent="0.25">
      <c r="E455" s="1">
        <f>B320</f>
        <v>17419.971497017039</v>
      </c>
      <c r="F455" s="1">
        <v>23</v>
      </c>
      <c r="G455" s="1">
        <f>$B$321</f>
        <v>549.66666666666902</v>
      </c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</row>
    <row r="456" spans="5:18" x14ac:dyDescent="0.25">
      <c r="E456" s="1">
        <f>B335</f>
        <v>18902.116421253621</v>
      </c>
      <c r="F456" s="1">
        <v>24</v>
      </c>
      <c r="G456" s="1">
        <f>$B$336</f>
        <v>544.16666666666902</v>
      </c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</row>
    <row r="457" spans="5:18" x14ac:dyDescent="0.25">
      <c r="E457" s="1">
        <f>B349</f>
        <v>20444.754793650995</v>
      </c>
      <c r="F457" s="1">
        <v>25</v>
      </c>
      <c r="G457" s="1">
        <f>$B$350</f>
        <v>538.66666666666902</v>
      </c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</row>
    <row r="458" spans="5:18" x14ac:dyDescent="0.25">
      <c r="E458" s="1">
        <f>B364</f>
        <v>22047.886099509051</v>
      </c>
      <c r="F458" s="1">
        <v>26</v>
      </c>
      <c r="G458" s="1">
        <f>$B$365</f>
        <v>533.16666666666902</v>
      </c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</row>
    <row r="459" spans="5:18" x14ac:dyDescent="0.25">
      <c r="E459" s="1">
        <f>B379</f>
        <v>23711.50975230147</v>
      </c>
      <c r="F459" s="1">
        <v>27</v>
      </c>
      <c r="G459" s="1">
        <f>$B$380</f>
        <v>527.6666666666689</v>
      </c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</row>
    <row r="460" spans="5:18" x14ac:dyDescent="0.25">
      <c r="E460" s="1">
        <f>B394</f>
        <v>25435.625084148483</v>
      </c>
      <c r="F460" s="1">
        <v>28</v>
      </c>
      <c r="G460" s="1">
        <f>$B$395</f>
        <v>522.16666666666902</v>
      </c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</row>
    <row r="461" spans="5:18" x14ac:dyDescent="0.25">
      <c r="E461" s="1">
        <f>B408</f>
        <v>27220.231334092194</v>
      </c>
      <c r="F461" s="1">
        <v>29</v>
      </c>
      <c r="G461" s="1">
        <f>$B$409</f>
        <v>516.6666666666689</v>
      </c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</row>
    <row r="462" spans="5:18" x14ac:dyDescent="0.25">
      <c r="E462" s="1">
        <f>B423</f>
        <v>29065.327633745121</v>
      </c>
      <c r="F462" s="1">
        <v>30</v>
      </c>
      <c r="G462" s="1">
        <f>$B$424</f>
        <v>511.1666666666689</v>
      </c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7CE9-3609-415F-8171-42D755E23148}">
  <sheetPr codeName="גיליון7">
    <tabColor theme="7" tint="0.39997558519241921"/>
  </sheetPr>
  <dimension ref="A1:K65"/>
  <sheetViews>
    <sheetView rightToLeft="1" workbookViewId="0"/>
  </sheetViews>
  <sheetFormatPr defaultRowHeight="13.8" x14ac:dyDescent="0.25"/>
  <sheetData>
    <row r="1" spans="1:11" x14ac:dyDescent="0.25">
      <c r="A1" s="7" t="s">
        <v>24</v>
      </c>
      <c r="B1" s="7">
        <v>0.3</v>
      </c>
    </row>
    <row r="2" spans="1:11" x14ac:dyDescent="0.25">
      <c r="A2" s="7" t="s">
        <v>5</v>
      </c>
      <c r="B2" s="8">
        <f>AVERAGE(F7:F65)</f>
        <v>1246.1750161636237</v>
      </c>
    </row>
    <row r="4" spans="1:11" x14ac:dyDescent="0.25">
      <c r="A4" s="7" t="s">
        <v>1</v>
      </c>
      <c r="B4" s="7" t="s">
        <v>26</v>
      </c>
      <c r="C4" s="7" t="s">
        <v>7</v>
      </c>
      <c r="D4" s="7" t="s">
        <v>3</v>
      </c>
      <c r="E4" s="7" t="s">
        <v>28</v>
      </c>
      <c r="F4" s="7" t="s">
        <v>53</v>
      </c>
    </row>
    <row r="5" spans="1:11" x14ac:dyDescent="0.25">
      <c r="A5" s="7" t="s">
        <v>54</v>
      </c>
      <c r="B5" s="7"/>
      <c r="C5" s="7">
        <f>B6</f>
        <v>28</v>
      </c>
      <c r="D5" s="7"/>
      <c r="E5" s="7"/>
      <c r="F5" s="7"/>
    </row>
    <row r="6" spans="1:11" x14ac:dyDescent="0.25">
      <c r="A6" s="7">
        <v>1</v>
      </c>
      <c r="B6" s="7">
        <f>'הזנת נתונים'!A1</f>
        <v>28</v>
      </c>
      <c r="C6" s="7">
        <f>$B$1*B6+(1-$B$1)*C5</f>
        <v>28</v>
      </c>
      <c r="D6" s="7"/>
      <c r="E6" s="7"/>
      <c r="F6" s="7"/>
      <c r="I6" s="7">
        <f>$C$65</f>
        <v>645.00000002430465</v>
      </c>
      <c r="J6" s="7">
        <v>61</v>
      </c>
      <c r="K6" s="73" t="s">
        <v>6</v>
      </c>
    </row>
    <row r="7" spans="1:11" x14ac:dyDescent="0.25">
      <c r="A7" s="7">
        <v>2</v>
      </c>
      <c r="B7" s="7">
        <f>'הזנת נתונים'!A2</f>
        <v>35</v>
      </c>
      <c r="C7" s="7">
        <f t="shared" ref="C7:C65" si="0">$B$1*B7+(1-$B$1)*C6</f>
        <v>30.099999999999998</v>
      </c>
      <c r="D7" s="7">
        <f>C6</f>
        <v>28</v>
      </c>
      <c r="E7" s="7">
        <f>D7-B7</f>
        <v>-7</v>
      </c>
      <c r="F7" s="7">
        <f>E7^2</f>
        <v>49</v>
      </c>
      <c r="I7" s="7">
        <f t="shared" ref="I7:I17" si="1">$C$65</f>
        <v>645.00000002430465</v>
      </c>
      <c r="J7" s="7">
        <v>62</v>
      </c>
      <c r="K7" s="73"/>
    </row>
    <row r="8" spans="1:11" x14ac:dyDescent="0.25">
      <c r="A8" s="7">
        <v>3</v>
      </c>
      <c r="B8" s="7">
        <f>'הזנת נתונים'!A3</f>
        <v>40</v>
      </c>
      <c r="C8" s="7">
        <f t="shared" si="0"/>
        <v>33.069999999999993</v>
      </c>
      <c r="D8" s="7">
        <f t="shared" ref="D8:D65" si="2">C7</f>
        <v>30.099999999999998</v>
      </c>
      <c r="E8" s="7">
        <f t="shared" ref="E8:E65" si="3">D8-B8</f>
        <v>-9.9000000000000021</v>
      </c>
      <c r="F8" s="7">
        <f t="shared" ref="F8:F65" si="4">E8^2</f>
        <v>98.010000000000048</v>
      </c>
      <c r="I8" s="7">
        <f t="shared" si="1"/>
        <v>645.00000002430465</v>
      </c>
      <c r="J8" s="7">
        <v>63</v>
      </c>
      <c r="K8" s="73"/>
    </row>
    <row r="9" spans="1:11" x14ac:dyDescent="0.25">
      <c r="A9" s="7">
        <v>4</v>
      </c>
      <c r="B9" s="7">
        <f>'הזנת נתונים'!A4</f>
        <v>55</v>
      </c>
      <c r="C9" s="7">
        <f t="shared" si="0"/>
        <v>39.648999999999994</v>
      </c>
      <c r="D9" s="7">
        <f t="shared" si="2"/>
        <v>33.069999999999993</v>
      </c>
      <c r="E9" s="7">
        <f t="shared" si="3"/>
        <v>-21.930000000000007</v>
      </c>
      <c r="F9" s="7">
        <f t="shared" si="4"/>
        <v>480.92490000000032</v>
      </c>
      <c r="I9" s="7">
        <f t="shared" si="1"/>
        <v>645.00000002430465</v>
      </c>
      <c r="J9" s="7">
        <v>64</v>
      </c>
      <c r="K9" s="73"/>
    </row>
    <row r="10" spans="1:11" x14ac:dyDescent="0.25">
      <c r="A10" s="7">
        <v>5</v>
      </c>
      <c r="B10" s="7">
        <f>'הזנת נתונים'!A5</f>
        <v>70</v>
      </c>
      <c r="C10" s="7">
        <f t="shared" si="0"/>
        <v>48.754299999999994</v>
      </c>
      <c r="D10" s="7">
        <f t="shared" si="2"/>
        <v>39.648999999999994</v>
      </c>
      <c r="E10" s="7">
        <f t="shared" si="3"/>
        <v>-30.351000000000006</v>
      </c>
      <c r="F10" s="7">
        <f t="shared" si="4"/>
        <v>921.18320100000039</v>
      </c>
      <c r="I10" s="7">
        <f t="shared" si="1"/>
        <v>645.00000002430465</v>
      </c>
      <c r="J10" s="7">
        <v>65</v>
      </c>
      <c r="K10" s="73"/>
    </row>
    <row r="11" spans="1:11" x14ac:dyDescent="0.25">
      <c r="A11" s="7">
        <v>6</v>
      </c>
      <c r="B11" s="7">
        <f>'הזנת נתונים'!A6</f>
        <v>75</v>
      </c>
      <c r="C11" s="7">
        <f t="shared" si="0"/>
        <v>56.628009999999996</v>
      </c>
      <c r="D11" s="7">
        <f t="shared" si="2"/>
        <v>48.754299999999994</v>
      </c>
      <c r="E11" s="7">
        <f t="shared" si="3"/>
        <v>-26.245700000000006</v>
      </c>
      <c r="F11" s="7">
        <f t="shared" si="4"/>
        <v>688.8367684900004</v>
      </c>
      <c r="I11" s="7">
        <f t="shared" si="1"/>
        <v>645.00000002430465</v>
      </c>
      <c r="J11" s="7">
        <v>66</v>
      </c>
      <c r="K11" s="73"/>
    </row>
    <row r="12" spans="1:11" x14ac:dyDescent="0.25">
      <c r="A12" s="7">
        <v>7</v>
      </c>
      <c r="B12" s="7">
        <f>'הזנת נתונים'!A7</f>
        <v>87.6666666666667</v>
      </c>
      <c r="C12" s="7">
        <f t="shared" si="0"/>
        <v>65.939607000000009</v>
      </c>
      <c r="D12" s="7">
        <f t="shared" si="2"/>
        <v>56.628009999999996</v>
      </c>
      <c r="E12" s="7">
        <f t="shared" si="3"/>
        <v>-31.038656666666704</v>
      </c>
      <c r="F12" s="7">
        <f t="shared" si="4"/>
        <v>963.39820767121341</v>
      </c>
      <c r="I12" s="7">
        <f t="shared" si="1"/>
        <v>645.00000002430465</v>
      </c>
      <c r="J12" s="7">
        <v>67</v>
      </c>
      <c r="K12" s="73"/>
    </row>
    <row r="13" spans="1:11" x14ac:dyDescent="0.25">
      <c r="A13" s="7">
        <v>8</v>
      </c>
      <c r="B13" s="7">
        <f>'הזנת נתונים'!A8</f>
        <v>98.6666666666667</v>
      </c>
      <c r="C13" s="7">
        <f t="shared" si="0"/>
        <v>75.757724900000014</v>
      </c>
      <c r="D13" s="7">
        <f t="shared" si="2"/>
        <v>65.939607000000009</v>
      </c>
      <c r="E13" s="7">
        <f t="shared" si="3"/>
        <v>-32.72705966666669</v>
      </c>
      <c r="F13" s="7">
        <f t="shared" si="4"/>
        <v>1071.0604344255617</v>
      </c>
      <c r="I13" s="7">
        <f t="shared" si="1"/>
        <v>645.00000002430465</v>
      </c>
      <c r="J13" s="7">
        <v>68</v>
      </c>
      <c r="K13" s="73"/>
    </row>
    <row r="14" spans="1:11" x14ac:dyDescent="0.25">
      <c r="A14" s="7">
        <v>9</v>
      </c>
      <c r="B14" s="7">
        <f>'הזנת נתונים'!A9</f>
        <v>109.666666666667</v>
      </c>
      <c r="C14" s="7">
        <f t="shared" si="0"/>
        <v>85.930407430000102</v>
      </c>
      <c r="D14" s="7">
        <f t="shared" si="2"/>
        <v>75.757724900000014</v>
      </c>
      <c r="E14" s="7">
        <f t="shared" si="3"/>
        <v>-33.908941766666985</v>
      </c>
      <c r="F14" s="7">
        <f t="shared" si="4"/>
        <v>1149.8163317352128</v>
      </c>
      <c r="I14" s="7">
        <f t="shared" si="1"/>
        <v>645.00000002430465</v>
      </c>
      <c r="J14" s="7">
        <v>69</v>
      </c>
      <c r="K14" s="73"/>
    </row>
    <row r="15" spans="1:11" x14ac:dyDescent="0.25">
      <c r="A15" s="7">
        <v>10</v>
      </c>
      <c r="B15" s="7">
        <f>'הזנת נתונים'!A10</f>
        <v>120.666666666667</v>
      </c>
      <c r="C15" s="7">
        <f t="shared" si="0"/>
        <v>96.351285201000167</v>
      </c>
      <c r="D15" s="7">
        <f t="shared" si="2"/>
        <v>85.930407430000102</v>
      </c>
      <c r="E15" s="7">
        <f t="shared" si="3"/>
        <v>-34.736259236666896</v>
      </c>
      <c r="F15" s="7">
        <f t="shared" si="4"/>
        <v>1206.6077057569262</v>
      </c>
      <c r="I15" s="7">
        <f t="shared" si="1"/>
        <v>645.00000002430465</v>
      </c>
      <c r="J15" s="7">
        <v>70</v>
      </c>
      <c r="K15" s="73"/>
    </row>
    <row r="16" spans="1:11" x14ac:dyDescent="0.25">
      <c r="A16" s="7">
        <v>11</v>
      </c>
      <c r="B16" s="7">
        <f>'הזנת נתונים'!A11</f>
        <v>131.666666666667</v>
      </c>
      <c r="C16" s="7">
        <f t="shared" si="0"/>
        <v>106.9458996407002</v>
      </c>
      <c r="D16" s="7">
        <f t="shared" si="2"/>
        <v>96.351285201000167</v>
      </c>
      <c r="E16" s="7">
        <f t="shared" si="3"/>
        <v>-35.315381465666832</v>
      </c>
      <c r="F16" s="7">
        <f t="shared" si="4"/>
        <v>1247.1761680655643</v>
      </c>
      <c r="I16" s="7">
        <f t="shared" si="1"/>
        <v>645.00000002430465</v>
      </c>
      <c r="J16" s="7">
        <v>71</v>
      </c>
      <c r="K16" s="73"/>
    </row>
    <row r="17" spans="1:11" x14ac:dyDescent="0.25">
      <c r="A17" s="7">
        <v>12</v>
      </c>
      <c r="B17" s="7">
        <f>'הזנת נתונים'!A12</f>
        <v>142.666666666667</v>
      </c>
      <c r="C17" s="7">
        <f t="shared" si="0"/>
        <v>117.66212974849023</v>
      </c>
      <c r="D17" s="7">
        <f t="shared" si="2"/>
        <v>106.9458996407002</v>
      </c>
      <c r="E17" s="7">
        <f t="shared" si="3"/>
        <v>-35.720767025966794</v>
      </c>
      <c r="F17" s="7">
        <f t="shared" si="4"/>
        <v>1275.9731969233965</v>
      </c>
      <c r="I17" s="7">
        <f t="shared" si="1"/>
        <v>645.00000002430465</v>
      </c>
      <c r="J17" s="7">
        <v>72</v>
      </c>
      <c r="K17" s="73"/>
    </row>
    <row r="18" spans="1:11" x14ac:dyDescent="0.25">
      <c r="A18" s="7">
        <v>13</v>
      </c>
      <c r="B18" s="7">
        <f>'הזנת נתונים'!A13</f>
        <v>153.666666666667</v>
      </c>
      <c r="C18" s="7">
        <f t="shared" si="0"/>
        <v>128.46349082394326</v>
      </c>
      <c r="D18" s="7">
        <f t="shared" si="2"/>
        <v>117.66212974849023</v>
      </c>
      <c r="E18" s="7">
        <f t="shared" si="3"/>
        <v>-36.004536918176768</v>
      </c>
      <c r="F18" s="7">
        <f t="shared" si="4"/>
        <v>1296.3266786923539</v>
      </c>
    </row>
    <row r="19" spans="1:11" x14ac:dyDescent="0.25">
      <c r="A19" s="7">
        <v>14</v>
      </c>
      <c r="B19" s="7">
        <f>'הזנת נתונים'!A14</f>
        <v>164.666666666667</v>
      </c>
      <c r="C19" s="7">
        <f t="shared" si="0"/>
        <v>139.32444357676039</v>
      </c>
      <c r="D19" s="7">
        <f t="shared" si="2"/>
        <v>128.46349082394326</v>
      </c>
      <c r="E19" s="7">
        <f t="shared" si="3"/>
        <v>-36.203175842723738</v>
      </c>
      <c r="F19" s="7">
        <f t="shared" si="4"/>
        <v>1310.6699410991757</v>
      </c>
    </row>
    <row r="20" spans="1:11" x14ac:dyDescent="0.25">
      <c r="A20" s="7">
        <v>15</v>
      </c>
      <c r="B20" s="7">
        <f>'הזנת נתונים'!A15</f>
        <v>175.666666666667</v>
      </c>
      <c r="C20" s="7">
        <f t="shared" si="0"/>
        <v>150.22711050373235</v>
      </c>
      <c r="D20" s="7">
        <f t="shared" si="2"/>
        <v>139.32444357676039</v>
      </c>
      <c r="E20" s="7">
        <f t="shared" si="3"/>
        <v>-36.342223089906611</v>
      </c>
      <c r="F20" s="7">
        <f t="shared" si="4"/>
        <v>1320.7571791165412</v>
      </c>
    </row>
    <row r="21" spans="1:11" x14ac:dyDescent="0.25">
      <c r="A21" s="7">
        <v>16</v>
      </c>
      <c r="B21" s="7">
        <f>'הזנת נתונים'!A16</f>
        <v>186.666666666667</v>
      </c>
      <c r="C21" s="7">
        <f t="shared" si="0"/>
        <v>161.15897735261274</v>
      </c>
      <c r="D21" s="7">
        <f t="shared" si="2"/>
        <v>150.22711050373235</v>
      </c>
      <c r="E21" s="7">
        <f t="shared" si="3"/>
        <v>-36.43955616293465</v>
      </c>
      <c r="F21" s="7">
        <f t="shared" si="4"/>
        <v>1327.8412533516687</v>
      </c>
    </row>
    <row r="22" spans="1:11" x14ac:dyDescent="0.25">
      <c r="A22" s="7">
        <v>17</v>
      </c>
      <c r="B22" s="7">
        <f>'הזנת נתונים'!A17</f>
        <v>197.666666666667</v>
      </c>
      <c r="C22" s="7">
        <f t="shared" si="0"/>
        <v>172.11128414682901</v>
      </c>
      <c r="D22" s="7">
        <f t="shared" si="2"/>
        <v>161.15897735261274</v>
      </c>
      <c r="E22" s="7">
        <f t="shared" si="3"/>
        <v>-36.507689314054261</v>
      </c>
      <c r="F22" s="7">
        <f t="shared" si="4"/>
        <v>1332.8113790515117</v>
      </c>
    </row>
    <row r="23" spans="1:11" x14ac:dyDescent="0.25">
      <c r="A23" s="7">
        <v>18</v>
      </c>
      <c r="B23" s="7">
        <f>'הזנת נתונים'!A18</f>
        <v>208.666666666667</v>
      </c>
      <c r="C23" s="7">
        <f t="shared" si="0"/>
        <v>183.07789890278039</v>
      </c>
      <c r="D23" s="7">
        <f t="shared" si="2"/>
        <v>172.11128414682901</v>
      </c>
      <c r="E23" s="7">
        <f t="shared" si="3"/>
        <v>-36.555382519837991</v>
      </c>
      <c r="F23" s="7">
        <f t="shared" si="4"/>
        <v>1336.2959911716769</v>
      </c>
    </row>
    <row r="24" spans="1:11" x14ac:dyDescent="0.25">
      <c r="A24" s="7">
        <v>19</v>
      </c>
      <c r="B24" s="7">
        <f>'הזנת נתונים'!A19</f>
        <v>219.666666666667</v>
      </c>
      <c r="C24" s="7">
        <f t="shared" si="0"/>
        <v>194.05452923194636</v>
      </c>
      <c r="D24" s="7">
        <f t="shared" si="2"/>
        <v>183.07789890278039</v>
      </c>
      <c r="E24" s="7">
        <f t="shared" si="3"/>
        <v>-36.588767763886608</v>
      </c>
      <c r="F24" s="7">
        <f t="shared" si="4"/>
        <v>1338.7379264796277</v>
      </c>
    </row>
    <row r="25" spans="1:11" x14ac:dyDescent="0.25">
      <c r="A25" s="7">
        <v>20</v>
      </c>
      <c r="B25" s="7">
        <f>'הזנת נתונים'!A20</f>
        <v>230.666666666667</v>
      </c>
      <c r="C25" s="7">
        <f t="shared" si="0"/>
        <v>205.03817046236256</v>
      </c>
      <c r="D25" s="7">
        <f t="shared" si="2"/>
        <v>194.05452923194636</v>
      </c>
      <c r="E25" s="7">
        <f t="shared" si="3"/>
        <v>-36.612137434720637</v>
      </c>
      <c r="F25" s="7">
        <f t="shared" si="4"/>
        <v>1340.4486075388722</v>
      </c>
    </row>
    <row r="26" spans="1:11" x14ac:dyDescent="0.25">
      <c r="A26" s="7">
        <v>21</v>
      </c>
      <c r="B26" s="7">
        <f>'הזנת נתונים'!A21</f>
        <v>241.666666666667</v>
      </c>
      <c r="C26" s="7">
        <f t="shared" si="0"/>
        <v>216.02671932365388</v>
      </c>
      <c r="D26" s="7">
        <f t="shared" si="2"/>
        <v>205.03817046236256</v>
      </c>
      <c r="E26" s="7">
        <f t="shared" si="3"/>
        <v>-36.62849620430444</v>
      </c>
      <c r="F26" s="7">
        <f t="shared" si="4"/>
        <v>1341.6467341887449</v>
      </c>
    </row>
    <row r="27" spans="1:11" x14ac:dyDescent="0.25">
      <c r="A27" s="7">
        <v>22</v>
      </c>
      <c r="B27" s="7">
        <f>'הזנת נתונים'!A22</f>
        <v>252.666666666667</v>
      </c>
      <c r="C27" s="7">
        <f t="shared" si="0"/>
        <v>227.0187035265578</v>
      </c>
      <c r="D27" s="7">
        <f t="shared" si="2"/>
        <v>216.02671932365388</v>
      </c>
      <c r="E27" s="7">
        <f t="shared" si="3"/>
        <v>-36.63994734301312</v>
      </c>
      <c r="F27" s="7">
        <f t="shared" si="4"/>
        <v>1342.4857412987742</v>
      </c>
    </row>
    <row r="28" spans="1:11" x14ac:dyDescent="0.25">
      <c r="A28" s="7">
        <v>23</v>
      </c>
      <c r="B28" s="7">
        <f>'הזנת נתונים'!A23</f>
        <v>263.66666666666703</v>
      </c>
      <c r="C28" s="7">
        <f t="shared" si="0"/>
        <v>238.01309246859057</v>
      </c>
      <c r="D28" s="7">
        <f t="shared" si="2"/>
        <v>227.0187035265578</v>
      </c>
      <c r="E28" s="7">
        <f t="shared" si="3"/>
        <v>-36.647963140109226</v>
      </c>
      <c r="F28" s="7">
        <f t="shared" si="4"/>
        <v>1343.0732023188045</v>
      </c>
    </row>
    <row r="29" spans="1:11" x14ac:dyDescent="0.25">
      <c r="A29" s="7">
        <v>24</v>
      </c>
      <c r="B29" s="7">
        <f>'הזנת נתונים'!A24</f>
        <v>274.66666666666703</v>
      </c>
      <c r="C29" s="7">
        <f t="shared" si="0"/>
        <v>249.0091647280135</v>
      </c>
      <c r="D29" s="7">
        <f t="shared" si="2"/>
        <v>238.01309246859057</v>
      </c>
      <c r="E29" s="7">
        <f t="shared" si="3"/>
        <v>-36.653574198076456</v>
      </c>
      <c r="F29" s="7">
        <f t="shared" si="4"/>
        <v>1343.484501493896</v>
      </c>
    </row>
    <row r="30" spans="1:11" x14ac:dyDescent="0.25">
      <c r="A30" s="7">
        <v>25</v>
      </c>
      <c r="B30" s="7">
        <f>'הזנת נתונים'!A25</f>
        <v>285.66666666666799</v>
      </c>
      <c r="C30" s="7">
        <f t="shared" si="0"/>
        <v>260.00641530960985</v>
      </c>
      <c r="D30" s="7">
        <f t="shared" si="2"/>
        <v>249.0091647280135</v>
      </c>
      <c r="E30" s="7">
        <f t="shared" si="3"/>
        <v>-36.657501938654491</v>
      </c>
      <c r="F30" s="7">
        <f t="shared" si="4"/>
        <v>1343.7724483824577</v>
      </c>
    </row>
    <row r="31" spans="1:11" x14ac:dyDescent="0.25">
      <c r="A31" s="7">
        <v>26</v>
      </c>
      <c r="B31" s="7">
        <f>'הזנת נתונים'!A26</f>
        <v>296.66666666666799</v>
      </c>
      <c r="C31" s="7">
        <f t="shared" si="0"/>
        <v>271.00449071672728</v>
      </c>
      <c r="D31" s="7">
        <f t="shared" si="2"/>
        <v>260.00641530960985</v>
      </c>
      <c r="E31" s="7">
        <f t="shared" si="3"/>
        <v>-36.660251357058144</v>
      </c>
      <c r="F31" s="7">
        <f t="shared" si="4"/>
        <v>1343.9740295626834</v>
      </c>
    </row>
    <row r="32" spans="1:11" x14ac:dyDescent="0.25">
      <c r="A32" s="7">
        <v>27</v>
      </c>
      <c r="B32" s="7">
        <f>'הזנת נתונים'!A27</f>
        <v>307.66666666666799</v>
      </c>
      <c r="C32" s="7">
        <f t="shared" si="0"/>
        <v>282.00314350170947</v>
      </c>
      <c r="D32" s="7">
        <f t="shared" si="2"/>
        <v>271.00449071672728</v>
      </c>
      <c r="E32" s="7">
        <f t="shared" si="3"/>
        <v>-36.662175949940718</v>
      </c>
      <c r="F32" s="7">
        <f t="shared" si="4"/>
        <v>1344.1151453844116</v>
      </c>
    </row>
    <row r="33" spans="1:6" x14ac:dyDescent="0.25">
      <c r="A33" s="7">
        <v>28</v>
      </c>
      <c r="B33" s="7">
        <f>'הזנת נתונים'!A28</f>
        <v>318.66666666666799</v>
      </c>
      <c r="C33" s="7">
        <f t="shared" si="0"/>
        <v>293.00220045119704</v>
      </c>
      <c r="D33" s="7">
        <f t="shared" si="2"/>
        <v>282.00314350170947</v>
      </c>
      <c r="E33" s="7">
        <f t="shared" si="3"/>
        <v>-36.663523164958519</v>
      </c>
      <c r="F33" s="7">
        <f t="shared" si="4"/>
        <v>1344.21393086745</v>
      </c>
    </row>
    <row r="34" spans="1:6" x14ac:dyDescent="0.25">
      <c r="A34" s="7">
        <v>29</v>
      </c>
      <c r="B34" s="7">
        <f>'הזנת נתונים'!A29</f>
        <v>329.66666666666799</v>
      </c>
      <c r="C34" s="7">
        <f t="shared" si="0"/>
        <v>304.00154031583833</v>
      </c>
      <c r="D34" s="7">
        <f t="shared" si="2"/>
        <v>293.00220045119704</v>
      </c>
      <c r="E34" s="7">
        <f t="shared" si="3"/>
        <v>-36.664466215470952</v>
      </c>
      <c r="F34" s="7">
        <f t="shared" si="4"/>
        <v>1344.283082865411</v>
      </c>
    </row>
    <row r="35" spans="1:6" x14ac:dyDescent="0.25">
      <c r="A35" s="7">
        <v>30</v>
      </c>
      <c r="B35" s="7">
        <f>'הזנת נתונים'!A30</f>
        <v>340.66666666666799</v>
      </c>
      <c r="C35" s="7">
        <f t="shared" si="0"/>
        <v>315.0010782210872</v>
      </c>
      <c r="D35" s="7">
        <f t="shared" si="2"/>
        <v>304.00154031583833</v>
      </c>
      <c r="E35" s="7">
        <f t="shared" si="3"/>
        <v>-36.665126350829667</v>
      </c>
      <c r="F35" s="7">
        <f t="shared" si="4"/>
        <v>1344.331490322304</v>
      </c>
    </row>
    <row r="36" spans="1:6" x14ac:dyDescent="0.25">
      <c r="A36" s="7">
        <v>31</v>
      </c>
      <c r="B36" s="7">
        <f>'הזנת נתונים'!A31</f>
        <v>351.66666666666799</v>
      </c>
      <c r="C36" s="7">
        <f t="shared" si="0"/>
        <v>326.00075475476143</v>
      </c>
      <c r="D36" s="7">
        <f t="shared" si="2"/>
        <v>315.0010782210872</v>
      </c>
      <c r="E36" s="7">
        <f t="shared" si="3"/>
        <v>-36.665588445580795</v>
      </c>
      <c r="F36" s="7">
        <f t="shared" si="4"/>
        <v>1344.3653760607078</v>
      </c>
    </row>
    <row r="37" spans="1:6" x14ac:dyDescent="0.25">
      <c r="A37" s="7">
        <v>32</v>
      </c>
      <c r="B37" s="7">
        <f>'הזנת נתונים'!A32</f>
        <v>362.66666666666799</v>
      </c>
      <c r="C37" s="7">
        <f t="shared" si="0"/>
        <v>337.00052832833336</v>
      </c>
      <c r="D37" s="7">
        <f t="shared" si="2"/>
        <v>326.00075475476143</v>
      </c>
      <c r="E37" s="7">
        <f t="shared" si="3"/>
        <v>-36.665911911906562</v>
      </c>
      <c r="F37" s="7">
        <f t="shared" si="4"/>
        <v>1344.3890963316915</v>
      </c>
    </row>
    <row r="38" spans="1:6" x14ac:dyDescent="0.25">
      <c r="A38" s="7">
        <v>33</v>
      </c>
      <c r="B38" s="7">
        <f>'הזנת נתונים'!A33</f>
        <v>373.66666666666799</v>
      </c>
      <c r="C38" s="7">
        <f t="shared" si="0"/>
        <v>348.00036982983374</v>
      </c>
      <c r="D38" s="7">
        <f t="shared" si="2"/>
        <v>337.00052832833336</v>
      </c>
      <c r="E38" s="7">
        <f t="shared" si="3"/>
        <v>-36.666138338334633</v>
      </c>
      <c r="F38" s="7">
        <f t="shared" si="4"/>
        <v>1344.4057006458929</v>
      </c>
    </row>
    <row r="39" spans="1:6" x14ac:dyDescent="0.25">
      <c r="A39" s="7">
        <v>34</v>
      </c>
      <c r="B39" s="7">
        <f>'הזנת נתונים'!A34</f>
        <v>384.66666666666799</v>
      </c>
      <c r="C39" s="7">
        <f t="shared" si="0"/>
        <v>359.00025888088402</v>
      </c>
      <c r="D39" s="7">
        <f t="shared" si="2"/>
        <v>348.00036982983374</v>
      </c>
      <c r="E39" s="7">
        <f t="shared" si="3"/>
        <v>-36.666296836834249</v>
      </c>
      <c r="F39" s="7">
        <f t="shared" si="4"/>
        <v>1344.4173237268412</v>
      </c>
    </row>
    <row r="40" spans="1:6" x14ac:dyDescent="0.25">
      <c r="A40" s="7">
        <v>35</v>
      </c>
      <c r="B40" s="7">
        <f>'הזנת נתונים'!A35</f>
        <v>395.66666666666799</v>
      </c>
      <c r="C40" s="7">
        <f t="shared" si="0"/>
        <v>370.00018121661918</v>
      </c>
      <c r="D40" s="7">
        <f t="shared" si="2"/>
        <v>359.00025888088402</v>
      </c>
      <c r="E40" s="7">
        <f t="shared" si="3"/>
        <v>-36.666407785783974</v>
      </c>
      <c r="F40" s="7">
        <f t="shared" si="4"/>
        <v>1344.4254599133997</v>
      </c>
    </row>
    <row r="41" spans="1:6" x14ac:dyDescent="0.25">
      <c r="A41" s="7">
        <v>36</v>
      </c>
      <c r="B41" s="7">
        <f>'הזנת נתונים'!A36</f>
        <v>406.66666666666799</v>
      </c>
      <c r="C41" s="7">
        <f t="shared" si="0"/>
        <v>381.00012685163381</v>
      </c>
      <c r="D41" s="7">
        <f t="shared" si="2"/>
        <v>370.00018121661918</v>
      </c>
      <c r="E41" s="7">
        <f t="shared" si="3"/>
        <v>-36.66648545004881</v>
      </c>
      <c r="F41" s="7">
        <f t="shared" si="4"/>
        <v>1344.4311552586412</v>
      </c>
    </row>
    <row r="42" spans="1:6" x14ac:dyDescent="0.25">
      <c r="A42" s="7">
        <v>37</v>
      </c>
      <c r="B42" s="7">
        <f>'הזנת נתונים'!A37</f>
        <v>417.66666666666799</v>
      </c>
      <c r="C42" s="7">
        <f t="shared" si="0"/>
        <v>392.00008879614404</v>
      </c>
      <c r="D42" s="7">
        <f t="shared" si="2"/>
        <v>381.00012685163381</v>
      </c>
      <c r="E42" s="7">
        <f t="shared" si="3"/>
        <v>-36.666539815034184</v>
      </c>
      <c r="F42" s="7">
        <f t="shared" si="4"/>
        <v>1344.435142007487</v>
      </c>
    </row>
    <row r="43" spans="1:6" x14ac:dyDescent="0.25">
      <c r="A43" s="7">
        <v>38</v>
      </c>
      <c r="B43" s="7">
        <f>'הזנת נתונים'!A38</f>
        <v>428.66666666666902</v>
      </c>
      <c r="C43" s="7">
        <f t="shared" si="0"/>
        <v>403.0000621573015</v>
      </c>
      <c r="D43" s="7">
        <f t="shared" si="2"/>
        <v>392.00008879614404</v>
      </c>
      <c r="E43" s="7">
        <f t="shared" si="3"/>
        <v>-36.666577870524975</v>
      </c>
      <c r="F43" s="7">
        <f t="shared" si="4"/>
        <v>1344.4379327352717</v>
      </c>
    </row>
    <row r="44" spans="1:6" x14ac:dyDescent="0.25">
      <c r="A44" s="7">
        <v>39</v>
      </c>
      <c r="B44" s="7">
        <f>'הזנת נתונים'!A39</f>
        <v>439.66666666666902</v>
      </c>
      <c r="C44" s="7">
        <f t="shared" si="0"/>
        <v>414.00004351011171</v>
      </c>
      <c r="D44" s="7">
        <f t="shared" si="2"/>
        <v>403.0000621573015</v>
      </c>
      <c r="E44" s="7">
        <f t="shared" si="3"/>
        <v>-36.666604509367517</v>
      </c>
      <c r="F44" s="7">
        <f t="shared" si="4"/>
        <v>1344.4398862463704</v>
      </c>
    </row>
    <row r="45" spans="1:6" x14ac:dyDescent="0.25">
      <c r="A45" s="7">
        <v>40</v>
      </c>
      <c r="B45" s="7">
        <f>'הזנת נתונים'!A40</f>
        <v>450.66666666666902</v>
      </c>
      <c r="C45" s="7">
        <f t="shared" si="0"/>
        <v>425.00003045707888</v>
      </c>
      <c r="D45" s="7">
        <f t="shared" si="2"/>
        <v>414.00004351011171</v>
      </c>
      <c r="E45" s="7">
        <f t="shared" si="3"/>
        <v>-36.666623156557307</v>
      </c>
      <c r="F45" s="7">
        <f t="shared" si="4"/>
        <v>1344.4412537049845</v>
      </c>
    </row>
    <row r="46" spans="1:6" x14ac:dyDescent="0.25">
      <c r="A46" s="7">
        <v>41</v>
      </c>
      <c r="B46" s="7">
        <f>'הזנת נתונים'!A41</f>
        <v>461.66666666666902</v>
      </c>
      <c r="C46" s="7">
        <f t="shared" si="0"/>
        <v>436.00002131995586</v>
      </c>
      <c r="D46" s="7">
        <f t="shared" si="2"/>
        <v>425.00003045707888</v>
      </c>
      <c r="E46" s="7">
        <f t="shared" si="3"/>
        <v>-36.666636209590138</v>
      </c>
      <c r="F46" s="7">
        <f t="shared" si="4"/>
        <v>1344.4422109264267</v>
      </c>
    </row>
    <row r="47" spans="1:6" x14ac:dyDescent="0.25">
      <c r="A47" s="7">
        <v>42</v>
      </c>
      <c r="B47" s="7">
        <f>'הזנת נתונים'!A42</f>
        <v>472.66666666666902</v>
      </c>
      <c r="C47" s="7">
        <f t="shared" si="0"/>
        <v>447.00001492396979</v>
      </c>
      <c r="D47" s="7">
        <f t="shared" si="2"/>
        <v>436.00002131995586</v>
      </c>
      <c r="E47" s="7">
        <f t="shared" si="3"/>
        <v>-36.666645346713153</v>
      </c>
      <c r="F47" s="7">
        <f t="shared" si="4"/>
        <v>1344.4428809816413</v>
      </c>
    </row>
    <row r="48" spans="1:6" x14ac:dyDescent="0.25">
      <c r="A48" s="7">
        <v>43</v>
      </c>
      <c r="B48" s="7">
        <f>'הזנת נתונים'!A43</f>
        <v>483.66666666666902</v>
      </c>
      <c r="C48" s="7">
        <f t="shared" si="0"/>
        <v>458.00001044677953</v>
      </c>
      <c r="D48" s="7">
        <f t="shared" si="2"/>
        <v>447.00001492396979</v>
      </c>
      <c r="E48" s="7">
        <f t="shared" si="3"/>
        <v>-36.66665174269923</v>
      </c>
      <c r="F48" s="7">
        <f t="shared" si="4"/>
        <v>1344.4433500203884</v>
      </c>
    </row>
    <row r="49" spans="1:6" x14ac:dyDescent="0.25">
      <c r="A49" s="7">
        <v>44</v>
      </c>
      <c r="B49" s="7">
        <f>'הזנת נתונים'!A44</f>
        <v>494.66666666666902</v>
      </c>
      <c r="C49" s="7">
        <f t="shared" si="0"/>
        <v>469.00000731274633</v>
      </c>
      <c r="D49" s="7">
        <f t="shared" si="2"/>
        <v>458.00001044677953</v>
      </c>
      <c r="E49" s="7">
        <f t="shared" si="3"/>
        <v>-36.666656219889489</v>
      </c>
      <c r="F49" s="7">
        <f t="shared" si="4"/>
        <v>1344.4436783475605</v>
      </c>
    </row>
    <row r="50" spans="1:6" x14ac:dyDescent="0.25">
      <c r="A50" s="7">
        <v>45</v>
      </c>
      <c r="B50" s="7">
        <f>'הזנת נתונים'!A45</f>
        <v>505.66666666666799</v>
      </c>
      <c r="C50" s="7">
        <f t="shared" si="0"/>
        <v>480.00000511892279</v>
      </c>
      <c r="D50" s="7">
        <f t="shared" si="2"/>
        <v>469.00000731274633</v>
      </c>
      <c r="E50" s="7">
        <f t="shared" si="3"/>
        <v>-36.666659353921659</v>
      </c>
      <c r="F50" s="7">
        <f t="shared" si="4"/>
        <v>1344.4439081765306</v>
      </c>
    </row>
    <row r="51" spans="1:6" x14ac:dyDescent="0.25">
      <c r="A51" s="7">
        <v>46</v>
      </c>
      <c r="B51" s="7">
        <f>'הזנת נתונים'!A46</f>
        <v>516.66666666666902</v>
      </c>
      <c r="C51" s="7">
        <f t="shared" si="0"/>
        <v>491.00000358324667</v>
      </c>
      <c r="D51" s="7">
        <f t="shared" si="2"/>
        <v>480.00000511892279</v>
      </c>
      <c r="E51" s="7">
        <f t="shared" si="3"/>
        <v>-36.66666154774623</v>
      </c>
      <c r="F51" s="7">
        <f t="shared" si="4"/>
        <v>1344.444069056972</v>
      </c>
    </row>
    <row r="52" spans="1:6" x14ac:dyDescent="0.25">
      <c r="A52" s="7">
        <v>47</v>
      </c>
      <c r="B52" s="7">
        <f>'הזנת נתונים'!A47</f>
        <v>527.66666666666902</v>
      </c>
      <c r="C52" s="7">
        <f t="shared" si="0"/>
        <v>502.00000250827333</v>
      </c>
      <c r="D52" s="7">
        <f t="shared" si="2"/>
        <v>491.00000358324667</v>
      </c>
      <c r="E52" s="7">
        <f t="shared" si="3"/>
        <v>-36.66666308342235</v>
      </c>
      <c r="F52" s="7">
        <f t="shared" si="4"/>
        <v>1344.4441816732074</v>
      </c>
    </row>
    <row r="53" spans="1:6" x14ac:dyDescent="0.25">
      <c r="A53" s="7">
        <v>48</v>
      </c>
      <c r="B53" s="7">
        <f>'הזנת נתונים'!A48</f>
        <v>538.66666666666902</v>
      </c>
      <c r="C53" s="7">
        <f t="shared" si="0"/>
        <v>513.00000175579203</v>
      </c>
      <c r="D53" s="7">
        <f t="shared" si="2"/>
        <v>502.00000250827333</v>
      </c>
      <c r="E53" s="7">
        <f t="shared" si="3"/>
        <v>-36.66666415839569</v>
      </c>
      <c r="F53" s="7">
        <f t="shared" si="4"/>
        <v>1344.4442605045792</v>
      </c>
    </row>
    <row r="54" spans="1:6" x14ac:dyDescent="0.25">
      <c r="A54" s="7">
        <v>49</v>
      </c>
      <c r="B54" s="7">
        <f>'הזנת נתונים'!A49</f>
        <v>549.66666666666902</v>
      </c>
      <c r="C54" s="7">
        <f t="shared" si="0"/>
        <v>524.0000012290551</v>
      </c>
      <c r="D54" s="7">
        <f t="shared" si="2"/>
        <v>513.00000175579203</v>
      </c>
      <c r="E54" s="7">
        <f t="shared" si="3"/>
        <v>-36.666664910876989</v>
      </c>
      <c r="F54" s="7">
        <f t="shared" si="4"/>
        <v>1344.4443156865377</v>
      </c>
    </row>
    <row r="55" spans="1:6" x14ac:dyDescent="0.25">
      <c r="A55" s="7">
        <v>50</v>
      </c>
      <c r="B55" s="7">
        <f>'הזנת נתונים'!A50</f>
        <v>560.66666666666902</v>
      </c>
      <c r="C55" s="7">
        <f t="shared" si="0"/>
        <v>535.00000086033924</v>
      </c>
      <c r="D55" s="7">
        <f t="shared" si="2"/>
        <v>524.0000012290551</v>
      </c>
      <c r="E55" s="7">
        <f t="shared" si="3"/>
        <v>-36.666665437613915</v>
      </c>
      <c r="F55" s="7">
        <f t="shared" si="4"/>
        <v>1344.4443543139109</v>
      </c>
    </row>
    <row r="56" spans="1:6" x14ac:dyDescent="0.25">
      <c r="A56" s="7">
        <v>51</v>
      </c>
      <c r="B56" s="7">
        <f>'הזנת נתונים'!A51</f>
        <v>571.66666666666902</v>
      </c>
      <c r="C56" s="7">
        <f t="shared" si="0"/>
        <v>546.00000060223817</v>
      </c>
      <c r="D56" s="7">
        <f t="shared" si="2"/>
        <v>535.00000086033924</v>
      </c>
      <c r="E56" s="7">
        <f t="shared" si="3"/>
        <v>-36.666665806329775</v>
      </c>
      <c r="F56" s="7">
        <f t="shared" si="4"/>
        <v>1344.4443813530731</v>
      </c>
    </row>
    <row r="57" spans="1:6" x14ac:dyDescent="0.25">
      <c r="A57" s="7">
        <v>52</v>
      </c>
      <c r="B57" s="7">
        <f>'הזנת נתונים'!A52</f>
        <v>582.66666666666902</v>
      </c>
      <c r="C57" s="7">
        <f t="shared" si="0"/>
        <v>557.00000042156739</v>
      </c>
      <c r="D57" s="7">
        <f t="shared" si="2"/>
        <v>546.00000060223817</v>
      </c>
      <c r="E57" s="7">
        <f t="shared" si="3"/>
        <v>-36.666666064430842</v>
      </c>
      <c r="F57" s="7">
        <f t="shared" si="4"/>
        <v>1344.4444002804844</v>
      </c>
    </row>
    <row r="58" spans="1:6" x14ac:dyDescent="0.25">
      <c r="A58" s="7">
        <v>53</v>
      </c>
      <c r="B58" s="7">
        <f>'הזנת נתונים'!A53</f>
        <v>593.66666666666902</v>
      </c>
      <c r="C58" s="7">
        <f t="shared" si="0"/>
        <v>568.00000029509783</v>
      </c>
      <c r="D58" s="7">
        <f t="shared" si="2"/>
        <v>557.00000042156739</v>
      </c>
      <c r="E58" s="7">
        <f t="shared" si="3"/>
        <v>-36.666666245101624</v>
      </c>
      <c r="F58" s="7">
        <f t="shared" si="4"/>
        <v>1344.4444135296749</v>
      </c>
    </row>
    <row r="59" spans="1:6" x14ac:dyDescent="0.25">
      <c r="A59" s="7">
        <v>54</v>
      </c>
      <c r="B59" s="7">
        <f>'הזנת נתונים'!A54</f>
        <v>604.66666666666902</v>
      </c>
      <c r="C59" s="7">
        <f t="shared" si="0"/>
        <v>579.0000002065691</v>
      </c>
      <c r="D59" s="7">
        <f t="shared" si="2"/>
        <v>568.00000029509783</v>
      </c>
      <c r="E59" s="7">
        <f t="shared" si="3"/>
        <v>-36.666666371571182</v>
      </c>
      <c r="F59" s="7">
        <f t="shared" si="4"/>
        <v>1344.4444228041091</v>
      </c>
    </row>
    <row r="60" spans="1:6" x14ac:dyDescent="0.25">
      <c r="A60" s="7">
        <v>55</v>
      </c>
      <c r="B60" s="7">
        <f>'הזנת נתונים'!A55</f>
        <v>615.66666666666902</v>
      </c>
      <c r="C60" s="7">
        <f t="shared" si="0"/>
        <v>590.00000014459908</v>
      </c>
      <c r="D60" s="7">
        <f t="shared" si="2"/>
        <v>579.0000002065691</v>
      </c>
      <c r="E60" s="7">
        <f t="shared" si="3"/>
        <v>-36.666666460099918</v>
      </c>
      <c r="F60" s="7">
        <f t="shared" si="4"/>
        <v>1344.4444292962162</v>
      </c>
    </row>
    <row r="61" spans="1:6" x14ac:dyDescent="0.25">
      <c r="A61" s="7">
        <v>56</v>
      </c>
      <c r="B61" s="7">
        <f>'הזנת נתונים'!A56</f>
        <v>626.66666666666902</v>
      </c>
      <c r="C61" s="7">
        <f t="shared" si="0"/>
        <v>601.00000010122005</v>
      </c>
      <c r="D61" s="7">
        <f t="shared" si="2"/>
        <v>590.00000014459908</v>
      </c>
      <c r="E61" s="7">
        <f t="shared" si="3"/>
        <v>-36.666666522069931</v>
      </c>
      <c r="F61" s="7">
        <f t="shared" si="4"/>
        <v>1344.4444338406838</v>
      </c>
    </row>
    <row r="62" spans="1:6" x14ac:dyDescent="0.25">
      <c r="A62" s="7">
        <v>57</v>
      </c>
      <c r="B62" s="7">
        <f>'הזנת נתונים'!A57</f>
        <v>637.66666666666902</v>
      </c>
      <c r="C62" s="7">
        <f t="shared" si="0"/>
        <v>612.00000007085464</v>
      </c>
      <c r="D62" s="7">
        <f t="shared" si="2"/>
        <v>601.00000010122005</v>
      </c>
      <c r="E62" s="7">
        <f t="shared" si="3"/>
        <v>-36.666666565448963</v>
      </c>
      <c r="F62" s="7">
        <f t="shared" si="4"/>
        <v>1344.444437021813</v>
      </c>
    </row>
    <row r="63" spans="1:6" x14ac:dyDescent="0.25">
      <c r="A63" s="7">
        <v>58</v>
      </c>
      <c r="B63" s="7">
        <f>'הזנת נתונים'!A58</f>
        <v>648.66666666666902</v>
      </c>
      <c r="C63" s="7">
        <f t="shared" si="0"/>
        <v>623.00000004959895</v>
      </c>
      <c r="D63" s="7">
        <f t="shared" si="2"/>
        <v>612.00000007085464</v>
      </c>
      <c r="E63" s="7">
        <f t="shared" si="3"/>
        <v>-36.666666595814377</v>
      </c>
      <c r="F63" s="7">
        <f t="shared" si="4"/>
        <v>1344.4444392486098</v>
      </c>
    </row>
    <row r="64" spans="1:6" x14ac:dyDescent="0.25">
      <c r="A64" s="7">
        <v>59</v>
      </c>
      <c r="B64" s="7">
        <f>'הזנת נתונים'!A59</f>
        <v>659.66666666666902</v>
      </c>
      <c r="C64" s="7">
        <f t="shared" si="0"/>
        <v>634.00000003471996</v>
      </c>
      <c r="D64" s="7">
        <f t="shared" si="2"/>
        <v>623.00000004959895</v>
      </c>
      <c r="E64" s="7">
        <f t="shared" si="3"/>
        <v>-36.666666617070064</v>
      </c>
      <c r="F64" s="7">
        <f t="shared" si="4"/>
        <v>1344.4444408073603</v>
      </c>
    </row>
    <row r="65" spans="1:6" x14ac:dyDescent="0.25">
      <c r="A65" s="7">
        <v>60</v>
      </c>
      <c r="B65" s="7">
        <f>'הזנת נתונים'!A60</f>
        <v>670.66666666666902</v>
      </c>
      <c r="C65" s="7">
        <f t="shared" si="0"/>
        <v>645.00000002430465</v>
      </c>
      <c r="D65" s="7">
        <f t="shared" si="2"/>
        <v>634.00000003471996</v>
      </c>
      <c r="E65" s="7">
        <f t="shared" si="3"/>
        <v>-36.666666631949056</v>
      </c>
      <c r="F65" s="7">
        <f t="shared" si="4"/>
        <v>1344.4444418984863</v>
      </c>
    </row>
  </sheetData>
  <mergeCells count="1">
    <mergeCell ref="K6:K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AD95C-465B-4493-A556-4EA7CA6A9F87}">
  <sheetPr codeName="גיליון18">
    <tabColor theme="5" tint="-0.249977111117893"/>
  </sheetPr>
  <dimension ref="A1:O70"/>
  <sheetViews>
    <sheetView rightToLeft="1" zoomScale="85" zoomScaleNormal="85" workbookViewId="0"/>
  </sheetViews>
  <sheetFormatPr defaultRowHeight="13.8" x14ac:dyDescent="0.25"/>
  <cols>
    <col min="2" max="9" width="11" bestFit="1" customWidth="1"/>
    <col min="10" max="10" width="16" customWidth="1"/>
    <col min="11" max="11" width="20.09765625" customWidth="1"/>
    <col min="12" max="12" width="0.19921875" customWidth="1"/>
    <col min="13" max="13" width="12.69921875" bestFit="1" customWidth="1"/>
    <col min="14" max="14" width="13.3984375" bestFit="1" customWidth="1"/>
    <col min="15" max="15" width="15.3984375" bestFit="1" customWidth="1"/>
  </cols>
  <sheetData>
    <row r="1" spans="1:15" x14ac:dyDescent="0.25">
      <c r="C1" s="74" t="s">
        <v>17</v>
      </c>
      <c r="D1" s="74"/>
      <c r="E1" s="74"/>
      <c r="F1" s="74"/>
      <c r="G1" s="74"/>
      <c r="H1" s="75" t="s">
        <v>18</v>
      </c>
      <c r="I1" s="75"/>
    </row>
    <row r="2" spans="1:15" x14ac:dyDescent="0.25">
      <c r="A2" s="1" t="s">
        <v>1</v>
      </c>
      <c r="B2" s="1" t="s">
        <v>0</v>
      </c>
      <c r="C2" s="1" t="s">
        <v>13</v>
      </c>
      <c r="D2" s="1" t="s">
        <v>0</v>
      </c>
      <c r="E2" s="1" t="s">
        <v>1</v>
      </c>
      <c r="F2" s="1" t="s">
        <v>14</v>
      </c>
      <c r="G2" s="1" t="s">
        <v>15</v>
      </c>
      <c r="H2" s="1" t="s">
        <v>19</v>
      </c>
      <c r="I2" s="1" t="s">
        <v>15</v>
      </c>
      <c r="J2" s="1" t="s">
        <v>2</v>
      </c>
      <c r="K2" s="1" t="s">
        <v>16</v>
      </c>
      <c r="L2" s="1"/>
      <c r="M2" s="1" t="s">
        <v>3</v>
      </c>
      <c r="N2" s="1" t="s">
        <v>20</v>
      </c>
      <c r="O2" s="1" t="s">
        <v>21</v>
      </c>
    </row>
    <row r="3" spans="1:15" x14ac:dyDescent="0.25">
      <c r="A3" s="1">
        <v>1</v>
      </c>
      <c r="B3" s="20">
        <f>'הזנת נתונים'!A1</f>
        <v>28</v>
      </c>
      <c r="C3" s="56">
        <f>COUNT($B$3:B3)</f>
        <v>1</v>
      </c>
      <c r="D3" s="56">
        <f>SUM($B$3:B3)</f>
        <v>28</v>
      </c>
      <c r="E3" s="56">
        <f>SUM($A$3:A3)</f>
        <v>1</v>
      </c>
      <c r="F3" s="56">
        <f>SUM($H$3:H3)</f>
        <v>1</v>
      </c>
      <c r="G3" s="56">
        <f>SUM($I$3:I3)</f>
        <v>28</v>
      </c>
      <c r="H3" s="56">
        <f>(A3)^2</f>
        <v>1</v>
      </c>
      <c r="I3" s="56">
        <f>B3*A3</f>
        <v>28</v>
      </c>
      <c r="J3" s="1"/>
      <c r="K3" s="1"/>
      <c r="L3" s="1"/>
      <c r="M3" s="1"/>
      <c r="N3" s="1"/>
      <c r="O3" s="1"/>
    </row>
    <row r="4" spans="1:15" x14ac:dyDescent="0.25">
      <c r="A4" s="1">
        <v>2</v>
      </c>
      <c r="B4" s="20">
        <f>'הזנת נתונים'!A2</f>
        <v>35</v>
      </c>
      <c r="C4" s="1">
        <f>COUNT($B$3:B4)</f>
        <v>2</v>
      </c>
      <c r="D4" s="1">
        <f>SUM($B$3:B4)</f>
        <v>63</v>
      </c>
      <c r="E4" s="1">
        <f>SUM($A$3:A4)</f>
        <v>3</v>
      </c>
      <c r="F4" s="1">
        <f>SUM($H$3:H4)</f>
        <v>5</v>
      </c>
      <c r="G4" s="1">
        <f>SUM($I$3:I4)</f>
        <v>98</v>
      </c>
      <c r="H4" s="1">
        <f t="shared" ref="H4:H62" si="0">(A4)^2</f>
        <v>4</v>
      </c>
      <c r="I4" s="1">
        <f t="shared" ref="I4:I62" si="1">B4*A4</f>
        <v>70</v>
      </c>
      <c r="J4" s="32">
        <f t="shared" ref="J4:J35" si="2">(D4-K4*E4)/(C4)</f>
        <v>21</v>
      </c>
      <c r="K4" s="32">
        <f t="shared" ref="K4:K35" si="3">(C4*G4-D4*E4)/(C4*F4-(E4)^2)</f>
        <v>7</v>
      </c>
      <c r="L4" s="1"/>
      <c r="M4" s="41">
        <f t="shared" ref="M4:M35" si="4">J4+K4*A4</f>
        <v>35</v>
      </c>
      <c r="N4" s="41">
        <f t="shared" ref="N4:N35" si="5">M4-B4</f>
        <v>0</v>
      </c>
      <c r="O4" s="41">
        <f>N4^2</f>
        <v>0</v>
      </c>
    </row>
    <row r="5" spans="1:15" x14ac:dyDescent="0.25">
      <c r="A5" s="1">
        <v>3</v>
      </c>
      <c r="B5" s="20">
        <f>'הזנת נתונים'!A3</f>
        <v>40</v>
      </c>
      <c r="C5" s="1">
        <f>COUNT($B$3:B5)</f>
        <v>3</v>
      </c>
      <c r="D5" s="1">
        <f>SUM($B$3:B5)</f>
        <v>103</v>
      </c>
      <c r="E5" s="1">
        <f>SUM($A$3:A5)</f>
        <v>6</v>
      </c>
      <c r="F5" s="1">
        <f>SUM($H$3:H5)</f>
        <v>14</v>
      </c>
      <c r="G5" s="1">
        <f>SUM($I$3:I5)</f>
        <v>218</v>
      </c>
      <c r="H5" s="1">
        <f t="shared" si="0"/>
        <v>9</v>
      </c>
      <c r="I5" s="1">
        <f t="shared" si="1"/>
        <v>120</v>
      </c>
      <c r="J5" s="32">
        <f t="shared" si="2"/>
        <v>22.333333333333332</v>
      </c>
      <c r="K5" s="32">
        <f t="shared" si="3"/>
        <v>6</v>
      </c>
      <c r="L5" s="1"/>
      <c r="M5" s="41">
        <f t="shared" si="4"/>
        <v>40.333333333333329</v>
      </c>
      <c r="N5" s="41">
        <f t="shared" si="5"/>
        <v>0.3333333333333286</v>
      </c>
      <c r="O5" s="41">
        <f t="shared" ref="O5:O62" si="6">N5^2</f>
        <v>0.11111111111110795</v>
      </c>
    </row>
    <row r="6" spans="1:15" x14ac:dyDescent="0.25">
      <c r="A6" s="1">
        <v>4</v>
      </c>
      <c r="B6" s="20">
        <f>'הזנת נתונים'!A4</f>
        <v>55</v>
      </c>
      <c r="C6" s="1">
        <f>COUNT($B$3:B6)</f>
        <v>4</v>
      </c>
      <c r="D6" s="1">
        <f>SUM($B$3:B6)</f>
        <v>158</v>
      </c>
      <c r="E6" s="1">
        <f>SUM($A$3:A6)</f>
        <v>10</v>
      </c>
      <c r="F6" s="1">
        <f>SUM($H$3:H6)</f>
        <v>30</v>
      </c>
      <c r="G6" s="1">
        <f>SUM($I$3:I6)</f>
        <v>438</v>
      </c>
      <c r="H6" s="1">
        <f t="shared" si="0"/>
        <v>16</v>
      </c>
      <c r="I6" s="1">
        <f t="shared" si="1"/>
        <v>220</v>
      </c>
      <c r="J6" s="32">
        <f t="shared" si="2"/>
        <v>18</v>
      </c>
      <c r="K6" s="32">
        <f t="shared" si="3"/>
        <v>8.6</v>
      </c>
      <c r="L6" s="1"/>
      <c r="M6" s="41">
        <f t="shared" si="4"/>
        <v>52.4</v>
      </c>
      <c r="N6" s="41">
        <f t="shared" si="5"/>
        <v>-2.6000000000000014</v>
      </c>
      <c r="O6" s="41">
        <f t="shared" si="6"/>
        <v>6.7600000000000078</v>
      </c>
    </row>
    <row r="7" spans="1:15" x14ac:dyDescent="0.25">
      <c r="A7" s="1">
        <v>5</v>
      </c>
      <c r="B7" s="20">
        <f>'הזנת נתונים'!A5</f>
        <v>70</v>
      </c>
      <c r="C7" s="1">
        <f>COUNT($B$3:B7)</f>
        <v>5</v>
      </c>
      <c r="D7" s="1">
        <f>SUM($B$3:B7)</f>
        <v>228</v>
      </c>
      <c r="E7" s="1">
        <f>SUM($A$3:A7)</f>
        <v>15</v>
      </c>
      <c r="F7" s="1">
        <f>SUM($H$3:H7)</f>
        <v>55</v>
      </c>
      <c r="G7" s="1">
        <f>SUM($I$3:I7)</f>
        <v>788</v>
      </c>
      <c r="H7" s="1">
        <f t="shared" si="0"/>
        <v>25</v>
      </c>
      <c r="I7" s="1">
        <f t="shared" si="1"/>
        <v>350</v>
      </c>
      <c r="J7" s="32">
        <f t="shared" si="2"/>
        <v>14.4</v>
      </c>
      <c r="K7" s="32">
        <f t="shared" si="3"/>
        <v>10.4</v>
      </c>
      <c r="L7" s="1"/>
      <c r="M7" s="41">
        <f t="shared" si="4"/>
        <v>66.400000000000006</v>
      </c>
      <c r="N7" s="41">
        <f t="shared" si="5"/>
        <v>-3.5999999999999943</v>
      </c>
      <c r="O7" s="41">
        <f t="shared" si="6"/>
        <v>12.959999999999958</v>
      </c>
    </row>
    <row r="8" spans="1:15" x14ac:dyDescent="0.25">
      <c r="A8" s="1">
        <v>6</v>
      </c>
      <c r="B8" s="20">
        <f>'הזנת נתונים'!A6</f>
        <v>75</v>
      </c>
      <c r="C8" s="1">
        <f>COUNT($B$3:B8)</f>
        <v>6</v>
      </c>
      <c r="D8" s="1">
        <f>SUM($B$3:B8)</f>
        <v>303</v>
      </c>
      <c r="E8" s="1">
        <f>SUM($A$3:A8)</f>
        <v>21</v>
      </c>
      <c r="F8" s="1">
        <f>SUM($H$3:H8)</f>
        <v>91</v>
      </c>
      <c r="G8" s="1">
        <f>SUM($I$3:I8)</f>
        <v>1238</v>
      </c>
      <c r="H8" s="1">
        <f t="shared" si="0"/>
        <v>36</v>
      </c>
      <c r="I8" s="1">
        <f t="shared" si="1"/>
        <v>450</v>
      </c>
      <c r="J8" s="32">
        <f t="shared" si="2"/>
        <v>15</v>
      </c>
      <c r="K8" s="32">
        <f t="shared" si="3"/>
        <v>10.142857142857142</v>
      </c>
      <c r="L8" s="1"/>
      <c r="M8" s="41">
        <f t="shared" si="4"/>
        <v>75.857142857142861</v>
      </c>
      <c r="N8" s="41">
        <f t="shared" si="5"/>
        <v>0.8571428571428612</v>
      </c>
      <c r="O8" s="41">
        <f t="shared" si="6"/>
        <v>0.73469387755102733</v>
      </c>
    </row>
    <row r="9" spans="1:15" x14ac:dyDescent="0.25">
      <c r="A9" s="1">
        <v>7</v>
      </c>
      <c r="B9" s="20">
        <f>'הזנת נתונים'!A7</f>
        <v>87.6666666666667</v>
      </c>
      <c r="C9" s="1">
        <f>COUNT($B$3:B9)</f>
        <v>7</v>
      </c>
      <c r="D9" s="1">
        <f>SUM($B$3:B9)</f>
        <v>390.66666666666669</v>
      </c>
      <c r="E9" s="1">
        <f>SUM($A$3:A9)</f>
        <v>28</v>
      </c>
      <c r="F9" s="1">
        <f>SUM($H$3:H9)</f>
        <v>140</v>
      </c>
      <c r="G9" s="1">
        <f>SUM($I$3:I9)</f>
        <v>1851.666666666667</v>
      </c>
      <c r="H9" s="1">
        <f t="shared" si="0"/>
        <v>49</v>
      </c>
      <c r="I9" s="1">
        <f t="shared" si="1"/>
        <v>613.66666666666686</v>
      </c>
      <c r="J9" s="32">
        <f t="shared" si="2"/>
        <v>14.523809523809527</v>
      </c>
      <c r="K9" s="32">
        <f t="shared" si="3"/>
        <v>10.321428571428571</v>
      </c>
      <c r="L9" s="1"/>
      <c r="M9" s="41">
        <f t="shared" si="4"/>
        <v>86.773809523809533</v>
      </c>
      <c r="N9" s="41">
        <f t="shared" si="5"/>
        <v>-0.89285714285716722</v>
      </c>
      <c r="O9" s="41">
        <f t="shared" si="6"/>
        <v>0.79719387755106386</v>
      </c>
    </row>
    <row r="10" spans="1:15" x14ac:dyDescent="0.25">
      <c r="A10" s="1">
        <v>8</v>
      </c>
      <c r="B10" s="20">
        <f>'הזנת נתונים'!A8</f>
        <v>98.6666666666667</v>
      </c>
      <c r="C10" s="1">
        <f>COUNT($B$3:B10)</f>
        <v>8</v>
      </c>
      <c r="D10" s="1">
        <f>SUM($B$3:B10)</f>
        <v>489.33333333333337</v>
      </c>
      <c r="E10" s="1">
        <f>SUM($A$3:A10)</f>
        <v>36</v>
      </c>
      <c r="F10" s="1">
        <f>SUM($H$3:H10)</f>
        <v>204</v>
      </c>
      <c r="G10" s="1">
        <f>SUM($I$3:I10)</f>
        <v>2641.0000000000005</v>
      </c>
      <c r="H10" s="1">
        <f t="shared" si="0"/>
        <v>64</v>
      </c>
      <c r="I10" s="1">
        <f t="shared" si="1"/>
        <v>789.3333333333336</v>
      </c>
      <c r="J10" s="32">
        <f t="shared" si="2"/>
        <v>14.130952380952337</v>
      </c>
      <c r="K10" s="32">
        <f t="shared" si="3"/>
        <v>10.452380952380963</v>
      </c>
      <c r="L10" s="1"/>
      <c r="M10" s="41">
        <f t="shared" si="4"/>
        <v>97.750000000000043</v>
      </c>
      <c r="N10" s="41">
        <f t="shared" si="5"/>
        <v>-0.91666666666665719</v>
      </c>
      <c r="O10" s="41">
        <f t="shared" si="6"/>
        <v>0.84027777777776036</v>
      </c>
    </row>
    <row r="11" spans="1:15" x14ac:dyDescent="0.25">
      <c r="A11" s="1">
        <v>9</v>
      </c>
      <c r="B11" s="20">
        <f>'הזנת נתונים'!A9</f>
        <v>109.666666666667</v>
      </c>
      <c r="C11" s="1">
        <f>COUNT($B$3:B11)</f>
        <v>9</v>
      </c>
      <c r="D11" s="1">
        <f>SUM($B$3:B11)</f>
        <v>599.00000000000034</v>
      </c>
      <c r="E11" s="1">
        <f>SUM($A$3:A11)</f>
        <v>45</v>
      </c>
      <c r="F11" s="1">
        <f>SUM($H$3:H11)</f>
        <v>285</v>
      </c>
      <c r="G11" s="1">
        <f>SUM($I$3:I11)</f>
        <v>3628.0000000000036</v>
      </c>
      <c r="H11" s="1">
        <f t="shared" si="0"/>
        <v>81</v>
      </c>
      <c r="I11" s="1">
        <f t="shared" si="1"/>
        <v>987.00000000000296</v>
      </c>
      <c r="J11" s="32">
        <f t="shared" si="2"/>
        <v>13.805555555555422</v>
      </c>
      <c r="K11" s="32">
        <f t="shared" si="3"/>
        <v>10.550000000000034</v>
      </c>
      <c r="L11" s="1"/>
      <c r="M11" s="41">
        <f t="shared" si="4"/>
        <v>108.75555555555573</v>
      </c>
      <c r="N11" s="41">
        <f t="shared" si="5"/>
        <v>-0.91111111111126775</v>
      </c>
      <c r="O11" s="41">
        <f t="shared" si="6"/>
        <v>0.83012345679040889</v>
      </c>
    </row>
    <row r="12" spans="1:15" x14ac:dyDescent="0.25">
      <c r="A12" s="1">
        <v>10</v>
      </c>
      <c r="B12" s="20">
        <f>'הזנת נתונים'!A10</f>
        <v>120.666666666667</v>
      </c>
      <c r="C12" s="1">
        <f>COUNT($B$3:B12)</f>
        <v>10</v>
      </c>
      <c r="D12" s="1">
        <f>SUM($B$3:B12)</f>
        <v>719.66666666666731</v>
      </c>
      <c r="E12" s="1">
        <f>SUM($A$3:A12)</f>
        <v>55</v>
      </c>
      <c r="F12" s="1">
        <f>SUM($H$3:H12)</f>
        <v>385</v>
      </c>
      <c r="G12" s="1">
        <f>SUM($I$3:I12)</f>
        <v>4834.6666666666733</v>
      </c>
      <c r="H12" s="1">
        <f t="shared" si="0"/>
        <v>100</v>
      </c>
      <c r="I12" s="1">
        <f t="shared" si="1"/>
        <v>1206.6666666666699</v>
      </c>
      <c r="J12" s="32">
        <f t="shared" si="2"/>
        <v>13.533333333333212</v>
      </c>
      <c r="K12" s="32">
        <f t="shared" si="3"/>
        <v>10.624242424242459</v>
      </c>
      <c r="L12" s="1"/>
      <c r="M12" s="41">
        <f t="shared" si="4"/>
        <v>119.77575757575781</v>
      </c>
      <c r="N12" s="41">
        <f t="shared" si="5"/>
        <v>-0.89090909090919013</v>
      </c>
      <c r="O12" s="41">
        <f t="shared" si="6"/>
        <v>0.79371900826463959</v>
      </c>
    </row>
    <row r="13" spans="1:15" x14ac:dyDescent="0.25">
      <c r="A13" s="1">
        <v>11</v>
      </c>
      <c r="B13" s="20">
        <f>'הזנת נתונים'!A11</f>
        <v>131.666666666667</v>
      </c>
      <c r="C13" s="1">
        <f>COUNT($B$3:B13)</f>
        <v>11</v>
      </c>
      <c r="D13" s="1">
        <f>SUM($B$3:B13)</f>
        <v>851.33333333333428</v>
      </c>
      <c r="E13" s="1">
        <f>SUM($A$3:A13)</f>
        <v>66</v>
      </c>
      <c r="F13" s="1">
        <f>SUM($H$3:H13)</f>
        <v>506</v>
      </c>
      <c r="G13" s="1">
        <f>SUM($I$3:I13)</f>
        <v>6283.00000000001</v>
      </c>
      <c r="H13" s="1">
        <f t="shared" si="0"/>
        <v>121</v>
      </c>
      <c r="I13" s="1">
        <f t="shared" si="1"/>
        <v>1448.3333333333369</v>
      </c>
      <c r="J13" s="32">
        <f t="shared" si="2"/>
        <v>13.30303030303013</v>
      </c>
      <c r="K13" s="32">
        <f t="shared" si="3"/>
        <v>10.681818181818224</v>
      </c>
      <c r="L13" s="1"/>
      <c r="M13" s="41">
        <f t="shared" si="4"/>
        <v>130.8030303030306</v>
      </c>
      <c r="N13" s="41">
        <f t="shared" si="5"/>
        <v>-0.86363636363640239</v>
      </c>
      <c r="O13" s="41">
        <f t="shared" si="6"/>
        <v>0.74586776859510828</v>
      </c>
    </row>
    <row r="14" spans="1:15" x14ac:dyDescent="0.25">
      <c r="A14" s="1">
        <v>12</v>
      </c>
      <c r="B14" s="20">
        <f>'הזנת נתונים'!A12</f>
        <v>142.666666666667</v>
      </c>
      <c r="C14" s="1">
        <f>COUNT($B$3:B14)</f>
        <v>12</v>
      </c>
      <c r="D14" s="1">
        <f>SUM($B$3:B14)</f>
        <v>994.00000000000125</v>
      </c>
      <c r="E14" s="1">
        <f>SUM($A$3:A14)</f>
        <v>78</v>
      </c>
      <c r="F14" s="1">
        <f>SUM($H$3:H14)</f>
        <v>650</v>
      </c>
      <c r="G14" s="1">
        <f>SUM($I$3:I14)</f>
        <v>7995.0000000000146</v>
      </c>
      <c r="H14" s="1">
        <f t="shared" si="0"/>
        <v>144</v>
      </c>
      <c r="I14" s="1">
        <f t="shared" si="1"/>
        <v>1712.0000000000041</v>
      </c>
      <c r="J14" s="32">
        <f t="shared" si="2"/>
        <v>13.106060606060433</v>
      </c>
      <c r="K14" s="32">
        <f t="shared" si="3"/>
        <v>10.727272727272769</v>
      </c>
      <c r="L14" s="1"/>
      <c r="M14" s="41">
        <f t="shared" si="4"/>
        <v>141.83333333333366</v>
      </c>
      <c r="N14" s="41">
        <f t="shared" si="5"/>
        <v>-0.83333333333334281</v>
      </c>
      <c r="O14" s="41">
        <f t="shared" si="6"/>
        <v>0.69444444444446018</v>
      </c>
    </row>
    <row r="15" spans="1:15" x14ac:dyDescent="0.25">
      <c r="A15" s="1">
        <v>13</v>
      </c>
      <c r="B15" s="20">
        <f>'הזנת נתונים'!A13</f>
        <v>153.666666666667</v>
      </c>
      <c r="C15" s="1">
        <f>COUNT($B$3:B15)</f>
        <v>13</v>
      </c>
      <c r="D15" s="1">
        <f>SUM($B$3:B15)</f>
        <v>1147.6666666666683</v>
      </c>
      <c r="E15" s="1">
        <f>SUM($A$3:A15)</f>
        <v>91</v>
      </c>
      <c r="F15" s="1">
        <f>SUM($H$3:H15)</f>
        <v>819</v>
      </c>
      <c r="G15" s="1">
        <f>SUM($I$3:I15)</f>
        <v>9992.6666666666861</v>
      </c>
      <c r="H15" s="1">
        <f t="shared" si="0"/>
        <v>169</v>
      </c>
      <c r="I15" s="1">
        <f t="shared" si="1"/>
        <v>1997.6666666666711</v>
      </c>
      <c r="J15" s="32">
        <f t="shared" si="2"/>
        <v>12.935897435897258</v>
      </c>
      <c r="K15" s="32">
        <f t="shared" si="3"/>
        <v>10.763736263736307</v>
      </c>
      <c r="L15" s="1"/>
      <c r="M15" s="41">
        <f t="shared" si="4"/>
        <v>152.86446886446925</v>
      </c>
      <c r="N15" s="41">
        <f t="shared" si="5"/>
        <v>-0.80219780219775316</v>
      </c>
      <c r="O15" s="41">
        <f t="shared" si="6"/>
        <v>0.6435213138509055</v>
      </c>
    </row>
    <row r="16" spans="1:15" x14ac:dyDescent="0.25">
      <c r="A16" s="1">
        <v>14</v>
      </c>
      <c r="B16" s="20">
        <f>'הזנת נתונים'!A14</f>
        <v>164.666666666667</v>
      </c>
      <c r="C16" s="1">
        <f>COUNT($B$3:B16)</f>
        <v>14</v>
      </c>
      <c r="D16" s="1">
        <f>SUM($B$3:B16)</f>
        <v>1312.3333333333353</v>
      </c>
      <c r="E16" s="1">
        <f>SUM($A$3:A16)</f>
        <v>105</v>
      </c>
      <c r="F16" s="1">
        <f>SUM($H$3:H16)</f>
        <v>1015</v>
      </c>
      <c r="G16" s="1">
        <f>SUM($I$3:I16)</f>
        <v>12298.000000000024</v>
      </c>
      <c r="H16" s="1">
        <f t="shared" si="0"/>
        <v>196</v>
      </c>
      <c r="I16" s="1">
        <f t="shared" si="1"/>
        <v>2305.333333333338</v>
      </c>
      <c r="J16" s="32">
        <f t="shared" si="2"/>
        <v>12.787545787545664</v>
      </c>
      <c r="K16" s="32">
        <f t="shared" si="3"/>
        <v>10.79340659340663</v>
      </c>
      <c r="L16" s="1"/>
      <c r="M16" s="41">
        <f t="shared" si="4"/>
        <v>163.89523809523848</v>
      </c>
      <c r="N16" s="41">
        <f t="shared" si="5"/>
        <v>-0.7714285714285154</v>
      </c>
      <c r="O16" s="41">
        <f t="shared" si="6"/>
        <v>0.59510204081624007</v>
      </c>
    </row>
    <row r="17" spans="1:15" x14ac:dyDescent="0.25">
      <c r="A17" s="1">
        <v>15</v>
      </c>
      <c r="B17" s="20">
        <f>'הזנת נתונים'!A15</f>
        <v>175.666666666667</v>
      </c>
      <c r="C17" s="1">
        <f>COUNT($B$3:B17)</f>
        <v>15</v>
      </c>
      <c r="D17" s="1">
        <f>SUM($B$3:B17)</f>
        <v>1488.0000000000023</v>
      </c>
      <c r="E17" s="1">
        <f>SUM($A$3:A17)</f>
        <v>120</v>
      </c>
      <c r="F17" s="1">
        <f>SUM($H$3:H17)</f>
        <v>1240</v>
      </c>
      <c r="G17" s="1">
        <f>SUM($I$3:I17)</f>
        <v>14933.000000000029</v>
      </c>
      <c r="H17" s="1">
        <f t="shared" si="0"/>
        <v>225</v>
      </c>
      <c r="I17" s="1">
        <f t="shared" si="1"/>
        <v>2635.000000000005</v>
      </c>
      <c r="J17" s="32">
        <f t="shared" si="2"/>
        <v>12.657142857142677</v>
      </c>
      <c r="K17" s="32">
        <f t="shared" si="3"/>
        <v>10.817857142857184</v>
      </c>
      <c r="L17" s="1"/>
      <c r="M17" s="41">
        <f t="shared" si="4"/>
        <v>174.92500000000044</v>
      </c>
      <c r="N17" s="41">
        <f t="shared" si="5"/>
        <v>-0.74166666666656056</v>
      </c>
      <c r="O17" s="41">
        <f t="shared" si="6"/>
        <v>0.55006944444428707</v>
      </c>
    </row>
    <row r="18" spans="1:15" x14ac:dyDescent="0.25">
      <c r="A18" s="1">
        <v>16</v>
      </c>
      <c r="B18" s="20">
        <f>'הזנת נתונים'!A16</f>
        <v>186.666666666667</v>
      </c>
      <c r="C18" s="1">
        <f>COUNT($B$3:B18)</f>
        <v>16</v>
      </c>
      <c r="D18" s="1">
        <f>SUM($B$3:B18)</f>
        <v>1674.6666666666692</v>
      </c>
      <c r="E18" s="1">
        <f>SUM($A$3:A18)</f>
        <v>136</v>
      </c>
      <c r="F18" s="1">
        <f>SUM($H$3:H18)</f>
        <v>1496</v>
      </c>
      <c r="G18" s="1">
        <f>SUM($I$3:I18)</f>
        <v>17919.666666666701</v>
      </c>
      <c r="H18" s="1">
        <f t="shared" si="0"/>
        <v>256</v>
      </c>
      <c r="I18" s="1">
        <f t="shared" si="1"/>
        <v>2986.666666666672</v>
      </c>
      <c r="J18" s="32">
        <f t="shared" si="2"/>
        <v>12.541666666666515</v>
      </c>
      <c r="K18" s="32">
        <f t="shared" si="3"/>
        <v>10.838235294117684</v>
      </c>
      <c r="L18" s="1"/>
      <c r="M18" s="41">
        <f t="shared" si="4"/>
        <v>185.95343137254946</v>
      </c>
      <c r="N18" s="41">
        <f t="shared" si="5"/>
        <v>-0.71323529411753839</v>
      </c>
      <c r="O18" s="41">
        <f t="shared" si="6"/>
        <v>0.50870458477493152</v>
      </c>
    </row>
    <row r="19" spans="1:15" x14ac:dyDescent="0.25">
      <c r="A19" s="1">
        <v>17</v>
      </c>
      <c r="B19" s="20">
        <f>'הזנת נתונים'!A17</f>
        <v>197.666666666667</v>
      </c>
      <c r="C19" s="1">
        <f>COUNT($B$3:B19)</f>
        <v>17</v>
      </c>
      <c r="D19" s="1">
        <f>SUM($B$3:B19)</f>
        <v>1872.3333333333362</v>
      </c>
      <c r="E19" s="1">
        <f>SUM($A$3:A19)</f>
        <v>153</v>
      </c>
      <c r="F19" s="1">
        <f>SUM($H$3:H19)</f>
        <v>1785</v>
      </c>
      <c r="G19" s="1">
        <f>SUM($I$3:I19)</f>
        <v>21280.00000000004</v>
      </c>
      <c r="H19" s="1">
        <f t="shared" si="0"/>
        <v>289</v>
      </c>
      <c r="I19" s="1">
        <f t="shared" si="1"/>
        <v>3360.3333333333389</v>
      </c>
      <c r="J19" s="32">
        <f t="shared" si="2"/>
        <v>12.438725490195941</v>
      </c>
      <c r="K19" s="32">
        <f t="shared" si="3"/>
        <v>10.855392156862779</v>
      </c>
      <c r="L19" s="1"/>
      <c r="M19" s="41">
        <f t="shared" si="4"/>
        <v>196.98039215686319</v>
      </c>
      <c r="N19" s="41">
        <f t="shared" si="5"/>
        <v>-0.686274509803809</v>
      </c>
      <c r="O19" s="41">
        <f t="shared" si="6"/>
        <v>0.47097270280645831</v>
      </c>
    </row>
    <row r="20" spans="1:15" x14ac:dyDescent="0.25">
      <c r="A20" s="1">
        <v>18</v>
      </c>
      <c r="B20" s="20">
        <f>'הזנת נתונים'!A18</f>
        <v>208.666666666667</v>
      </c>
      <c r="C20" s="1">
        <f>COUNT($B$3:B20)</f>
        <v>18</v>
      </c>
      <c r="D20" s="1">
        <f>SUM($B$3:B20)</f>
        <v>2081.0000000000032</v>
      </c>
      <c r="E20" s="1">
        <f>SUM($A$3:A20)</f>
        <v>171</v>
      </c>
      <c r="F20" s="1">
        <f>SUM($H$3:H20)</f>
        <v>2109</v>
      </c>
      <c r="G20" s="1">
        <f>SUM($I$3:I20)</f>
        <v>25036.000000000047</v>
      </c>
      <c r="H20" s="1">
        <f t="shared" si="0"/>
        <v>324</v>
      </c>
      <c r="I20" s="1">
        <f t="shared" si="1"/>
        <v>3756.0000000000059</v>
      </c>
      <c r="J20" s="32">
        <f t="shared" si="2"/>
        <v>12.346405228757968</v>
      </c>
      <c r="K20" s="32">
        <f t="shared" si="3"/>
        <v>10.869969040247717</v>
      </c>
      <c r="L20" s="1"/>
      <c r="M20" s="41">
        <f t="shared" si="4"/>
        <v>208.00584795321689</v>
      </c>
      <c r="N20" s="41">
        <f t="shared" si="5"/>
        <v>-0.66081871345011223</v>
      </c>
      <c r="O20" s="41">
        <f t="shared" si="6"/>
        <v>0.43668137204586155</v>
      </c>
    </row>
    <row r="21" spans="1:15" x14ac:dyDescent="0.25">
      <c r="A21" s="1">
        <v>19</v>
      </c>
      <c r="B21" s="20">
        <f>'הזנת נתונים'!A19</f>
        <v>219.666666666667</v>
      </c>
      <c r="C21" s="1">
        <f>COUNT($B$3:B21)</f>
        <v>19</v>
      </c>
      <c r="D21" s="1">
        <f>SUM($B$3:B21)</f>
        <v>2300.6666666666702</v>
      </c>
      <c r="E21" s="1">
        <f>SUM($A$3:A21)</f>
        <v>190</v>
      </c>
      <c r="F21" s="1">
        <f>SUM($H$3:H21)</f>
        <v>2470</v>
      </c>
      <c r="G21" s="1">
        <f>SUM($I$3:I21)</f>
        <v>29209.666666666722</v>
      </c>
      <c r="H21" s="1">
        <f t="shared" si="0"/>
        <v>361</v>
      </c>
      <c r="I21" s="1">
        <f t="shared" si="1"/>
        <v>4173.6666666666733</v>
      </c>
      <c r="J21" s="32">
        <f t="shared" si="2"/>
        <v>12.263157894736699</v>
      </c>
      <c r="K21" s="32">
        <f t="shared" si="3"/>
        <v>10.882456140350909</v>
      </c>
      <c r="L21" s="1"/>
      <c r="M21" s="41">
        <f t="shared" si="4"/>
        <v>219.02982456140398</v>
      </c>
      <c r="N21" s="41">
        <f t="shared" si="5"/>
        <v>-0.63684210526301399</v>
      </c>
      <c r="O21" s="41">
        <f t="shared" si="6"/>
        <v>0.40556786703582781</v>
      </c>
    </row>
    <row r="22" spans="1:15" x14ac:dyDescent="0.25">
      <c r="A22" s="1">
        <v>20</v>
      </c>
      <c r="B22" s="20">
        <f>'הזנת נתונים'!A20</f>
        <v>230.666666666667</v>
      </c>
      <c r="C22" s="1">
        <f>COUNT($B$3:B22)</f>
        <v>20</v>
      </c>
      <c r="D22" s="1">
        <f>SUM($B$3:B22)</f>
        <v>2531.3333333333371</v>
      </c>
      <c r="E22" s="1">
        <f>SUM($A$3:A22)</f>
        <v>210</v>
      </c>
      <c r="F22" s="1">
        <f>SUM($H$3:H22)</f>
        <v>2870</v>
      </c>
      <c r="G22" s="1">
        <f>SUM($I$3:I22)</f>
        <v>33823.000000000065</v>
      </c>
      <c r="H22" s="1">
        <f t="shared" si="0"/>
        <v>400</v>
      </c>
      <c r="I22" s="1">
        <f t="shared" si="1"/>
        <v>4613.3333333333403</v>
      </c>
      <c r="J22" s="32">
        <f t="shared" si="2"/>
        <v>12.18771929824543</v>
      </c>
      <c r="K22" s="32">
        <f t="shared" si="3"/>
        <v>10.893233082706802</v>
      </c>
      <c r="L22" s="1"/>
      <c r="M22" s="41">
        <f t="shared" si="4"/>
        <v>230.05238095238147</v>
      </c>
      <c r="N22" s="41">
        <f t="shared" si="5"/>
        <v>-0.61428571428552914</v>
      </c>
      <c r="O22" s="41">
        <f t="shared" si="6"/>
        <v>0.37734693877528275</v>
      </c>
    </row>
    <row r="23" spans="1:15" x14ac:dyDescent="0.25">
      <c r="A23" s="1">
        <v>21</v>
      </c>
      <c r="B23" s="20">
        <f>'הזנת נתונים'!A21</f>
        <v>241.666666666667</v>
      </c>
      <c r="C23" s="1">
        <f>COUNT($B$3:B23)</f>
        <v>21</v>
      </c>
      <c r="D23" s="1">
        <f>SUM($B$3:B23)</f>
        <v>2773.0000000000041</v>
      </c>
      <c r="E23" s="1">
        <f>SUM($A$3:A23)</f>
        <v>231</v>
      </c>
      <c r="F23" s="1">
        <f>SUM($H$3:H23)</f>
        <v>3311</v>
      </c>
      <c r="G23" s="1">
        <f>SUM($I$3:I23)</f>
        <v>38898.000000000073</v>
      </c>
      <c r="H23" s="1">
        <f t="shared" si="0"/>
        <v>441</v>
      </c>
      <c r="I23" s="1">
        <f t="shared" si="1"/>
        <v>5075.0000000000073</v>
      </c>
      <c r="J23" s="32">
        <f t="shared" si="2"/>
        <v>12.119047619047425</v>
      </c>
      <c r="K23" s="32">
        <f t="shared" si="3"/>
        <v>10.902597402597438</v>
      </c>
      <c r="L23" s="1"/>
      <c r="M23" s="41">
        <f t="shared" si="4"/>
        <v>241.07359307359363</v>
      </c>
      <c r="N23" s="41">
        <f t="shared" si="5"/>
        <v>-0.59307359307337038</v>
      </c>
      <c r="O23" s="41">
        <f t="shared" si="6"/>
        <v>0.3517362868009577</v>
      </c>
    </row>
    <row r="24" spans="1:15" x14ac:dyDescent="0.25">
      <c r="A24" s="1">
        <v>22</v>
      </c>
      <c r="B24" s="20">
        <f>'הזנת נתונים'!A22</f>
        <v>252.666666666667</v>
      </c>
      <c r="C24" s="1">
        <f>COUNT($B$3:B24)</f>
        <v>22</v>
      </c>
      <c r="D24" s="1">
        <f>SUM($B$3:B24)</f>
        <v>3025.6666666666711</v>
      </c>
      <c r="E24" s="1">
        <f>SUM($A$3:A24)</f>
        <v>253</v>
      </c>
      <c r="F24" s="1">
        <f>SUM($H$3:H24)</f>
        <v>3795</v>
      </c>
      <c r="G24" s="1">
        <f>SUM($I$3:I24)</f>
        <v>44456.666666666744</v>
      </c>
      <c r="H24" s="1">
        <f t="shared" si="0"/>
        <v>484</v>
      </c>
      <c r="I24" s="1">
        <f t="shared" si="1"/>
        <v>5558.6666666666742</v>
      </c>
      <c r="J24" s="32">
        <f t="shared" si="2"/>
        <v>12.056277056276899</v>
      </c>
      <c r="K24" s="32">
        <f t="shared" si="3"/>
        <v>10.910784867306637</v>
      </c>
      <c r="L24" s="1"/>
      <c r="M24" s="41">
        <f t="shared" si="4"/>
        <v>252.09354413702292</v>
      </c>
      <c r="N24" s="41">
        <f t="shared" si="5"/>
        <v>-0.57312252964408117</v>
      </c>
      <c r="O24" s="41">
        <f t="shared" si="6"/>
        <v>0.32846943398563072</v>
      </c>
    </row>
    <row r="25" spans="1:15" x14ac:dyDescent="0.25">
      <c r="A25" s="1">
        <v>23</v>
      </c>
      <c r="B25" s="20">
        <f>'הזנת נתונים'!A23</f>
        <v>263.66666666666703</v>
      </c>
      <c r="C25" s="1">
        <f>COUNT($B$3:B25)</f>
        <v>23</v>
      </c>
      <c r="D25" s="1">
        <f>SUM($B$3:B25)</f>
        <v>3289.333333333338</v>
      </c>
      <c r="E25" s="1">
        <f>SUM($A$3:A25)</f>
        <v>276</v>
      </c>
      <c r="F25" s="1">
        <f>SUM($H$3:H25)</f>
        <v>4324</v>
      </c>
      <c r="G25" s="1">
        <f>SUM($I$3:I25)</f>
        <v>50521.000000000087</v>
      </c>
      <c r="H25" s="1">
        <f t="shared" si="0"/>
        <v>529</v>
      </c>
      <c r="I25" s="1">
        <f t="shared" si="1"/>
        <v>6064.3333333333412</v>
      </c>
      <c r="J25" s="32">
        <f t="shared" si="2"/>
        <v>11.998682476943131</v>
      </c>
      <c r="K25" s="32">
        <f t="shared" si="3"/>
        <v>10.917984189723356</v>
      </c>
      <c r="L25" s="1"/>
      <c r="M25" s="41">
        <f t="shared" si="4"/>
        <v>263.11231884058031</v>
      </c>
      <c r="N25" s="41">
        <f t="shared" si="5"/>
        <v>-0.55434782608671185</v>
      </c>
      <c r="O25" s="41">
        <f t="shared" si="6"/>
        <v>0.30730151228706332</v>
      </c>
    </row>
    <row r="26" spans="1:15" x14ac:dyDescent="0.25">
      <c r="A26" s="1">
        <v>24</v>
      </c>
      <c r="B26" s="20">
        <f>'הזנת נתונים'!A24</f>
        <v>274.66666666666703</v>
      </c>
      <c r="C26" s="1">
        <f>COUNT($B$3:B26)</f>
        <v>24</v>
      </c>
      <c r="D26" s="1">
        <f>SUM($B$3:B26)</f>
        <v>3564.000000000005</v>
      </c>
      <c r="E26" s="1">
        <f>SUM($A$3:A26)</f>
        <v>300</v>
      </c>
      <c r="F26" s="1">
        <f>SUM($H$3:H26)</f>
        <v>4900</v>
      </c>
      <c r="G26" s="1">
        <f>SUM($I$3:I26)</f>
        <v>57113.000000000095</v>
      </c>
      <c r="H26" s="1">
        <f t="shared" si="0"/>
        <v>576</v>
      </c>
      <c r="I26" s="1">
        <f t="shared" si="1"/>
        <v>6592.0000000000091</v>
      </c>
      <c r="J26" s="32">
        <f t="shared" si="2"/>
        <v>11.945652173912833</v>
      </c>
      <c r="K26" s="32">
        <f t="shared" si="3"/>
        <v>10.92434782608699</v>
      </c>
      <c r="L26" s="1"/>
      <c r="M26" s="41">
        <f t="shared" si="4"/>
        <v>274.13000000000062</v>
      </c>
      <c r="N26" s="41">
        <f t="shared" si="5"/>
        <v>-0.53666666666640594</v>
      </c>
      <c r="O26" s="41">
        <f t="shared" si="6"/>
        <v>0.28801111111083127</v>
      </c>
    </row>
    <row r="27" spans="1:15" x14ac:dyDescent="0.25">
      <c r="A27" s="1">
        <v>25</v>
      </c>
      <c r="B27" s="20">
        <f>'הזנת נתונים'!A25</f>
        <v>285.66666666666799</v>
      </c>
      <c r="C27" s="1">
        <f>COUNT($B$3:B27)</f>
        <v>25</v>
      </c>
      <c r="D27" s="1">
        <f>SUM($B$3:B27)</f>
        <v>3849.6666666666729</v>
      </c>
      <c r="E27" s="1">
        <f>SUM($A$3:A27)</f>
        <v>325</v>
      </c>
      <c r="F27" s="1">
        <f>SUM($H$3:H27)</f>
        <v>5525</v>
      </c>
      <c r="G27" s="1">
        <f>SUM($I$3:I27)</f>
        <v>64254.666666666795</v>
      </c>
      <c r="H27" s="1">
        <f t="shared" si="0"/>
        <v>625</v>
      </c>
      <c r="I27" s="1">
        <f t="shared" si="1"/>
        <v>7141.6666666666997</v>
      </c>
      <c r="J27" s="32">
        <f t="shared" si="2"/>
        <v>11.89666666666646</v>
      </c>
      <c r="K27" s="32">
        <f t="shared" si="3"/>
        <v>10.930000000000035</v>
      </c>
      <c r="L27" s="1"/>
      <c r="M27" s="41">
        <f t="shared" si="4"/>
        <v>285.14666666666739</v>
      </c>
      <c r="N27" s="41">
        <f t="shared" si="5"/>
        <v>-0.52000000000060709</v>
      </c>
      <c r="O27" s="41">
        <f t="shared" si="6"/>
        <v>0.27040000000063136</v>
      </c>
    </row>
    <row r="28" spans="1:15" x14ac:dyDescent="0.25">
      <c r="A28" s="1">
        <v>26</v>
      </c>
      <c r="B28" s="20">
        <f>'הזנת נתונים'!A26</f>
        <v>296.66666666666799</v>
      </c>
      <c r="C28" s="1">
        <f>COUNT($B$3:B28)</f>
        <v>26</v>
      </c>
      <c r="D28" s="1">
        <f>SUM($B$3:B28)</f>
        <v>4146.3333333333412</v>
      </c>
      <c r="E28" s="1">
        <f>SUM($A$3:A28)</f>
        <v>351</v>
      </c>
      <c r="F28" s="1">
        <f>SUM($H$3:H28)</f>
        <v>6201</v>
      </c>
      <c r="G28" s="1">
        <f>SUM($I$3:I28)</f>
        <v>71968.00000000016</v>
      </c>
      <c r="H28" s="1">
        <f t="shared" si="0"/>
        <v>676</v>
      </c>
      <c r="I28" s="1">
        <f t="shared" si="1"/>
        <v>7713.3333333333676</v>
      </c>
      <c r="J28" s="32">
        <f t="shared" si="2"/>
        <v>11.851282051281855</v>
      </c>
      <c r="K28" s="32">
        <f t="shared" si="3"/>
        <v>10.935042735042773</v>
      </c>
      <c r="L28" s="1"/>
      <c r="M28" s="41">
        <f t="shared" si="4"/>
        <v>296.16239316239393</v>
      </c>
      <c r="N28" s="41">
        <f t="shared" si="5"/>
        <v>-0.50427350427406736</v>
      </c>
      <c r="O28" s="41">
        <f t="shared" si="6"/>
        <v>0.25429176711284784</v>
      </c>
    </row>
    <row r="29" spans="1:15" x14ac:dyDescent="0.25">
      <c r="A29" s="1">
        <v>27</v>
      </c>
      <c r="B29" s="20">
        <f>'הזנת נתונים'!A27</f>
        <v>307.66666666666799</v>
      </c>
      <c r="C29" s="1">
        <f>COUNT($B$3:B29)</f>
        <v>27</v>
      </c>
      <c r="D29" s="1">
        <f>SUM($B$3:B29)</f>
        <v>4454.0000000000091</v>
      </c>
      <c r="E29" s="1">
        <f>SUM($A$3:A29)</f>
        <v>378</v>
      </c>
      <c r="F29" s="1">
        <f>SUM($H$3:H29)</f>
        <v>6930</v>
      </c>
      <c r="G29" s="1">
        <f>SUM($I$3:I29)</f>
        <v>80275.000000000204</v>
      </c>
      <c r="H29" s="1">
        <f t="shared" si="0"/>
        <v>729</v>
      </c>
      <c r="I29" s="1">
        <f t="shared" si="1"/>
        <v>8307.0000000000364</v>
      </c>
      <c r="J29" s="32">
        <f t="shared" si="2"/>
        <v>11.809116809116487</v>
      </c>
      <c r="K29" s="32">
        <f t="shared" si="3"/>
        <v>10.939560439560488</v>
      </c>
      <c r="L29" s="1"/>
      <c r="M29" s="41">
        <f t="shared" si="4"/>
        <v>307.17724867724962</v>
      </c>
      <c r="N29" s="41">
        <f t="shared" si="5"/>
        <v>-0.48941798941837078</v>
      </c>
      <c r="O29" s="41">
        <f t="shared" si="6"/>
        <v>0.23952996836632048</v>
      </c>
    </row>
    <row r="30" spans="1:15" x14ac:dyDescent="0.25">
      <c r="A30" s="1">
        <v>28</v>
      </c>
      <c r="B30" s="20">
        <f>'הזנת נתונים'!A28</f>
        <v>318.66666666666799</v>
      </c>
      <c r="C30" s="1">
        <f>COUNT($B$3:B30)</f>
        <v>28</v>
      </c>
      <c r="D30" s="1">
        <f>SUM($B$3:B30)</f>
        <v>4772.666666666677</v>
      </c>
      <c r="E30" s="1">
        <f>SUM($A$3:A30)</f>
        <v>406</v>
      </c>
      <c r="F30" s="1">
        <f>SUM($H$3:H30)</f>
        <v>7714</v>
      </c>
      <c r="G30" s="1">
        <f>SUM($I$3:I30)</f>
        <v>89197.666666666904</v>
      </c>
      <c r="H30" s="1">
        <f t="shared" si="0"/>
        <v>784</v>
      </c>
      <c r="I30" s="1">
        <f t="shared" si="1"/>
        <v>8922.6666666667043</v>
      </c>
      <c r="J30" s="32">
        <f t="shared" si="2"/>
        <v>11.769841269840915</v>
      </c>
      <c r="K30" s="32">
        <f t="shared" si="3"/>
        <v>10.943623426382096</v>
      </c>
      <c r="L30" s="1"/>
      <c r="M30" s="41">
        <f t="shared" si="4"/>
        <v>318.19129720853965</v>
      </c>
      <c r="N30" s="41">
        <f t="shared" si="5"/>
        <v>-0.47536945812834119</v>
      </c>
      <c r="O30" s="41">
        <f t="shared" si="6"/>
        <v>0.22597612172123274</v>
      </c>
    </row>
    <row r="31" spans="1:15" x14ac:dyDescent="0.25">
      <c r="A31" s="1">
        <v>29</v>
      </c>
      <c r="B31" s="20">
        <f>'הזנת נתונים'!A29</f>
        <v>329.66666666666799</v>
      </c>
      <c r="C31" s="1">
        <f>COUNT($B$3:B31)</f>
        <v>29</v>
      </c>
      <c r="D31" s="1">
        <f>SUM($B$3:B31)</f>
        <v>5102.3333333333449</v>
      </c>
      <c r="E31" s="1">
        <f>SUM($A$3:A31)</f>
        <v>435</v>
      </c>
      <c r="F31" s="1">
        <f>SUM($H$3:H31)</f>
        <v>8555</v>
      </c>
      <c r="G31" s="1">
        <f>SUM($I$3:I31)</f>
        <v>98758.000000000276</v>
      </c>
      <c r="H31" s="1">
        <f t="shared" si="0"/>
        <v>841</v>
      </c>
      <c r="I31" s="1">
        <f t="shared" si="1"/>
        <v>9560.3333333333721</v>
      </c>
      <c r="J31" s="32">
        <f t="shared" si="2"/>
        <v>11.733169129720535</v>
      </c>
      <c r="K31" s="32">
        <f t="shared" si="3"/>
        <v>10.947290640394137</v>
      </c>
      <c r="L31" s="1"/>
      <c r="M31" s="41">
        <f t="shared" si="4"/>
        <v>329.20459770115048</v>
      </c>
      <c r="N31" s="41">
        <f t="shared" si="5"/>
        <v>-0.46206896551751697</v>
      </c>
      <c r="O31" s="41">
        <f t="shared" si="6"/>
        <v>0.21350772889442829</v>
      </c>
    </row>
    <row r="32" spans="1:15" x14ac:dyDescent="0.25">
      <c r="A32" s="1">
        <v>30</v>
      </c>
      <c r="B32" s="20">
        <f>'הזנת נתונים'!A30</f>
        <v>340.66666666666799</v>
      </c>
      <c r="C32" s="1">
        <f>COUNT($B$3:B32)</f>
        <v>30</v>
      </c>
      <c r="D32" s="1">
        <f>SUM($B$3:B32)</f>
        <v>5443.0000000000127</v>
      </c>
      <c r="E32" s="1">
        <f>SUM($A$3:A32)</f>
        <v>465</v>
      </c>
      <c r="F32" s="1">
        <f>SUM($H$3:H32)</f>
        <v>9455</v>
      </c>
      <c r="G32" s="1">
        <f>SUM($I$3:I32)</f>
        <v>108978.00000000032</v>
      </c>
      <c r="H32" s="1">
        <f t="shared" si="0"/>
        <v>900</v>
      </c>
      <c r="I32" s="1">
        <f t="shared" si="1"/>
        <v>10220.00000000004</v>
      </c>
      <c r="J32" s="32">
        <f t="shared" si="2"/>
        <v>11.698850574712196</v>
      </c>
      <c r="K32" s="32">
        <f t="shared" si="3"/>
        <v>10.95061179087881</v>
      </c>
      <c r="L32" s="1"/>
      <c r="M32" s="41">
        <f t="shared" si="4"/>
        <v>340.21720430107649</v>
      </c>
      <c r="N32" s="41">
        <f t="shared" si="5"/>
        <v>-0.44946236559150066</v>
      </c>
      <c r="O32" s="41">
        <f t="shared" si="6"/>
        <v>0.2020164180831078</v>
      </c>
    </row>
    <row r="33" spans="1:15" x14ac:dyDescent="0.25">
      <c r="A33" s="1">
        <v>31</v>
      </c>
      <c r="B33" s="20">
        <f>'הזנת נתונים'!A31</f>
        <v>351.66666666666799</v>
      </c>
      <c r="C33" s="1">
        <f>COUNT($B$3:B33)</f>
        <v>31</v>
      </c>
      <c r="D33" s="1">
        <f>SUM($B$3:B33)</f>
        <v>5794.6666666666806</v>
      </c>
      <c r="E33" s="1">
        <f>SUM($A$3:A33)</f>
        <v>496</v>
      </c>
      <c r="F33" s="1">
        <f>SUM($H$3:H33)</f>
        <v>10416</v>
      </c>
      <c r="G33" s="1">
        <f>SUM($I$3:I33)</f>
        <v>119879.66666666704</v>
      </c>
      <c r="H33" s="1">
        <f t="shared" si="0"/>
        <v>961</v>
      </c>
      <c r="I33" s="1">
        <f t="shared" si="1"/>
        <v>10901.666666666708</v>
      </c>
      <c r="J33" s="32">
        <f t="shared" si="2"/>
        <v>11.666666666666149</v>
      </c>
      <c r="K33" s="32">
        <f t="shared" si="3"/>
        <v>10.953629032258124</v>
      </c>
      <c r="L33" s="1"/>
      <c r="M33" s="41">
        <f t="shared" si="4"/>
        <v>351.22916666666805</v>
      </c>
      <c r="N33" s="41">
        <f t="shared" si="5"/>
        <v>-0.43749999999994316</v>
      </c>
      <c r="O33" s="41">
        <f t="shared" si="6"/>
        <v>0.19140624999995026</v>
      </c>
    </row>
    <row r="34" spans="1:15" x14ac:dyDescent="0.25">
      <c r="A34" s="1">
        <v>32</v>
      </c>
      <c r="B34" s="20">
        <f>'הזנת נתונים'!A32</f>
        <v>362.66666666666799</v>
      </c>
      <c r="C34" s="1">
        <f>COUNT($B$3:B34)</f>
        <v>32</v>
      </c>
      <c r="D34" s="1">
        <f>SUM($B$3:B34)</f>
        <v>6157.3333333333485</v>
      </c>
      <c r="E34" s="1">
        <f>SUM($A$3:A34)</f>
        <v>528</v>
      </c>
      <c r="F34" s="1">
        <f>SUM($H$3:H34)</f>
        <v>11440</v>
      </c>
      <c r="G34" s="1">
        <f>SUM($I$3:I34)</f>
        <v>131485.00000000041</v>
      </c>
      <c r="H34" s="1">
        <f t="shared" si="0"/>
        <v>1024</v>
      </c>
      <c r="I34" s="1">
        <f t="shared" si="1"/>
        <v>11605.333333333376</v>
      </c>
      <c r="J34" s="32">
        <f t="shared" si="2"/>
        <v>11.636424731182302</v>
      </c>
      <c r="K34" s="32">
        <f t="shared" si="3"/>
        <v>10.956378299120294</v>
      </c>
      <c r="L34" s="1"/>
      <c r="M34" s="41">
        <f t="shared" si="4"/>
        <v>362.24053030303173</v>
      </c>
      <c r="N34" s="41">
        <f t="shared" si="5"/>
        <v>-0.42613636363626028</v>
      </c>
      <c r="O34" s="41">
        <f t="shared" si="6"/>
        <v>0.18159220041313506</v>
      </c>
    </row>
    <row r="35" spans="1:15" x14ac:dyDescent="0.25">
      <c r="A35" s="1">
        <v>33</v>
      </c>
      <c r="B35" s="20">
        <f>'הזנת נתונים'!A33</f>
        <v>373.66666666666799</v>
      </c>
      <c r="C35" s="1">
        <f>COUNT($B$3:B35)</f>
        <v>33</v>
      </c>
      <c r="D35" s="1">
        <f>SUM($B$3:B35)</f>
        <v>6531.0000000000164</v>
      </c>
      <c r="E35" s="1">
        <f>SUM($A$3:A35)</f>
        <v>561</v>
      </c>
      <c r="F35" s="1">
        <f>SUM($H$3:H35)</f>
        <v>12529</v>
      </c>
      <c r="G35" s="1">
        <f>SUM($I$3:I35)</f>
        <v>143816.00000000047</v>
      </c>
      <c r="H35" s="1">
        <f t="shared" si="0"/>
        <v>1089</v>
      </c>
      <c r="I35" s="1">
        <f t="shared" si="1"/>
        <v>12331.000000000044</v>
      </c>
      <c r="J35" s="32">
        <f t="shared" si="2"/>
        <v>11.607954545454078</v>
      </c>
      <c r="K35" s="32">
        <f t="shared" si="3"/>
        <v>10.958890374331608</v>
      </c>
      <c r="L35" s="1"/>
      <c r="M35" s="41">
        <f t="shared" si="4"/>
        <v>373.25133689839708</v>
      </c>
      <c r="N35" s="41">
        <f t="shared" si="5"/>
        <v>-0.41532976827090806</v>
      </c>
      <c r="O35" s="41">
        <f t="shared" si="6"/>
        <v>0.17249881641196618</v>
      </c>
    </row>
    <row r="36" spans="1:15" x14ac:dyDescent="0.25">
      <c r="A36" s="1">
        <v>34</v>
      </c>
      <c r="B36" s="20">
        <f>'הזנת נתונים'!A34</f>
        <v>384.66666666666799</v>
      </c>
      <c r="C36" s="1">
        <f>COUNT($B$3:B36)</f>
        <v>34</v>
      </c>
      <c r="D36" s="1">
        <f>SUM($B$3:B36)</f>
        <v>6915.6666666666843</v>
      </c>
      <c r="E36" s="1">
        <f>SUM($A$3:A36)</f>
        <v>595</v>
      </c>
      <c r="F36" s="1">
        <f>SUM($H$3:H36)</f>
        <v>13685</v>
      </c>
      <c r="G36" s="1">
        <f>SUM($I$3:I36)</f>
        <v>156894.66666666718</v>
      </c>
      <c r="H36" s="1">
        <f t="shared" si="0"/>
        <v>1156</v>
      </c>
      <c r="I36" s="1">
        <f t="shared" si="1"/>
        <v>13078.666666666712</v>
      </c>
      <c r="J36" s="32">
        <f t="shared" ref="J36:J62" si="7">(D36-K36*E36)/(C36)</f>
        <v>11.581105169339935</v>
      </c>
      <c r="K36" s="32">
        <f t="shared" ref="K36:K62" si="8">(C36*G36-D36*E36)/(C36*F36-(E36)^2)</f>
        <v>10.961191749427103</v>
      </c>
      <c r="L36" s="1"/>
      <c r="M36" s="41">
        <f t="shared" ref="M36:M62" si="9">J36+K36*A36</f>
        <v>384.26162464986146</v>
      </c>
      <c r="N36" s="41">
        <f t="shared" ref="N36:N62" si="10">M36-B36</f>
        <v>-0.40504201680653296</v>
      </c>
      <c r="O36" s="41">
        <f t="shared" si="6"/>
        <v>0.16405903537870373</v>
      </c>
    </row>
    <row r="37" spans="1:15" x14ac:dyDescent="0.25">
      <c r="A37" s="1">
        <v>35</v>
      </c>
      <c r="B37" s="20">
        <f>'הזנת נתונים'!A35</f>
        <v>395.66666666666799</v>
      </c>
      <c r="C37" s="1">
        <f>COUNT($B$3:B37)</f>
        <v>35</v>
      </c>
      <c r="D37" s="1">
        <f>SUM($B$3:B37)</f>
        <v>7311.3333333333521</v>
      </c>
      <c r="E37" s="1">
        <f>SUM($A$3:A37)</f>
        <v>630</v>
      </c>
      <c r="F37" s="1">
        <f>SUM($H$3:H37)</f>
        <v>14910</v>
      </c>
      <c r="G37" s="1">
        <f>SUM($I$3:I37)</f>
        <v>170743.00000000055</v>
      </c>
      <c r="H37" s="1">
        <f t="shared" si="0"/>
        <v>1225</v>
      </c>
      <c r="I37" s="1">
        <f t="shared" si="1"/>
        <v>13848.333333333379</v>
      </c>
      <c r="J37" s="32">
        <f t="shared" si="7"/>
        <v>11.555742296918236</v>
      </c>
      <c r="K37" s="32">
        <f t="shared" si="8"/>
        <v>10.96330532212891</v>
      </c>
      <c r="L37" s="1"/>
      <c r="M37" s="41">
        <f t="shared" si="9"/>
        <v>395.27142857143014</v>
      </c>
      <c r="N37" s="41">
        <f t="shared" si="10"/>
        <v>-0.39523809523785758</v>
      </c>
      <c r="O37" s="41">
        <f t="shared" si="6"/>
        <v>0.15621315192724977</v>
      </c>
    </row>
    <row r="38" spans="1:15" x14ac:dyDescent="0.25">
      <c r="A38" s="1">
        <v>36</v>
      </c>
      <c r="B38" s="20">
        <f>'הזנת נתונים'!A36</f>
        <v>406.66666666666799</v>
      </c>
      <c r="C38" s="1">
        <f>COUNT($B$3:B38)</f>
        <v>36</v>
      </c>
      <c r="D38" s="1">
        <f>SUM($B$3:B38)</f>
        <v>7718.00000000002</v>
      </c>
      <c r="E38" s="1">
        <f>SUM($A$3:A38)</f>
        <v>666</v>
      </c>
      <c r="F38" s="1">
        <f>SUM($H$3:H38)</f>
        <v>16206</v>
      </c>
      <c r="G38" s="1">
        <f>SUM($I$3:I38)</f>
        <v>185383.00000000061</v>
      </c>
      <c r="H38" s="1">
        <f t="shared" si="0"/>
        <v>1296</v>
      </c>
      <c r="I38" s="1">
        <f t="shared" si="1"/>
        <v>14640.000000000047</v>
      </c>
      <c r="J38" s="32">
        <f t="shared" si="7"/>
        <v>11.531746031745342</v>
      </c>
      <c r="K38" s="32">
        <f t="shared" si="8"/>
        <v>10.965250965251032</v>
      </c>
      <c r="L38" s="1"/>
      <c r="M38" s="41">
        <f t="shared" si="9"/>
        <v>406.28078078078249</v>
      </c>
      <c r="N38" s="41">
        <f t="shared" si="10"/>
        <v>-0.3858858858855001</v>
      </c>
      <c r="O38" s="41">
        <f t="shared" si="6"/>
        <v>0.14890791692563721</v>
      </c>
    </row>
    <row r="39" spans="1:15" x14ac:dyDescent="0.25">
      <c r="A39" s="1">
        <v>37</v>
      </c>
      <c r="B39" s="20">
        <f>'הזנת נתונים'!A37</f>
        <v>417.66666666666799</v>
      </c>
      <c r="C39" s="1">
        <f>COUNT($B$3:B39)</f>
        <v>37</v>
      </c>
      <c r="D39" s="1">
        <f>SUM($B$3:B39)</f>
        <v>8135.6666666666879</v>
      </c>
      <c r="E39" s="1">
        <f>SUM($A$3:A39)</f>
        <v>703</v>
      </c>
      <c r="F39" s="1">
        <f>SUM($H$3:H39)</f>
        <v>17575</v>
      </c>
      <c r="G39" s="1">
        <f>SUM($I$3:I39)</f>
        <v>200836.66666666733</v>
      </c>
      <c r="H39" s="1">
        <f t="shared" si="0"/>
        <v>1369</v>
      </c>
      <c r="I39" s="1">
        <f t="shared" si="1"/>
        <v>15453.666666666715</v>
      </c>
      <c r="J39" s="32">
        <f t="shared" si="7"/>
        <v>11.509009009008436</v>
      </c>
      <c r="K39" s="32">
        <f t="shared" si="8"/>
        <v>10.967045993361843</v>
      </c>
      <c r="L39" s="1"/>
      <c r="M39" s="41">
        <f t="shared" si="9"/>
        <v>417.28971076339661</v>
      </c>
      <c r="N39" s="41">
        <f t="shared" si="10"/>
        <v>-0.37695590327138007</v>
      </c>
      <c r="O39" s="41">
        <f t="shared" si="6"/>
        <v>0.14209575301114205</v>
      </c>
    </row>
    <row r="40" spans="1:15" x14ac:dyDescent="0.25">
      <c r="A40" s="1">
        <v>38</v>
      </c>
      <c r="B40" s="20">
        <f>'הזנת נתונים'!A38</f>
        <v>428.66666666666902</v>
      </c>
      <c r="C40" s="1">
        <f>COUNT($B$3:B40)</f>
        <v>38</v>
      </c>
      <c r="D40" s="1">
        <f>SUM($B$3:B40)</f>
        <v>8564.3333333333576</v>
      </c>
      <c r="E40" s="1">
        <f>SUM($A$3:A40)</f>
        <v>741</v>
      </c>
      <c r="F40" s="1">
        <f>SUM($H$3:H40)</f>
        <v>19019</v>
      </c>
      <c r="G40" s="1">
        <f>SUM($I$3:I40)</f>
        <v>217126.00000000076</v>
      </c>
      <c r="H40" s="1">
        <f t="shared" si="0"/>
        <v>1444</v>
      </c>
      <c r="I40" s="1">
        <f t="shared" si="1"/>
        <v>16289.333333333423</v>
      </c>
      <c r="J40" s="32">
        <f t="shared" si="7"/>
        <v>11.487434803223646</v>
      </c>
      <c r="K40" s="32">
        <f t="shared" si="8"/>
        <v>10.968705547652981</v>
      </c>
      <c r="L40" s="1"/>
      <c r="M40" s="41">
        <f t="shared" si="9"/>
        <v>428.29824561403694</v>
      </c>
      <c r="N40" s="41">
        <f t="shared" si="10"/>
        <v>-0.36842105263207259</v>
      </c>
      <c r="O40" s="41">
        <f t="shared" si="6"/>
        <v>0.13573407202252441</v>
      </c>
    </row>
    <row r="41" spans="1:15" x14ac:dyDescent="0.25">
      <c r="A41" s="1">
        <v>39</v>
      </c>
      <c r="B41" s="20">
        <f>'הזנת נתונים'!A39</f>
        <v>439.66666666666902</v>
      </c>
      <c r="C41" s="1">
        <f>COUNT($B$3:B41)</f>
        <v>39</v>
      </c>
      <c r="D41" s="1">
        <f>SUM($B$3:B41)</f>
        <v>9004.0000000000273</v>
      </c>
      <c r="E41" s="1">
        <f>SUM($A$3:A41)</f>
        <v>780</v>
      </c>
      <c r="F41" s="1">
        <f>SUM($H$3:H41)</f>
        <v>20540</v>
      </c>
      <c r="G41" s="1">
        <f>SUM($I$3:I41)</f>
        <v>234273.00000000084</v>
      </c>
      <c r="H41" s="1">
        <f t="shared" si="0"/>
        <v>1521</v>
      </c>
      <c r="I41" s="1">
        <f t="shared" si="1"/>
        <v>17147.000000000091</v>
      </c>
      <c r="J41" s="32">
        <f t="shared" si="7"/>
        <v>11.466936572199138</v>
      </c>
      <c r="K41" s="32">
        <f t="shared" si="8"/>
        <v>10.970242914979821</v>
      </c>
      <c r="L41" s="1"/>
      <c r="M41" s="41">
        <f t="shared" si="9"/>
        <v>439.30641025641211</v>
      </c>
      <c r="N41" s="41">
        <f t="shared" si="10"/>
        <v>-0.36025641025690902</v>
      </c>
      <c r="O41" s="41">
        <f t="shared" si="6"/>
        <v>0.12978468113119435</v>
      </c>
    </row>
    <row r="42" spans="1:15" x14ac:dyDescent="0.25">
      <c r="A42" s="1">
        <v>40</v>
      </c>
      <c r="B42" s="20">
        <f>'הזנת נתונים'!A40</f>
        <v>450.66666666666902</v>
      </c>
      <c r="C42" s="1">
        <f>COUNT($B$3:B42)</f>
        <v>40</v>
      </c>
      <c r="D42" s="1">
        <f>SUM($B$3:B42)</f>
        <v>9454.666666666697</v>
      </c>
      <c r="E42" s="1">
        <f>SUM($A$3:A42)</f>
        <v>820</v>
      </c>
      <c r="F42" s="1">
        <f>SUM($H$3:H42)</f>
        <v>22140</v>
      </c>
      <c r="G42" s="1">
        <f>SUM($I$3:I42)</f>
        <v>252299.66666666762</v>
      </c>
      <c r="H42" s="1">
        <f t="shared" si="0"/>
        <v>1600</v>
      </c>
      <c r="I42" s="1">
        <f t="shared" si="1"/>
        <v>18026.666666666759</v>
      </c>
      <c r="J42" s="32">
        <f t="shared" si="7"/>
        <v>11.447435897435298</v>
      </c>
      <c r="K42" s="32">
        <f t="shared" si="8"/>
        <v>10.971669793621079</v>
      </c>
      <c r="L42" s="1"/>
      <c r="M42" s="41">
        <f t="shared" si="9"/>
        <v>450.31422764227841</v>
      </c>
      <c r="N42" s="41">
        <f t="shared" si="10"/>
        <v>-0.35243902439060548</v>
      </c>
      <c r="O42" s="41">
        <f t="shared" si="6"/>
        <v>0.1242132659134018</v>
      </c>
    </row>
    <row r="43" spans="1:15" x14ac:dyDescent="0.25">
      <c r="A43" s="1">
        <v>41</v>
      </c>
      <c r="B43" s="20">
        <f>'הזנת נתונים'!A41</f>
        <v>461.66666666666902</v>
      </c>
      <c r="C43" s="1">
        <f>COUNT($B$3:B43)</f>
        <v>41</v>
      </c>
      <c r="D43" s="1">
        <f>SUM($B$3:B43)</f>
        <v>9916.3333333333667</v>
      </c>
      <c r="E43" s="1">
        <f>SUM($A$3:A43)</f>
        <v>861</v>
      </c>
      <c r="F43" s="1">
        <f>SUM($H$3:H43)</f>
        <v>23821</v>
      </c>
      <c r="G43" s="1">
        <f>SUM($I$3:I43)</f>
        <v>271228.00000000105</v>
      </c>
      <c r="H43" s="1">
        <f t="shared" si="0"/>
        <v>1681</v>
      </c>
      <c r="I43" s="1">
        <f t="shared" si="1"/>
        <v>18928.33333333343</v>
      </c>
      <c r="J43" s="32">
        <f t="shared" si="7"/>
        <v>11.428861788617368</v>
      </c>
      <c r="K43" s="32">
        <f t="shared" si="8"/>
        <v>10.972996515679506</v>
      </c>
      <c r="L43" s="1"/>
      <c r="M43" s="41">
        <f t="shared" si="9"/>
        <v>461.32171893147716</v>
      </c>
      <c r="N43" s="41">
        <f t="shared" si="10"/>
        <v>-0.34494773519185173</v>
      </c>
      <c r="O43" s="41">
        <f t="shared" si="6"/>
        <v>0.11898894001398787</v>
      </c>
    </row>
    <row r="44" spans="1:15" x14ac:dyDescent="0.25">
      <c r="A44" s="1">
        <v>42</v>
      </c>
      <c r="B44" s="20">
        <f>'הזנת נתונים'!A42</f>
        <v>472.66666666666902</v>
      </c>
      <c r="C44" s="1">
        <f>COUNT($B$3:B44)</f>
        <v>42</v>
      </c>
      <c r="D44" s="1">
        <f>SUM($B$3:B44)</f>
        <v>10389.000000000036</v>
      </c>
      <c r="E44" s="1">
        <f>SUM($A$3:A44)</f>
        <v>903</v>
      </c>
      <c r="F44" s="1">
        <f>SUM($H$3:H44)</f>
        <v>25585</v>
      </c>
      <c r="G44" s="1">
        <f>SUM($I$3:I44)</f>
        <v>291080.00000000116</v>
      </c>
      <c r="H44" s="1">
        <f t="shared" si="0"/>
        <v>1764</v>
      </c>
      <c r="I44" s="1">
        <f t="shared" si="1"/>
        <v>19852.000000000098</v>
      </c>
      <c r="J44" s="32">
        <f t="shared" si="7"/>
        <v>11.411149825783598</v>
      </c>
      <c r="K44" s="32">
        <f t="shared" si="8"/>
        <v>10.97423223401675</v>
      </c>
      <c r="L44" s="1"/>
      <c r="M44" s="41">
        <f t="shared" si="9"/>
        <v>472.32890365448708</v>
      </c>
      <c r="N44" s="41">
        <f t="shared" si="10"/>
        <v>-0.33776301218193794</v>
      </c>
      <c r="O44" s="41">
        <f t="shared" si="6"/>
        <v>0.11408385239821596</v>
      </c>
    </row>
    <row r="45" spans="1:15" x14ac:dyDescent="0.25">
      <c r="A45" s="1">
        <v>43</v>
      </c>
      <c r="B45" s="20">
        <f>'הזנת נתונים'!A43</f>
        <v>483.66666666666902</v>
      </c>
      <c r="C45" s="1">
        <f>COUNT($B$3:B45)</f>
        <v>43</v>
      </c>
      <c r="D45" s="1">
        <f>SUM($B$3:B45)</f>
        <v>10872.666666666706</v>
      </c>
      <c r="E45" s="1">
        <f>SUM($A$3:A45)</f>
        <v>946</v>
      </c>
      <c r="F45" s="1">
        <f>SUM($H$3:H45)</f>
        <v>27434</v>
      </c>
      <c r="G45" s="1">
        <f>SUM($I$3:I45)</f>
        <v>311877.66666666791</v>
      </c>
      <c r="H45" s="1">
        <f t="shared" si="0"/>
        <v>1849</v>
      </c>
      <c r="I45" s="1">
        <f t="shared" si="1"/>
        <v>20797.666666666766</v>
      </c>
      <c r="J45" s="32">
        <f t="shared" si="7"/>
        <v>11.394241417496824</v>
      </c>
      <c r="K45" s="32">
        <f t="shared" si="8"/>
        <v>10.975385080036302</v>
      </c>
      <c r="L45" s="1"/>
      <c r="M45" s="41">
        <f t="shared" si="9"/>
        <v>483.33579985905777</v>
      </c>
      <c r="N45" s="41">
        <f t="shared" si="10"/>
        <v>-0.33086680761124398</v>
      </c>
      <c r="O45" s="41">
        <f t="shared" si="6"/>
        <v>0.10947284437885595</v>
      </c>
    </row>
    <row r="46" spans="1:15" x14ac:dyDescent="0.25">
      <c r="A46" s="1">
        <v>44</v>
      </c>
      <c r="B46" s="20">
        <f>'הזנת נתונים'!A44</f>
        <v>494.66666666666902</v>
      </c>
      <c r="C46" s="1">
        <f>COUNT($B$3:B46)</f>
        <v>44</v>
      </c>
      <c r="D46" s="1">
        <f>SUM($B$3:B46)</f>
        <v>11367.333333333376</v>
      </c>
      <c r="E46" s="1">
        <f>SUM($A$3:A46)</f>
        <v>990</v>
      </c>
      <c r="F46" s="1">
        <f>SUM($H$3:H46)</f>
        <v>29370</v>
      </c>
      <c r="G46" s="1">
        <f>SUM($I$3:I46)</f>
        <v>333643.00000000134</v>
      </c>
      <c r="H46" s="1">
        <f t="shared" si="0"/>
        <v>1936</v>
      </c>
      <c r="I46" s="1">
        <f t="shared" si="1"/>
        <v>21765.333333333438</v>
      </c>
      <c r="J46" s="32">
        <f t="shared" si="7"/>
        <v>11.378083157152684</v>
      </c>
      <c r="K46" s="32">
        <f t="shared" si="8"/>
        <v>10.976462297392583</v>
      </c>
      <c r="L46" s="1"/>
      <c r="M46" s="41">
        <f t="shared" si="9"/>
        <v>494.34242424242632</v>
      </c>
      <c r="N46" s="41">
        <f t="shared" si="10"/>
        <v>-0.32424242424269778</v>
      </c>
      <c r="O46" s="41">
        <f t="shared" si="6"/>
        <v>0.10513314967878161</v>
      </c>
    </row>
    <row r="47" spans="1:15" x14ac:dyDescent="0.25">
      <c r="A47" s="1">
        <v>45</v>
      </c>
      <c r="B47" s="20">
        <f>'הזנת נתונים'!A45</f>
        <v>505.66666666666799</v>
      </c>
      <c r="C47" s="1">
        <f>COUNT($B$3:B47)</f>
        <v>45</v>
      </c>
      <c r="D47" s="1">
        <f>SUM($B$3:B47)</f>
        <v>11873.000000000044</v>
      </c>
      <c r="E47" s="1">
        <f>SUM($A$3:A47)</f>
        <v>1035</v>
      </c>
      <c r="F47" s="1">
        <f>SUM($H$3:H47)</f>
        <v>31395</v>
      </c>
      <c r="G47" s="1">
        <f>SUM($I$3:I47)</f>
        <v>356398.0000000014</v>
      </c>
      <c r="H47" s="1">
        <f t="shared" si="0"/>
        <v>2025</v>
      </c>
      <c r="I47" s="1">
        <f t="shared" si="1"/>
        <v>22755.000000000058</v>
      </c>
      <c r="J47" s="32">
        <f t="shared" si="7"/>
        <v>11.362626262625984</v>
      </c>
      <c r="K47" s="32">
        <f t="shared" si="8"/>
        <v>10.977470355731279</v>
      </c>
      <c r="L47" s="1"/>
      <c r="M47" s="41">
        <f t="shared" si="9"/>
        <v>505.34879227053358</v>
      </c>
      <c r="N47" s="41">
        <f t="shared" si="10"/>
        <v>-0.31787439613441393</v>
      </c>
      <c r="O47" s="41">
        <f t="shared" si="6"/>
        <v>0.10104413171781831</v>
      </c>
    </row>
    <row r="48" spans="1:15" x14ac:dyDescent="0.25">
      <c r="A48" s="1">
        <v>46</v>
      </c>
      <c r="B48" s="20">
        <f>'הזנת נתונים'!A46</f>
        <v>516.66666666666902</v>
      </c>
      <c r="C48" s="1">
        <f>COUNT($B$3:B48)</f>
        <v>46</v>
      </c>
      <c r="D48" s="1">
        <f>SUM($B$3:B48)</f>
        <v>12389.666666666713</v>
      </c>
      <c r="E48" s="1">
        <f>SUM($A$3:A48)</f>
        <v>1081</v>
      </c>
      <c r="F48" s="1">
        <f>SUM($H$3:H48)</f>
        <v>33511</v>
      </c>
      <c r="G48" s="1">
        <f>SUM($I$3:I48)</f>
        <v>380164.66666666814</v>
      </c>
      <c r="H48" s="1">
        <f t="shared" si="0"/>
        <v>2116</v>
      </c>
      <c r="I48" s="1">
        <f t="shared" si="1"/>
        <v>23766.666666666773</v>
      </c>
      <c r="J48" s="32">
        <f t="shared" si="7"/>
        <v>11.347826086956363</v>
      </c>
      <c r="K48" s="32">
        <f t="shared" si="8"/>
        <v>10.978415047795302</v>
      </c>
      <c r="L48" s="1"/>
      <c r="M48" s="41">
        <f t="shared" si="9"/>
        <v>516.35491828554029</v>
      </c>
      <c r="N48" s="41">
        <f t="shared" si="10"/>
        <v>-0.31174838112872294</v>
      </c>
      <c r="O48" s="41">
        <f t="shared" si="6"/>
        <v>9.71870531363795E-2</v>
      </c>
    </row>
    <row r="49" spans="1:15" x14ac:dyDescent="0.25">
      <c r="A49" s="1">
        <v>47</v>
      </c>
      <c r="B49" s="20">
        <f>'הזנת נתונים'!A47</f>
        <v>527.66666666666902</v>
      </c>
      <c r="C49" s="1">
        <f>COUNT($B$3:B49)</f>
        <v>47</v>
      </c>
      <c r="D49" s="1">
        <f>SUM($B$3:B49)</f>
        <v>12917.333333333383</v>
      </c>
      <c r="E49" s="1">
        <f>SUM($A$3:A49)</f>
        <v>1128</v>
      </c>
      <c r="F49" s="1">
        <f>SUM($H$3:H49)</f>
        <v>35720</v>
      </c>
      <c r="G49" s="1">
        <f>SUM($I$3:I49)</f>
        <v>404965.00000000157</v>
      </c>
      <c r="H49" s="1">
        <f t="shared" si="0"/>
        <v>2209</v>
      </c>
      <c r="I49" s="1">
        <f t="shared" si="1"/>
        <v>24800.333333333445</v>
      </c>
      <c r="J49" s="32">
        <f t="shared" si="7"/>
        <v>11.333641689793366</v>
      </c>
      <c r="K49" s="32">
        <f t="shared" si="8"/>
        <v>10.979301572617992</v>
      </c>
      <c r="L49" s="1"/>
      <c r="M49" s="41">
        <f t="shared" si="9"/>
        <v>527.36081560283901</v>
      </c>
      <c r="N49" s="41">
        <f t="shared" si="10"/>
        <v>-0.30585106383000493</v>
      </c>
      <c r="O49" s="41">
        <f t="shared" si="6"/>
        <v>9.354487324594575E-2</v>
      </c>
    </row>
    <row r="50" spans="1:15" x14ac:dyDescent="0.25">
      <c r="A50" s="1">
        <v>48</v>
      </c>
      <c r="B50" s="20">
        <f>'הזנת נתונים'!A48</f>
        <v>538.66666666666902</v>
      </c>
      <c r="C50" s="1">
        <f>COUNT($B$3:B50)</f>
        <v>48</v>
      </c>
      <c r="D50" s="1">
        <f>SUM($B$3:B50)</f>
        <v>13456.000000000053</v>
      </c>
      <c r="E50" s="1">
        <f>SUM($A$3:A50)</f>
        <v>1176</v>
      </c>
      <c r="F50" s="1">
        <f>SUM($H$3:H50)</f>
        <v>38024</v>
      </c>
      <c r="G50" s="1">
        <f>SUM($I$3:I50)</f>
        <v>430821.00000000169</v>
      </c>
      <c r="H50" s="1">
        <f t="shared" si="0"/>
        <v>2304</v>
      </c>
      <c r="I50" s="1">
        <f t="shared" si="1"/>
        <v>25856.000000000113</v>
      </c>
      <c r="J50" s="32">
        <f t="shared" si="7"/>
        <v>11.32003546099285</v>
      </c>
      <c r="K50" s="32">
        <f t="shared" si="8"/>
        <v>10.98013460703435</v>
      </c>
      <c r="L50" s="1"/>
      <c r="M50" s="41">
        <f t="shared" si="9"/>
        <v>538.36649659864156</v>
      </c>
      <c r="N50" s="41">
        <f t="shared" si="10"/>
        <v>-0.30017006802745527</v>
      </c>
      <c r="O50" s="41">
        <f t="shared" si="6"/>
        <v>9.0102069739607132E-2</v>
      </c>
    </row>
    <row r="51" spans="1:15" x14ac:dyDescent="0.25">
      <c r="A51" s="1">
        <v>49</v>
      </c>
      <c r="B51" s="20">
        <f>'הזנת נתונים'!A49</f>
        <v>549.66666666666902</v>
      </c>
      <c r="C51" s="1">
        <f>COUNT($B$3:B51)</f>
        <v>49</v>
      </c>
      <c r="D51" s="1">
        <f>SUM($B$3:B51)</f>
        <v>14005.666666666722</v>
      </c>
      <c r="E51" s="1">
        <f>SUM($A$3:A51)</f>
        <v>1225</v>
      </c>
      <c r="F51" s="1">
        <f>SUM($H$3:H51)</f>
        <v>40425</v>
      </c>
      <c r="G51" s="1">
        <f>SUM($I$3:I51)</f>
        <v>457754.66666666849</v>
      </c>
      <c r="H51" s="1">
        <f t="shared" si="0"/>
        <v>2401</v>
      </c>
      <c r="I51" s="1">
        <f t="shared" si="1"/>
        <v>26933.666666666781</v>
      </c>
      <c r="J51" s="32">
        <f t="shared" si="7"/>
        <v>11.306972789115596</v>
      </c>
      <c r="K51" s="32">
        <f t="shared" si="8"/>
        <v>10.980918367346986</v>
      </c>
      <c r="L51" s="1"/>
      <c r="M51" s="41">
        <f t="shared" si="9"/>
        <v>549.37197278911788</v>
      </c>
      <c r="N51" s="41">
        <f t="shared" si="10"/>
        <v>-0.29469387755113985</v>
      </c>
      <c r="O51" s="41">
        <f t="shared" si="6"/>
        <v>8.6844481466126208E-2</v>
      </c>
    </row>
    <row r="52" spans="1:15" x14ac:dyDescent="0.25">
      <c r="A52" s="1">
        <v>50</v>
      </c>
      <c r="B52" s="20">
        <f>'הזנת נתונים'!A50</f>
        <v>560.66666666666902</v>
      </c>
      <c r="C52" s="1">
        <f>COUNT($B$3:B52)</f>
        <v>50</v>
      </c>
      <c r="D52" s="1">
        <f>SUM($B$3:B52)</f>
        <v>14566.333333333392</v>
      </c>
      <c r="E52" s="1">
        <f>SUM($A$3:A52)</f>
        <v>1275</v>
      </c>
      <c r="F52" s="1">
        <f>SUM($H$3:H52)</f>
        <v>42925</v>
      </c>
      <c r="G52" s="1">
        <f>SUM($I$3:I52)</f>
        <v>485788.00000000192</v>
      </c>
      <c r="H52" s="1">
        <f t="shared" si="0"/>
        <v>2500</v>
      </c>
      <c r="I52" s="1">
        <f t="shared" si="1"/>
        <v>28033.333333333452</v>
      </c>
      <c r="J52" s="32">
        <f t="shared" si="7"/>
        <v>11.294421768707544</v>
      </c>
      <c r="K52" s="32">
        <f t="shared" si="8"/>
        <v>10.98165666266511</v>
      </c>
      <c r="L52" s="1"/>
      <c r="M52" s="41">
        <f t="shared" si="9"/>
        <v>560.37725490196306</v>
      </c>
      <c r="N52" s="41">
        <f t="shared" si="10"/>
        <v>-0.28941176470596019</v>
      </c>
      <c r="O52" s="41">
        <f t="shared" si="6"/>
        <v>8.3759169550218074E-2</v>
      </c>
    </row>
    <row r="53" spans="1:15" x14ac:dyDescent="0.25">
      <c r="A53" s="1">
        <v>51</v>
      </c>
      <c r="B53" s="20">
        <f>'הזנת נתונים'!A51</f>
        <v>571.66666666666902</v>
      </c>
      <c r="C53" s="1">
        <f>COUNT($B$3:B53)</f>
        <v>51</v>
      </c>
      <c r="D53" s="1">
        <f>SUM($B$3:B53)</f>
        <v>15138.000000000062</v>
      </c>
      <c r="E53" s="1">
        <f>SUM($A$3:A53)</f>
        <v>1326</v>
      </c>
      <c r="F53" s="1">
        <f>SUM($H$3:H53)</f>
        <v>45526</v>
      </c>
      <c r="G53" s="1">
        <f>SUM($I$3:I53)</f>
        <v>514943.00000000204</v>
      </c>
      <c r="H53" s="1">
        <f t="shared" si="0"/>
        <v>2601</v>
      </c>
      <c r="I53" s="1">
        <f t="shared" si="1"/>
        <v>29155.00000000012</v>
      </c>
      <c r="J53" s="32">
        <f t="shared" si="7"/>
        <v>11.282352941176677</v>
      </c>
      <c r="K53" s="32">
        <f t="shared" si="8"/>
        <v>10.98235294117651</v>
      </c>
      <c r="L53" s="1"/>
      <c r="M53" s="41">
        <f t="shared" si="9"/>
        <v>571.38235294117862</v>
      </c>
      <c r="N53" s="41">
        <f t="shared" si="10"/>
        <v>-0.28431372549039224</v>
      </c>
      <c r="O53" s="41">
        <f t="shared" si="6"/>
        <v>8.0834294502226123E-2</v>
      </c>
    </row>
    <row r="54" spans="1:15" x14ac:dyDescent="0.25">
      <c r="A54" s="1">
        <v>52</v>
      </c>
      <c r="B54" s="20">
        <f>'הזנת נתונים'!A52</f>
        <v>582.66666666666902</v>
      </c>
      <c r="C54" s="1">
        <f>COUNT($B$3:B54)</f>
        <v>52</v>
      </c>
      <c r="D54" s="1">
        <f>SUM($B$3:B54)</f>
        <v>15720.666666666732</v>
      </c>
      <c r="E54" s="1">
        <f>SUM($A$3:A54)</f>
        <v>1378</v>
      </c>
      <c r="F54" s="1">
        <f>SUM($H$3:H54)</f>
        <v>48230</v>
      </c>
      <c r="G54" s="1">
        <f>SUM($I$3:I54)</f>
        <v>545241.66666666884</v>
      </c>
      <c r="H54" s="1">
        <f t="shared" si="0"/>
        <v>2704</v>
      </c>
      <c r="I54" s="1">
        <f t="shared" si="1"/>
        <v>30298.666666666788</v>
      </c>
      <c r="J54" s="32">
        <f t="shared" si="7"/>
        <v>11.27073906485699</v>
      </c>
      <c r="K54" s="32">
        <f t="shared" si="8"/>
        <v>10.983010330402154</v>
      </c>
      <c r="L54" s="1"/>
      <c r="M54" s="41">
        <f t="shared" si="9"/>
        <v>582.38727624576904</v>
      </c>
      <c r="N54" s="41">
        <f t="shared" si="10"/>
        <v>-0.27939042089997201</v>
      </c>
      <c r="O54" s="41">
        <f t="shared" si="6"/>
        <v>7.8059007290663521E-2</v>
      </c>
    </row>
    <row r="55" spans="1:15" x14ac:dyDescent="0.25">
      <c r="A55" s="1">
        <v>53</v>
      </c>
      <c r="B55" s="20">
        <f>'הזנת נתונים'!A53</f>
        <v>593.66666666666902</v>
      </c>
      <c r="C55" s="1">
        <f>COUNT($B$3:B55)</f>
        <v>53</v>
      </c>
      <c r="D55" s="1">
        <f>SUM($B$3:B55)</f>
        <v>16314.333333333401</v>
      </c>
      <c r="E55" s="1">
        <f>SUM($A$3:A55)</f>
        <v>1431</v>
      </c>
      <c r="F55" s="1">
        <f>SUM($H$3:H55)</f>
        <v>51039</v>
      </c>
      <c r="G55" s="1">
        <f>SUM($I$3:I55)</f>
        <v>576706.00000000233</v>
      </c>
      <c r="H55" s="1">
        <f t="shared" si="0"/>
        <v>2809</v>
      </c>
      <c r="I55" s="1">
        <f t="shared" si="1"/>
        <v>31464.333333333459</v>
      </c>
      <c r="J55" s="32">
        <f t="shared" si="7"/>
        <v>11.259554910498512</v>
      </c>
      <c r="K55" s="32">
        <f t="shared" si="8"/>
        <v>10.983631672310958</v>
      </c>
      <c r="L55" s="1"/>
      <c r="M55" s="41">
        <f t="shared" si="9"/>
        <v>593.39203354297933</v>
      </c>
      <c r="N55" s="41">
        <f t="shared" si="10"/>
        <v>-0.27463312368968218</v>
      </c>
      <c r="O55" s="41">
        <f t="shared" si="6"/>
        <v>7.5423352627552273E-2</v>
      </c>
    </row>
    <row r="56" spans="1:15" x14ac:dyDescent="0.25">
      <c r="A56" s="1">
        <v>54</v>
      </c>
      <c r="B56" s="20">
        <f>'הזנת נתונים'!A54</f>
        <v>604.66666666666902</v>
      </c>
      <c r="C56" s="1">
        <f>COUNT($B$3:B56)</f>
        <v>54</v>
      </c>
      <c r="D56" s="1">
        <f>SUM($B$3:B56)</f>
        <v>16919.000000000069</v>
      </c>
      <c r="E56" s="1">
        <f>SUM($A$3:A56)</f>
        <v>1485</v>
      </c>
      <c r="F56" s="1">
        <f>SUM($H$3:H56)</f>
        <v>53955</v>
      </c>
      <c r="G56" s="1">
        <f>SUM($I$3:I56)</f>
        <v>609358.00000000244</v>
      </c>
      <c r="H56" s="1">
        <f t="shared" si="0"/>
        <v>2916</v>
      </c>
      <c r="I56" s="1">
        <f t="shared" si="1"/>
        <v>32652.000000000127</v>
      </c>
      <c r="J56" s="32">
        <f t="shared" si="7"/>
        <v>11.248777078966029</v>
      </c>
      <c r="K56" s="32">
        <f t="shared" si="8"/>
        <v>10.984219554030911</v>
      </c>
      <c r="L56" s="1"/>
      <c r="M56" s="41">
        <f t="shared" si="9"/>
        <v>604.39663299663516</v>
      </c>
      <c r="N56" s="41">
        <f t="shared" si="10"/>
        <v>-0.27003367003385392</v>
      </c>
      <c r="O56" s="41">
        <f t="shared" si="6"/>
        <v>7.2918182951952293E-2</v>
      </c>
    </row>
    <row r="57" spans="1:15" x14ac:dyDescent="0.25">
      <c r="A57" s="1">
        <v>55</v>
      </c>
      <c r="B57" s="20">
        <f>'הזנת נתונים'!A55</f>
        <v>615.66666666666902</v>
      </c>
      <c r="C57" s="1">
        <f>COUNT($B$3:B57)</f>
        <v>55</v>
      </c>
      <c r="D57" s="1">
        <f>SUM($B$3:B57)</f>
        <v>17534.666666666737</v>
      </c>
      <c r="E57" s="1">
        <f>SUM($A$3:A57)</f>
        <v>1540</v>
      </c>
      <c r="F57" s="1">
        <f>SUM($H$3:H57)</f>
        <v>56980</v>
      </c>
      <c r="G57" s="1">
        <f>SUM($I$3:I57)</f>
        <v>643219.66666666919</v>
      </c>
      <c r="H57" s="1">
        <f t="shared" si="0"/>
        <v>3025</v>
      </c>
      <c r="I57" s="1">
        <f t="shared" si="1"/>
        <v>33861.666666666795</v>
      </c>
      <c r="J57" s="32">
        <f t="shared" si="7"/>
        <v>11.238383838384008</v>
      </c>
      <c r="K57" s="32">
        <f t="shared" si="8"/>
        <v>10.984776334776374</v>
      </c>
      <c r="L57" s="1"/>
      <c r="M57" s="41">
        <f t="shared" si="9"/>
        <v>615.40108225108463</v>
      </c>
      <c r="N57" s="41">
        <f t="shared" si="10"/>
        <v>-0.26558441558438517</v>
      </c>
      <c r="O57" s="41">
        <f t="shared" si="6"/>
        <v>7.0535081801299415E-2</v>
      </c>
    </row>
    <row r="58" spans="1:15" x14ac:dyDescent="0.25">
      <c r="A58" s="1">
        <v>56</v>
      </c>
      <c r="B58" s="20">
        <f>'הזנת נתונים'!A56</f>
        <v>626.66666666666902</v>
      </c>
      <c r="C58" s="1">
        <f>COUNT($B$3:B58)</f>
        <v>56</v>
      </c>
      <c r="D58" s="1">
        <f>SUM($B$3:B58)</f>
        <v>18161.333333333405</v>
      </c>
      <c r="E58" s="1">
        <f>SUM($A$3:A58)</f>
        <v>1596</v>
      </c>
      <c r="F58" s="1">
        <f>SUM($H$3:H58)</f>
        <v>60116</v>
      </c>
      <c r="G58" s="1">
        <f>SUM($I$3:I58)</f>
        <v>678313.00000000268</v>
      </c>
      <c r="H58" s="1">
        <f t="shared" si="0"/>
        <v>3136</v>
      </c>
      <c r="I58" s="1">
        <f t="shared" si="1"/>
        <v>35093.333333333467</v>
      </c>
      <c r="J58" s="32">
        <f t="shared" si="7"/>
        <v>11.228354978355062</v>
      </c>
      <c r="K58" s="32">
        <f t="shared" si="8"/>
        <v>10.985304169514738</v>
      </c>
      <c r="L58" s="1"/>
      <c r="M58" s="41">
        <f t="shared" si="9"/>
        <v>626.40538847118034</v>
      </c>
      <c r="N58" s="41">
        <f t="shared" si="10"/>
        <v>-0.26127819548867137</v>
      </c>
      <c r="O58" s="41">
        <f t="shared" si="6"/>
        <v>6.8266295437816371E-2</v>
      </c>
    </row>
    <row r="59" spans="1:15" x14ac:dyDescent="0.25">
      <c r="A59" s="1">
        <v>57</v>
      </c>
      <c r="B59" s="20">
        <f>'הזנת נתונים'!A57</f>
        <v>637.66666666666902</v>
      </c>
      <c r="C59" s="1">
        <f>COUNT($B$3:B59)</f>
        <v>57</v>
      </c>
      <c r="D59" s="1">
        <f>SUM($B$3:B59)</f>
        <v>18799.000000000073</v>
      </c>
      <c r="E59" s="1">
        <f>SUM($A$3:A59)</f>
        <v>1653</v>
      </c>
      <c r="F59" s="1">
        <f>SUM($H$3:H59)</f>
        <v>63365</v>
      </c>
      <c r="G59" s="1">
        <f>SUM($I$3:I59)</f>
        <v>714660.00000000279</v>
      </c>
      <c r="H59" s="1">
        <f t="shared" si="0"/>
        <v>3249</v>
      </c>
      <c r="I59" s="1">
        <f t="shared" si="1"/>
        <v>36347.000000000131</v>
      </c>
      <c r="J59" s="32">
        <f t="shared" si="7"/>
        <v>11.218671679198003</v>
      </c>
      <c r="K59" s="32">
        <f t="shared" si="8"/>
        <v>10.985805029815962</v>
      </c>
      <c r="L59" s="1"/>
      <c r="M59" s="41">
        <f t="shared" si="9"/>
        <v>637.40955837870786</v>
      </c>
      <c r="N59" s="41">
        <f t="shared" si="10"/>
        <v>-0.25710828796115948</v>
      </c>
      <c r="O59" s="41">
        <f t="shared" si="6"/>
        <v>6.6104671738318507E-2</v>
      </c>
    </row>
    <row r="60" spans="1:15" x14ac:dyDescent="0.25">
      <c r="A60" s="1">
        <v>58</v>
      </c>
      <c r="B60" s="20">
        <f>'הזנת נתונים'!A58</f>
        <v>648.66666666666902</v>
      </c>
      <c r="C60" s="1">
        <f>COUNT($B$3:B60)</f>
        <v>58</v>
      </c>
      <c r="D60" s="1">
        <f>SUM($B$3:B60)</f>
        <v>19447.666666666741</v>
      </c>
      <c r="E60" s="1">
        <f>SUM($A$3:A60)</f>
        <v>1711</v>
      </c>
      <c r="F60" s="1">
        <f>SUM($H$3:H60)</f>
        <v>66729</v>
      </c>
      <c r="G60" s="1">
        <f>SUM($I$3:I60)</f>
        <v>752282.66666666954</v>
      </c>
      <c r="H60" s="1">
        <f t="shared" si="0"/>
        <v>3364</v>
      </c>
      <c r="I60" s="1">
        <f t="shared" si="1"/>
        <v>37622.666666666802</v>
      </c>
      <c r="J60" s="32">
        <f t="shared" si="7"/>
        <v>11.209316394434389</v>
      </c>
      <c r="K60" s="32">
        <f t="shared" si="8"/>
        <v>10.98628072226157</v>
      </c>
      <c r="L60" s="1"/>
      <c r="M60" s="41">
        <f t="shared" si="9"/>
        <v>648.41359828560542</v>
      </c>
      <c r="N60" s="41">
        <f t="shared" si="10"/>
        <v>-0.25306838106359919</v>
      </c>
      <c r="O60" s="41">
        <f t="shared" si="6"/>
        <v>6.4043605494151043E-2</v>
      </c>
    </row>
    <row r="61" spans="1:15" x14ac:dyDescent="0.25">
      <c r="A61" s="1">
        <v>59</v>
      </c>
      <c r="B61" s="20">
        <f>'הזנת נתונים'!A59</f>
        <v>659.66666666666902</v>
      </c>
      <c r="C61" s="1">
        <f>COUNT($B$3:B61)</f>
        <v>59</v>
      </c>
      <c r="D61" s="1">
        <f>SUM($B$3:B61)</f>
        <v>20107.333333333409</v>
      </c>
      <c r="E61" s="1">
        <f>SUM($A$3:A61)</f>
        <v>1770</v>
      </c>
      <c r="F61" s="1">
        <f>SUM($H$3:H61)</f>
        <v>70210</v>
      </c>
      <c r="G61" s="1">
        <f>SUM($I$3:I61)</f>
        <v>791203.00000000303</v>
      </c>
      <c r="H61" s="1">
        <f t="shared" si="0"/>
        <v>3481</v>
      </c>
      <c r="I61" s="1">
        <f t="shared" si="1"/>
        <v>38920.333333333474</v>
      </c>
      <c r="J61" s="32">
        <f t="shared" si="7"/>
        <v>11.200272744983337</v>
      </c>
      <c r="K61" s="32">
        <f t="shared" si="8"/>
        <v>10.986732904734119</v>
      </c>
      <c r="L61" s="1"/>
      <c r="M61" s="41">
        <f t="shared" si="9"/>
        <v>659.4175141242963</v>
      </c>
      <c r="N61" s="41">
        <f t="shared" si="10"/>
        <v>-0.24915254237271256</v>
      </c>
      <c r="O61" s="41">
        <f t="shared" si="6"/>
        <v>6.2076989370786324E-2</v>
      </c>
    </row>
    <row r="62" spans="1:15" x14ac:dyDescent="0.25">
      <c r="A62" s="1">
        <v>60</v>
      </c>
      <c r="B62" s="20">
        <f>'הזנת נתונים'!A60</f>
        <v>670.66666666666902</v>
      </c>
      <c r="C62" s="1">
        <f>COUNT($B$3:B62)</f>
        <v>60</v>
      </c>
      <c r="D62" s="1">
        <f>SUM($B$3:B62)</f>
        <v>20778.000000000076</v>
      </c>
      <c r="E62" s="1">
        <f>SUM($A$3:A62)</f>
        <v>1830</v>
      </c>
      <c r="F62" s="1">
        <f>SUM($H$3:H62)</f>
        <v>73810</v>
      </c>
      <c r="G62" s="1">
        <f>SUM($I$3:I62)</f>
        <v>831443.00000000314</v>
      </c>
      <c r="H62" s="1">
        <f t="shared" si="0"/>
        <v>3600</v>
      </c>
      <c r="I62" s="1">
        <f t="shared" si="1"/>
        <v>40240.000000000138</v>
      </c>
      <c r="J62" s="32">
        <f t="shared" si="7"/>
        <v>11.191525423728853</v>
      </c>
      <c r="K62" s="32">
        <f t="shared" si="8"/>
        <v>10.987163100861391</v>
      </c>
      <c r="L62" s="1"/>
      <c r="M62" s="41">
        <f t="shared" si="9"/>
        <v>670.42131147541238</v>
      </c>
      <c r="N62" s="41">
        <f t="shared" si="10"/>
        <v>-0.24535519125663541</v>
      </c>
      <c r="O62" s="41">
        <f t="shared" si="6"/>
        <v>6.0199169876580139E-2</v>
      </c>
    </row>
    <row r="64" spans="1:15" x14ac:dyDescent="0.25">
      <c r="A64" s="42" t="s">
        <v>22</v>
      </c>
      <c r="B64" s="49">
        <f>SUM(O4:O62)/60</f>
        <v>0.58636273824250928</v>
      </c>
      <c r="C64" s="15"/>
      <c r="D64" s="15"/>
      <c r="E64" s="15"/>
      <c r="F64" s="15"/>
      <c r="G64" s="15"/>
      <c r="H64" s="15"/>
      <c r="I64" s="15"/>
      <c r="J64" s="15"/>
    </row>
    <row r="65" spans="1:13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3" x14ac:dyDescent="0.25">
      <c r="A66" s="43" t="s">
        <v>23</v>
      </c>
      <c r="B66" s="1">
        <v>61</v>
      </c>
      <c r="C66" s="1">
        <v>62</v>
      </c>
      <c r="D66" s="1">
        <v>63</v>
      </c>
      <c r="E66" s="1">
        <v>64</v>
      </c>
      <c r="F66" s="1">
        <v>65</v>
      </c>
      <c r="G66" s="1">
        <v>66</v>
      </c>
      <c r="H66" s="1">
        <v>67</v>
      </c>
      <c r="I66" s="1">
        <v>68</v>
      </c>
      <c r="J66" s="1">
        <v>69</v>
      </c>
      <c r="K66" s="1">
        <v>70</v>
      </c>
      <c r="L66" s="1">
        <v>71</v>
      </c>
      <c r="M66" s="1">
        <v>72</v>
      </c>
    </row>
    <row r="67" spans="1:13" x14ac:dyDescent="0.25">
      <c r="A67" s="15"/>
      <c r="B67" s="41">
        <f t="shared" ref="B67:M67" si="11">$J$62+($K$62*B66)</f>
        <v>681.40847457627376</v>
      </c>
      <c r="C67" s="41">
        <f t="shared" si="11"/>
        <v>692.39563767713514</v>
      </c>
      <c r="D67" s="41">
        <f t="shared" si="11"/>
        <v>703.38280077799652</v>
      </c>
      <c r="E67" s="41">
        <f t="shared" si="11"/>
        <v>714.3699638788579</v>
      </c>
      <c r="F67" s="41">
        <f t="shared" si="11"/>
        <v>725.35712697971928</v>
      </c>
      <c r="G67" s="41">
        <f t="shared" si="11"/>
        <v>736.34429008058066</v>
      </c>
      <c r="H67" s="41">
        <f t="shared" si="11"/>
        <v>747.33145318144204</v>
      </c>
      <c r="I67" s="41">
        <f t="shared" si="11"/>
        <v>758.31861628230342</v>
      </c>
      <c r="J67" s="41">
        <f t="shared" si="11"/>
        <v>769.3057793831648</v>
      </c>
      <c r="K67" s="41">
        <f t="shared" si="11"/>
        <v>780.2929424840263</v>
      </c>
      <c r="L67" s="41">
        <f t="shared" si="11"/>
        <v>791.28010558488768</v>
      </c>
      <c r="M67" s="41">
        <f t="shared" si="11"/>
        <v>802.26726868574906</v>
      </c>
    </row>
    <row r="70" spans="1:13" x14ac:dyDescent="0.25">
      <c r="D70" s="57" t="s">
        <v>102</v>
      </c>
    </row>
  </sheetData>
  <mergeCells count="2">
    <mergeCell ref="C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F96B-3B83-4977-A0F1-0FC32F3DC394}">
  <sheetPr codeName="גיליון9">
    <tabColor theme="5" tint="-0.249977111117893"/>
  </sheetPr>
  <dimension ref="A1:M91"/>
  <sheetViews>
    <sheetView rightToLeft="1" workbookViewId="0"/>
  </sheetViews>
  <sheetFormatPr defaultRowHeight="13.8" x14ac:dyDescent="0.25"/>
  <cols>
    <col min="7" max="7" width="12.19921875" bestFit="1" customWidth="1"/>
  </cols>
  <sheetData>
    <row r="1" spans="1:7" x14ac:dyDescent="0.25">
      <c r="A1" t="s">
        <v>24</v>
      </c>
      <c r="B1">
        <v>0.3</v>
      </c>
    </row>
    <row r="2" spans="1:7" x14ac:dyDescent="0.25">
      <c r="A2" t="s">
        <v>25</v>
      </c>
      <c r="B2">
        <v>0.1</v>
      </c>
    </row>
    <row r="3" spans="1:7" x14ac:dyDescent="0.25">
      <c r="A3" t="s">
        <v>29</v>
      </c>
      <c r="B3">
        <f>SQRT(SUMSQ(F10:F67)/COUNT(F10:F67))</f>
        <v>1.384702913528794</v>
      </c>
    </row>
    <row r="4" spans="1:7" x14ac:dyDescent="0.25">
      <c r="A4" t="s">
        <v>5</v>
      </c>
      <c r="B4" s="58">
        <f>AVERAGE(G9:G67)</f>
        <v>2.1417303561809349</v>
      </c>
    </row>
    <row r="6" spans="1:7" x14ac:dyDescent="0.25">
      <c r="A6" s="21" t="s">
        <v>1</v>
      </c>
      <c r="B6" s="21" t="s">
        <v>26</v>
      </c>
      <c r="C6" s="21" t="s">
        <v>41</v>
      </c>
      <c r="D6" s="21" t="s">
        <v>42</v>
      </c>
      <c r="E6" s="21" t="s">
        <v>27</v>
      </c>
      <c r="F6" s="21" t="s">
        <v>28</v>
      </c>
      <c r="G6" s="21" t="s">
        <v>53</v>
      </c>
    </row>
    <row r="7" spans="1:7" x14ac:dyDescent="0.25">
      <c r="A7" s="17" t="s">
        <v>55</v>
      </c>
      <c r="C7" s="25">
        <f>B8-D7</f>
        <v>17.107344632768324</v>
      </c>
      <c r="D7" s="25">
        <f>(B67-B8)/59</f>
        <v>10.892655367231677</v>
      </c>
    </row>
    <row r="8" spans="1:7" x14ac:dyDescent="0.25">
      <c r="A8">
        <v>1</v>
      </c>
      <c r="B8">
        <f>'הזנת נתונים'!A1</f>
        <v>28</v>
      </c>
      <c r="C8" s="25">
        <f>$B$1*B8+(1-$B$1)*(C7+D7)</f>
        <v>28</v>
      </c>
      <c r="D8" s="25">
        <f>$B$2*(C8-C7)+(1-$B$2)*D7</f>
        <v>10.892655367231677</v>
      </c>
    </row>
    <row r="9" spans="1:7" x14ac:dyDescent="0.25">
      <c r="A9">
        <v>2</v>
      </c>
      <c r="B9" s="25">
        <f>'הזנת נתונים'!A2</f>
        <v>35</v>
      </c>
      <c r="C9" s="25">
        <f t="shared" ref="C9:C67" si="0">$B$1*B9+(1-$B$1)*(C8+D8)</f>
        <v>37.724858757062172</v>
      </c>
      <c r="D9" s="25">
        <f t="shared" ref="D9:D67" si="1">$B$2*(C9-C8)+(1-$B$2)*D8</f>
        <v>10.775875706214727</v>
      </c>
      <c r="E9" s="25">
        <f>C8+D8</f>
        <v>38.892655367231676</v>
      </c>
      <c r="F9" s="25">
        <f>E9-B9</f>
        <v>3.8926553672316757</v>
      </c>
      <c r="G9" s="25">
        <f>F9^2</f>
        <v>15.152765808037572</v>
      </c>
    </row>
    <row r="10" spans="1:7" x14ac:dyDescent="0.25">
      <c r="A10">
        <v>3</v>
      </c>
      <c r="B10" s="25">
        <f>'הזנת נתונים'!A3</f>
        <v>40</v>
      </c>
      <c r="C10" s="25">
        <f t="shared" si="0"/>
        <v>45.950514124293825</v>
      </c>
      <c r="D10" s="25">
        <f t="shared" si="1"/>
        <v>10.520853672316418</v>
      </c>
      <c r="E10" s="25">
        <f t="shared" ref="E10:E67" si="2">C9+D9</f>
        <v>48.500734463276899</v>
      </c>
      <c r="F10" s="25">
        <f t="shared" ref="F10:F67" si="3">E10-B10</f>
        <v>8.5007344632768991</v>
      </c>
      <c r="G10" s="25">
        <f t="shared" ref="G10:G67" si="4">F10^2</f>
        <v>72.262486415143584</v>
      </c>
    </row>
    <row r="11" spans="1:7" x14ac:dyDescent="0.25">
      <c r="A11">
        <v>4</v>
      </c>
      <c r="B11" s="25">
        <f>'הזנת נתונים'!A4</f>
        <v>55</v>
      </c>
      <c r="C11" s="25">
        <f t="shared" si="0"/>
        <v>56.02995745762717</v>
      </c>
      <c r="D11" s="25">
        <f t="shared" si="1"/>
        <v>10.47671263841811</v>
      </c>
      <c r="E11" s="25">
        <f t="shared" si="2"/>
        <v>56.471367796610245</v>
      </c>
      <c r="F11" s="25">
        <f t="shared" si="3"/>
        <v>1.4713677966102452</v>
      </c>
      <c r="G11" s="25">
        <f t="shared" si="4"/>
        <v>2.1649231929016879</v>
      </c>
    </row>
    <row r="12" spans="1:7" x14ac:dyDescent="0.25">
      <c r="A12">
        <v>5</v>
      </c>
      <c r="B12" s="25">
        <f>'הזנת נתונים'!A5</f>
        <v>70</v>
      </c>
      <c r="C12" s="25">
        <f t="shared" si="0"/>
        <v>67.554669067231686</v>
      </c>
      <c r="D12" s="25">
        <f t="shared" si="1"/>
        <v>10.581512535536753</v>
      </c>
      <c r="E12" s="25">
        <f t="shared" si="2"/>
        <v>66.506670096045283</v>
      </c>
      <c r="F12" s="25">
        <f t="shared" si="3"/>
        <v>-3.4933299039547165</v>
      </c>
      <c r="G12" s="25">
        <f t="shared" si="4"/>
        <v>12.203353817864269</v>
      </c>
    </row>
    <row r="13" spans="1:7" x14ac:dyDescent="0.25">
      <c r="A13">
        <v>6</v>
      </c>
      <c r="B13" s="25">
        <f>'הזנת נתונים'!A6</f>
        <v>75</v>
      </c>
      <c r="C13" s="25">
        <f t="shared" si="0"/>
        <v>77.195327121937908</v>
      </c>
      <c r="D13" s="25">
        <f t="shared" si="1"/>
        <v>10.4874270874537</v>
      </c>
      <c r="E13" s="25">
        <f t="shared" si="2"/>
        <v>78.136181602768431</v>
      </c>
      <c r="F13" s="25">
        <f t="shared" si="3"/>
        <v>3.1361816027684313</v>
      </c>
      <c r="G13" s="25">
        <f t="shared" si="4"/>
        <v>9.8356350455431656</v>
      </c>
    </row>
    <row r="14" spans="1:7" x14ac:dyDescent="0.25">
      <c r="A14">
        <v>7</v>
      </c>
      <c r="B14" s="25">
        <f>'הזנת נתונים'!A7</f>
        <v>87.6666666666667</v>
      </c>
      <c r="C14" s="25">
        <f t="shared" si="0"/>
        <v>87.67792794657413</v>
      </c>
      <c r="D14" s="25">
        <f t="shared" si="1"/>
        <v>10.486944461171953</v>
      </c>
      <c r="E14" s="25">
        <f t="shared" si="2"/>
        <v>87.682754209391604</v>
      </c>
      <c r="F14" s="25">
        <f t="shared" si="3"/>
        <v>1.6087542724903869E-2</v>
      </c>
      <c r="G14" s="25">
        <f t="shared" si="4"/>
        <v>2.5880903092560743E-4</v>
      </c>
    </row>
    <row r="15" spans="1:7" x14ac:dyDescent="0.25">
      <c r="A15">
        <v>8</v>
      </c>
      <c r="B15" s="25">
        <f>'הזנת נתונים'!A8</f>
        <v>98.6666666666667</v>
      </c>
      <c r="C15" s="25">
        <f t="shared" si="0"/>
        <v>98.315410685422265</v>
      </c>
      <c r="D15" s="25">
        <f t="shared" si="1"/>
        <v>10.501998288939571</v>
      </c>
      <c r="E15" s="25">
        <f t="shared" si="2"/>
        <v>98.164872407746088</v>
      </c>
      <c r="F15" s="25">
        <f t="shared" si="3"/>
        <v>-0.50179425892061147</v>
      </c>
      <c r="G15" s="25">
        <f t="shared" si="4"/>
        <v>0.25179747828568566</v>
      </c>
    </row>
    <row r="16" spans="1:7" x14ac:dyDescent="0.25">
      <c r="A16">
        <v>9</v>
      </c>
      <c r="B16" s="25">
        <f>'הזנת נתונים'!A9</f>
        <v>109.666666666667</v>
      </c>
      <c r="C16" s="25">
        <f t="shared" si="0"/>
        <v>109.07218628205339</v>
      </c>
      <c r="D16" s="25">
        <f t="shared" si="1"/>
        <v>10.527476019708727</v>
      </c>
      <c r="E16" s="25">
        <f t="shared" si="2"/>
        <v>108.81740897436184</v>
      </c>
      <c r="F16" s="25">
        <f t="shared" si="3"/>
        <v>-0.84925769230515868</v>
      </c>
      <c r="G16" s="25">
        <f t="shared" si="4"/>
        <v>0.72123862793948357</v>
      </c>
    </row>
    <row r="17" spans="1:7" x14ac:dyDescent="0.25">
      <c r="A17">
        <v>10</v>
      </c>
      <c r="B17" s="25">
        <f>'הזנת נתונים'!A10</f>
        <v>120.666666666667</v>
      </c>
      <c r="C17" s="25">
        <f t="shared" si="0"/>
        <v>119.91976361123358</v>
      </c>
      <c r="D17" s="25">
        <f t="shared" si="1"/>
        <v>10.559486150655871</v>
      </c>
      <c r="E17" s="25">
        <f t="shared" si="2"/>
        <v>119.59966230176212</v>
      </c>
      <c r="F17" s="25">
        <f t="shared" si="3"/>
        <v>-1.067004364904875</v>
      </c>
      <c r="G17" s="25">
        <f t="shared" si="4"/>
        <v>1.1384983147260557</v>
      </c>
    </row>
    <row r="18" spans="1:7" x14ac:dyDescent="0.25">
      <c r="A18">
        <v>11</v>
      </c>
      <c r="B18" s="25">
        <f>'הזנת נתונים'!A11</f>
        <v>131.666666666667</v>
      </c>
      <c r="C18" s="25">
        <f t="shared" si="0"/>
        <v>130.83547483332268</v>
      </c>
      <c r="D18" s="25">
        <f t="shared" si="1"/>
        <v>10.595108657799194</v>
      </c>
      <c r="E18" s="25">
        <f t="shared" si="2"/>
        <v>130.47924976188943</v>
      </c>
      <c r="F18" s="25">
        <f t="shared" si="3"/>
        <v>-1.1874169047775638</v>
      </c>
      <c r="G18" s="25">
        <f t="shared" si="4"/>
        <v>1.40995890575153</v>
      </c>
    </row>
    <row r="19" spans="1:7" x14ac:dyDescent="0.25">
      <c r="A19">
        <v>12</v>
      </c>
      <c r="B19" s="25">
        <f>'הזנת נתונים'!A12</f>
        <v>142.666666666667</v>
      </c>
      <c r="C19" s="25">
        <f t="shared" si="0"/>
        <v>141.80140844378539</v>
      </c>
      <c r="D19" s="25">
        <f t="shared" si="1"/>
        <v>10.632191153065547</v>
      </c>
      <c r="E19" s="25">
        <f t="shared" si="2"/>
        <v>141.43058349112187</v>
      </c>
      <c r="F19" s="25">
        <f t="shared" si="3"/>
        <v>-1.2360831755451329</v>
      </c>
      <c r="G19" s="25">
        <f t="shared" si="4"/>
        <v>1.5279016168657398</v>
      </c>
    </row>
    <row r="20" spans="1:7" x14ac:dyDescent="0.25">
      <c r="A20">
        <v>13</v>
      </c>
      <c r="B20" s="25">
        <f>'הזנת נתונים'!A13</f>
        <v>153.666666666667</v>
      </c>
      <c r="C20" s="25">
        <f t="shared" si="0"/>
        <v>152.80351971779575</v>
      </c>
      <c r="D20" s="25">
        <f t="shared" si="1"/>
        <v>10.669183165160028</v>
      </c>
      <c r="E20" s="25">
        <f t="shared" si="2"/>
        <v>152.43359959685094</v>
      </c>
      <c r="F20" s="25">
        <f t="shared" si="3"/>
        <v>-1.2330670698160588</v>
      </c>
      <c r="G20" s="25">
        <f t="shared" si="4"/>
        <v>1.5204543986647614</v>
      </c>
    </row>
    <row r="21" spans="1:7" x14ac:dyDescent="0.25">
      <c r="A21">
        <v>14</v>
      </c>
      <c r="B21" s="25">
        <f>'הזנת נתונים'!A14</f>
        <v>164.666666666667</v>
      </c>
      <c r="C21" s="25">
        <f t="shared" si="0"/>
        <v>163.83089201806914</v>
      </c>
      <c r="D21" s="25">
        <f t="shared" si="1"/>
        <v>10.705002078671365</v>
      </c>
      <c r="E21" s="25">
        <f t="shared" si="2"/>
        <v>163.47270288295579</v>
      </c>
      <c r="F21" s="25">
        <f t="shared" si="3"/>
        <v>-1.1939637837112116</v>
      </c>
      <c r="G21" s="25">
        <f t="shared" si="4"/>
        <v>1.4255495168139929</v>
      </c>
    </row>
    <row r="22" spans="1:7" x14ac:dyDescent="0.25">
      <c r="A22">
        <v>15</v>
      </c>
      <c r="B22" s="25">
        <f>'הזנת נתונים'!A15</f>
        <v>175.666666666667</v>
      </c>
      <c r="C22" s="25">
        <f t="shared" si="0"/>
        <v>174.87512586771842</v>
      </c>
      <c r="D22" s="25">
        <f t="shared" si="1"/>
        <v>10.738925255769157</v>
      </c>
      <c r="E22" s="25">
        <f t="shared" si="2"/>
        <v>174.53589409674049</v>
      </c>
      <c r="F22" s="25">
        <f t="shared" si="3"/>
        <v>-1.1307725699265063</v>
      </c>
      <c r="G22" s="25">
        <f t="shared" si="4"/>
        <v>1.2786466048981957</v>
      </c>
    </row>
    <row r="23" spans="1:7" x14ac:dyDescent="0.25">
      <c r="A23">
        <v>16</v>
      </c>
      <c r="B23" s="25">
        <f>'הזנת נתונים'!A16</f>
        <v>186.666666666667</v>
      </c>
      <c r="C23" s="25">
        <f t="shared" si="0"/>
        <v>185.9298357864414</v>
      </c>
      <c r="D23" s="25">
        <f t="shared" si="1"/>
        <v>10.770503722064539</v>
      </c>
      <c r="E23" s="25">
        <f t="shared" si="2"/>
        <v>185.61405112348757</v>
      </c>
      <c r="F23" s="25">
        <f t="shared" si="3"/>
        <v>-1.052615543179428</v>
      </c>
      <c r="G23" s="25">
        <f t="shared" si="4"/>
        <v>1.1079994817429222</v>
      </c>
    </row>
    <row r="24" spans="1:7" x14ac:dyDescent="0.25">
      <c r="A24">
        <v>17</v>
      </c>
      <c r="B24" s="25">
        <f>'הזנת נתונים'!A17</f>
        <v>197.666666666667</v>
      </c>
      <c r="C24" s="25">
        <f t="shared" si="0"/>
        <v>196.99023765595425</v>
      </c>
      <c r="D24" s="25">
        <f t="shared" si="1"/>
        <v>10.79949353680937</v>
      </c>
      <c r="E24" s="25">
        <f t="shared" si="2"/>
        <v>196.70033950850595</v>
      </c>
      <c r="F24" s="25">
        <f t="shared" si="3"/>
        <v>-0.96632715816105019</v>
      </c>
      <c r="G24" s="25">
        <f t="shared" si="4"/>
        <v>0.93378817659961133</v>
      </c>
    </row>
    <row r="25" spans="1:7" x14ac:dyDescent="0.25">
      <c r="A25">
        <v>18</v>
      </c>
      <c r="B25" s="25">
        <f>'הזנת נתונים'!A18</f>
        <v>208.666666666667</v>
      </c>
      <c r="C25" s="25">
        <f t="shared" si="0"/>
        <v>208.05281183493463</v>
      </c>
      <c r="D25" s="25">
        <f t="shared" si="1"/>
        <v>10.825801601026473</v>
      </c>
      <c r="E25" s="25">
        <f t="shared" si="2"/>
        <v>207.78973119276361</v>
      </c>
      <c r="F25" s="25">
        <f t="shared" si="3"/>
        <v>-0.87693547390338722</v>
      </c>
      <c r="G25" s="25">
        <f t="shared" si="4"/>
        <v>0.76901582539015834</v>
      </c>
    </row>
    <row r="26" spans="1:7" x14ac:dyDescent="0.25">
      <c r="A26">
        <v>19</v>
      </c>
      <c r="B26" s="25">
        <f>'הזנת נתונים'!A19</f>
        <v>219.666666666667</v>
      </c>
      <c r="C26" s="25">
        <f t="shared" si="0"/>
        <v>219.11502940517286</v>
      </c>
      <c r="D26" s="25">
        <f t="shared" si="1"/>
        <v>10.849443197947648</v>
      </c>
      <c r="E26" s="25">
        <f t="shared" si="2"/>
        <v>218.87861343596111</v>
      </c>
      <c r="F26" s="25">
        <f t="shared" si="3"/>
        <v>-0.78805323070588429</v>
      </c>
      <c r="G26" s="25">
        <f t="shared" si="4"/>
        <v>0.62102789442598172</v>
      </c>
    </row>
    <row r="27" spans="1:7" x14ac:dyDescent="0.25">
      <c r="A27">
        <v>20</v>
      </c>
      <c r="B27" s="25">
        <f>'הזנת נתונים'!A20</f>
        <v>230.666666666667</v>
      </c>
      <c r="C27" s="25">
        <f t="shared" si="0"/>
        <v>230.17513082218443</v>
      </c>
      <c r="D27" s="25">
        <f t="shared" si="1"/>
        <v>10.87050901985404</v>
      </c>
      <c r="E27" s="25">
        <f t="shared" si="2"/>
        <v>229.9644726031205</v>
      </c>
      <c r="F27" s="25">
        <f t="shared" si="3"/>
        <v>-0.70219406354650005</v>
      </c>
      <c r="G27" s="25">
        <f t="shared" si="4"/>
        <v>0.49307650287994614</v>
      </c>
    </row>
    <row r="28" spans="1:7" x14ac:dyDescent="0.25">
      <c r="A28">
        <v>21</v>
      </c>
      <c r="B28" s="25">
        <f>'הזנת נתונים'!A21</f>
        <v>241.666666666667</v>
      </c>
      <c r="C28" s="25">
        <f t="shared" si="0"/>
        <v>241.23194788942703</v>
      </c>
      <c r="D28" s="25">
        <f t="shared" si="1"/>
        <v>10.889139824592897</v>
      </c>
      <c r="E28" s="25">
        <f t="shared" si="2"/>
        <v>241.04563984203847</v>
      </c>
      <c r="F28" s="25">
        <f t="shared" si="3"/>
        <v>-0.62102682462852954</v>
      </c>
      <c r="G28" s="25">
        <f t="shared" si="4"/>
        <v>0.38567431690819437</v>
      </c>
    </row>
    <row r="29" spans="1:7" x14ac:dyDescent="0.25">
      <c r="A29">
        <v>22</v>
      </c>
      <c r="B29" s="25">
        <f>'הזנת נתונים'!A22</f>
        <v>252.666666666667</v>
      </c>
      <c r="C29" s="25">
        <f t="shared" si="0"/>
        <v>252.28476139981404</v>
      </c>
      <c r="D29" s="25">
        <f t="shared" si="1"/>
        <v>10.90550719317231</v>
      </c>
      <c r="E29" s="25">
        <f t="shared" si="2"/>
        <v>252.12108771401992</v>
      </c>
      <c r="F29" s="25">
        <f t="shared" si="3"/>
        <v>-0.54557895264707668</v>
      </c>
      <c r="G29" s="25">
        <f t="shared" si="4"/>
        <v>0.29765639357148116</v>
      </c>
    </row>
    <row r="30" spans="1:7" x14ac:dyDescent="0.25">
      <c r="A30">
        <v>23</v>
      </c>
      <c r="B30" s="25">
        <f>'הזנת נתונים'!A23</f>
        <v>263.66666666666703</v>
      </c>
      <c r="C30" s="25">
        <f t="shared" si="0"/>
        <v>263.33318801509051</v>
      </c>
      <c r="D30" s="25">
        <f t="shared" si="1"/>
        <v>10.919799135382727</v>
      </c>
      <c r="E30" s="25">
        <f t="shared" si="2"/>
        <v>263.19026859298634</v>
      </c>
      <c r="F30" s="25">
        <f t="shared" si="3"/>
        <v>-0.47639807368068432</v>
      </c>
      <c r="G30" s="25">
        <f t="shared" si="4"/>
        <v>0.22695512460666672</v>
      </c>
    </row>
    <row r="31" spans="1:7" x14ac:dyDescent="0.25">
      <c r="A31">
        <v>24</v>
      </c>
      <c r="B31" s="25">
        <f>'הזנת נתונים'!A24</f>
        <v>274.66666666666703</v>
      </c>
      <c r="C31" s="25">
        <f t="shared" si="0"/>
        <v>274.37709100533135</v>
      </c>
      <c r="D31" s="25">
        <f t="shared" si="1"/>
        <v>10.932209520868538</v>
      </c>
      <c r="E31" s="25">
        <f t="shared" si="2"/>
        <v>274.25298715047325</v>
      </c>
      <c r="F31" s="25">
        <f t="shared" si="3"/>
        <v>-0.41367951619378118</v>
      </c>
      <c r="G31" s="25">
        <f t="shared" si="4"/>
        <v>0.17113074211832086</v>
      </c>
    </row>
    <row r="32" spans="1:7" x14ac:dyDescent="0.25">
      <c r="A32">
        <v>25</v>
      </c>
      <c r="B32" s="25">
        <f>'הזנת נתונים'!A25</f>
        <v>285.66666666666799</v>
      </c>
      <c r="C32" s="25">
        <f t="shared" si="0"/>
        <v>285.41651036834031</v>
      </c>
      <c r="D32" s="25">
        <f t="shared" si="1"/>
        <v>10.942930505082579</v>
      </c>
      <c r="E32" s="25">
        <f t="shared" si="2"/>
        <v>285.30930052619988</v>
      </c>
      <c r="F32" s="25">
        <f t="shared" si="3"/>
        <v>-0.3573661404681161</v>
      </c>
      <c r="G32" s="25">
        <f t="shared" si="4"/>
        <v>0.12771055835307729</v>
      </c>
    </row>
    <row r="33" spans="1:7" x14ac:dyDescent="0.25">
      <c r="A33">
        <v>26</v>
      </c>
      <c r="B33" s="25">
        <f>'הזנת נתונים'!A26</f>
        <v>296.66666666666799</v>
      </c>
      <c r="C33" s="25">
        <f t="shared" si="0"/>
        <v>296.45160861139641</v>
      </c>
      <c r="D33" s="25">
        <f t="shared" si="1"/>
        <v>10.952147278879931</v>
      </c>
      <c r="E33" s="25">
        <f t="shared" si="2"/>
        <v>296.3594408734229</v>
      </c>
      <c r="F33" s="25">
        <f t="shared" si="3"/>
        <v>-0.30722579324509525</v>
      </c>
      <c r="G33" s="25">
        <f t="shared" si="4"/>
        <v>9.4387688035078007E-2</v>
      </c>
    </row>
    <row r="34" spans="1:7" x14ac:dyDescent="0.25">
      <c r="A34">
        <v>27</v>
      </c>
      <c r="B34" s="25">
        <f>'הזנת נתונים'!A27</f>
        <v>307.66666666666799</v>
      </c>
      <c r="C34" s="25">
        <f t="shared" si="0"/>
        <v>307.48262912319382</v>
      </c>
      <c r="D34" s="25">
        <f t="shared" si="1"/>
        <v>10.96003460217168</v>
      </c>
      <c r="E34" s="25">
        <f t="shared" si="2"/>
        <v>307.40375589027633</v>
      </c>
      <c r="F34" s="25">
        <f t="shared" si="3"/>
        <v>-0.2629107763916636</v>
      </c>
      <c r="G34" s="25">
        <f t="shared" si="4"/>
        <v>6.9122076342867336E-2</v>
      </c>
    </row>
    <row r="35" spans="1:7" x14ac:dyDescent="0.25">
      <c r="A35">
        <v>28</v>
      </c>
      <c r="B35" s="25">
        <f>'הזנת נתונים'!A28</f>
        <v>318.66666666666799</v>
      </c>
      <c r="C35" s="25">
        <f t="shared" si="0"/>
        <v>318.50986460775619</v>
      </c>
      <c r="D35" s="25">
        <f t="shared" si="1"/>
        <v>10.966754690410749</v>
      </c>
      <c r="E35" s="25">
        <f t="shared" si="2"/>
        <v>318.44266372536549</v>
      </c>
      <c r="F35" s="25">
        <f t="shared" si="3"/>
        <v>-0.22400294130250131</v>
      </c>
      <c r="G35" s="25">
        <f t="shared" si="4"/>
        <v>5.0177317712171848E-2</v>
      </c>
    </row>
    <row r="36" spans="1:7" x14ac:dyDescent="0.25">
      <c r="A36">
        <v>29</v>
      </c>
      <c r="B36" s="25">
        <f>'הזנת נתונים'!A29</f>
        <v>329.66666666666799</v>
      </c>
      <c r="C36" s="25">
        <f t="shared" si="0"/>
        <v>329.53363350871723</v>
      </c>
      <c r="D36" s="25">
        <f t="shared" si="1"/>
        <v>10.97245611146578</v>
      </c>
      <c r="E36" s="25">
        <f t="shared" si="2"/>
        <v>329.47661929816695</v>
      </c>
      <c r="F36" s="25">
        <f t="shared" si="3"/>
        <v>-0.19004736850104109</v>
      </c>
      <c r="G36" s="25">
        <f t="shared" si="4"/>
        <v>3.6118002274170509E-2</v>
      </c>
    </row>
    <row r="37" spans="1:7" x14ac:dyDescent="0.25">
      <c r="A37">
        <v>30</v>
      </c>
      <c r="B37" s="25">
        <f>'הזנת נתונים'!A30</f>
        <v>340.66666666666799</v>
      </c>
      <c r="C37" s="25">
        <f t="shared" si="0"/>
        <v>340.55426273412849</v>
      </c>
      <c r="D37" s="25">
        <f t="shared" si="1"/>
        <v>10.977273422860328</v>
      </c>
      <c r="E37" s="25">
        <f t="shared" si="2"/>
        <v>340.50608962018299</v>
      </c>
      <c r="F37" s="25">
        <f t="shared" si="3"/>
        <v>-0.16057704648500248</v>
      </c>
      <c r="G37" s="25">
        <f t="shared" si="4"/>
        <v>2.578498785784665E-2</v>
      </c>
    </row>
    <row r="38" spans="1:7" x14ac:dyDescent="0.25">
      <c r="A38">
        <v>31</v>
      </c>
      <c r="B38" s="25">
        <f>'הזנת נתונים'!A31</f>
        <v>351.66666666666799</v>
      </c>
      <c r="C38" s="25">
        <f t="shared" si="0"/>
        <v>351.57207530989251</v>
      </c>
      <c r="D38" s="25">
        <f t="shared" si="1"/>
        <v>10.981327338150697</v>
      </c>
      <c r="E38" s="25">
        <f t="shared" si="2"/>
        <v>351.53153615698881</v>
      </c>
      <c r="F38" s="25">
        <f t="shared" si="3"/>
        <v>-0.13513050967918616</v>
      </c>
      <c r="G38" s="25">
        <f t="shared" si="4"/>
        <v>1.8260254646156625E-2</v>
      </c>
    </row>
    <row r="39" spans="1:7" x14ac:dyDescent="0.25">
      <c r="A39">
        <v>32</v>
      </c>
      <c r="B39" s="25">
        <f>'הזנת נתונים'!A32</f>
        <v>362.66666666666799</v>
      </c>
      <c r="C39" s="25">
        <f t="shared" si="0"/>
        <v>362.58738185363063</v>
      </c>
      <c r="D39" s="25">
        <f t="shared" si="1"/>
        <v>10.984725258709441</v>
      </c>
      <c r="E39" s="25">
        <f t="shared" si="2"/>
        <v>362.55340264804323</v>
      </c>
      <c r="F39" s="25">
        <f t="shared" si="3"/>
        <v>-0.11326401862476132</v>
      </c>
      <c r="G39" s="25">
        <f t="shared" si="4"/>
        <v>1.2828737915030279E-2</v>
      </c>
    </row>
    <row r="40" spans="1:7" x14ac:dyDescent="0.25">
      <c r="A40">
        <v>33</v>
      </c>
      <c r="B40" s="25">
        <f>'הזנת נתונים'!A33</f>
        <v>373.66666666666799</v>
      </c>
      <c r="C40" s="25">
        <f t="shared" si="0"/>
        <v>373.60047497863843</v>
      </c>
      <c r="D40" s="25">
        <f t="shared" si="1"/>
        <v>10.987562045339276</v>
      </c>
      <c r="E40" s="25">
        <f t="shared" si="2"/>
        <v>373.57210711234006</v>
      </c>
      <c r="F40" s="25">
        <f t="shared" si="3"/>
        <v>-9.4559554327929618E-2</v>
      </c>
      <c r="G40" s="25">
        <f t="shared" si="4"/>
        <v>8.9415093146966735E-3</v>
      </c>
    </row>
    <row r="41" spans="1:7" x14ac:dyDescent="0.25">
      <c r="A41">
        <v>34</v>
      </c>
      <c r="B41" s="25">
        <f>'הזנת נתונים'!A34</f>
        <v>384.66666666666799</v>
      </c>
      <c r="C41" s="25">
        <f t="shared" si="0"/>
        <v>384.61162591678476</v>
      </c>
      <c r="D41" s="25">
        <f t="shared" si="1"/>
        <v>10.989920934619981</v>
      </c>
      <c r="E41" s="25">
        <f t="shared" si="2"/>
        <v>384.58803702397773</v>
      </c>
      <c r="F41" s="25">
        <f t="shared" si="3"/>
        <v>-7.8629642690259516E-2</v>
      </c>
      <c r="G41" s="25">
        <f t="shared" si="4"/>
        <v>6.182620709597882E-3</v>
      </c>
    </row>
    <row r="42" spans="1:7" x14ac:dyDescent="0.25">
      <c r="A42">
        <v>35</v>
      </c>
      <c r="B42" s="25">
        <f>'הזנת נתונים'!A35</f>
        <v>395.66666666666799</v>
      </c>
      <c r="C42" s="25">
        <f t="shared" si="0"/>
        <v>395.62108279598368</v>
      </c>
      <c r="D42" s="25">
        <f t="shared" si="1"/>
        <v>10.991874529077876</v>
      </c>
      <c r="E42" s="25">
        <f t="shared" si="2"/>
        <v>395.60154685140475</v>
      </c>
      <c r="F42" s="25">
        <f t="shared" si="3"/>
        <v>-6.5119815263244618E-2</v>
      </c>
      <c r="G42" s="25">
        <f t="shared" si="4"/>
        <v>4.2405903399191066E-3</v>
      </c>
    </row>
    <row r="43" spans="1:7" x14ac:dyDescent="0.25">
      <c r="A43">
        <v>36</v>
      </c>
      <c r="B43" s="25">
        <f>'הזנת נתונים'!A36</f>
        <v>406.66666666666799</v>
      </c>
      <c r="C43" s="25">
        <f t="shared" si="0"/>
        <v>406.62907012754346</v>
      </c>
      <c r="D43" s="25">
        <f t="shared" si="1"/>
        <v>10.993485809326067</v>
      </c>
      <c r="E43" s="25">
        <f t="shared" si="2"/>
        <v>406.61295732506153</v>
      </c>
      <c r="F43" s="25">
        <f t="shared" si="3"/>
        <v>-5.3709341606463568E-2</v>
      </c>
      <c r="G43" s="25">
        <f t="shared" si="4"/>
        <v>2.8846933757997986E-3</v>
      </c>
    </row>
    <row r="44" spans="1:7" x14ac:dyDescent="0.25">
      <c r="A44">
        <v>37</v>
      </c>
      <c r="B44" s="25">
        <f>'הזנת נתונים'!A37</f>
        <v>417.66666666666799</v>
      </c>
      <c r="C44" s="25">
        <f t="shared" si="0"/>
        <v>417.63578915580905</v>
      </c>
      <c r="D44" s="25">
        <f t="shared" si="1"/>
        <v>10.99480913122002</v>
      </c>
      <c r="E44" s="25">
        <f t="shared" si="2"/>
        <v>417.6225559368695</v>
      </c>
      <c r="F44" s="25">
        <f t="shared" si="3"/>
        <v>-4.4110729798489956E-2</v>
      </c>
      <c r="G44" s="25">
        <f t="shared" si="4"/>
        <v>1.9457564833553897E-3</v>
      </c>
    </row>
    <row r="45" spans="1:7" x14ac:dyDescent="0.25">
      <c r="A45">
        <v>38</v>
      </c>
      <c r="B45" s="25">
        <f>'הזנת נתונים'!A38</f>
        <v>428.66666666666902</v>
      </c>
      <c r="C45" s="25">
        <f t="shared" si="0"/>
        <v>428.64141880092103</v>
      </c>
      <c r="D45" s="25">
        <f t="shared" si="1"/>
        <v>10.995891182609217</v>
      </c>
      <c r="E45" s="25">
        <f t="shared" si="2"/>
        <v>428.63059828702904</v>
      </c>
      <c r="F45" s="25">
        <f t="shared" si="3"/>
        <v>-3.6068379639971226E-2</v>
      </c>
      <c r="G45" s="25">
        <f t="shared" si="4"/>
        <v>1.3009280098530908E-3</v>
      </c>
    </row>
    <row r="46" spans="1:7" x14ac:dyDescent="0.25">
      <c r="A46">
        <v>39</v>
      </c>
      <c r="B46" s="25">
        <f>'הזנת נתונים'!A39</f>
        <v>439.66666666666902</v>
      </c>
      <c r="C46" s="25">
        <f t="shared" si="0"/>
        <v>439.64611698847182</v>
      </c>
      <c r="D46" s="25">
        <f t="shared" si="1"/>
        <v>10.996771883103374</v>
      </c>
      <c r="E46" s="25">
        <f t="shared" si="2"/>
        <v>439.63730998353026</v>
      </c>
      <c r="F46" s="25">
        <f t="shared" si="3"/>
        <v>-2.9356683138757944E-2</v>
      </c>
      <c r="G46" s="25">
        <f t="shared" si="4"/>
        <v>8.6181484490943498E-4</v>
      </c>
    </row>
    <row r="47" spans="1:7" x14ac:dyDescent="0.25">
      <c r="A47">
        <v>40</v>
      </c>
      <c r="B47" s="25">
        <f>'הזנת נתונים'!A40</f>
        <v>450.66666666666902</v>
      </c>
      <c r="C47" s="25">
        <f t="shared" si="0"/>
        <v>450.65002221010332</v>
      </c>
      <c r="D47" s="25">
        <f t="shared" si="1"/>
        <v>10.997485216956186</v>
      </c>
      <c r="E47" s="25">
        <f t="shared" si="2"/>
        <v>450.64288887157517</v>
      </c>
      <c r="F47" s="25">
        <f t="shared" si="3"/>
        <v>-2.3777795093849363E-2</v>
      </c>
      <c r="G47" s="25">
        <f t="shared" si="4"/>
        <v>5.6538353952508686E-4</v>
      </c>
    </row>
    <row r="48" spans="1:7" x14ac:dyDescent="0.25">
      <c r="A48">
        <v>41</v>
      </c>
      <c r="B48" s="25">
        <f>'הזנת נתונים'!A41</f>
        <v>461.66666666666902</v>
      </c>
      <c r="C48" s="25">
        <f t="shared" si="0"/>
        <v>461.65325519894236</v>
      </c>
      <c r="D48" s="25">
        <f t="shared" si="1"/>
        <v>10.998059994144471</v>
      </c>
      <c r="E48" s="25">
        <f t="shared" si="2"/>
        <v>461.64750742705951</v>
      </c>
      <c r="F48" s="25">
        <f t="shared" si="3"/>
        <v>-1.9159239609507495E-2</v>
      </c>
      <c r="G48" s="25">
        <f t="shared" si="4"/>
        <v>3.6707646241452088E-4</v>
      </c>
    </row>
    <row r="49" spans="1:7" x14ac:dyDescent="0.25">
      <c r="A49">
        <v>42</v>
      </c>
      <c r="B49" s="25">
        <f>'הזנת נתונים'!A42</f>
        <v>472.66666666666902</v>
      </c>
      <c r="C49" s="25">
        <f t="shared" si="0"/>
        <v>472.65592063516146</v>
      </c>
      <c r="D49" s="25">
        <f t="shared" si="1"/>
        <v>10.998520538351935</v>
      </c>
      <c r="E49" s="25">
        <f t="shared" si="2"/>
        <v>472.65131519308682</v>
      </c>
      <c r="F49" s="25">
        <f t="shared" si="3"/>
        <v>-1.5351473582200015E-2</v>
      </c>
      <c r="G49" s="25">
        <f t="shared" si="4"/>
        <v>2.3566774114498496E-4</v>
      </c>
    </row>
    <row r="50" spans="1:7" x14ac:dyDescent="0.25">
      <c r="A50">
        <v>43</v>
      </c>
      <c r="B50" s="25">
        <f>'הזנת נתונים'!A43</f>
        <v>483.66666666666902</v>
      </c>
      <c r="C50" s="25">
        <f t="shared" si="0"/>
        <v>483.65810882146008</v>
      </c>
      <c r="D50" s="25">
        <f t="shared" si="1"/>
        <v>10.998887303146603</v>
      </c>
      <c r="E50" s="25">
        <f t="shared" si="2"/>
        <v>483.65444117351342</v>
      </c>
      <c r="F50" s="25">
        <f t="shared" si="3"/>
        <v>-1.2225493155597178E-2</v>
      </c>
      <c r="G50" s="25">
        <f t="shared" si="4"/>
        <v>1.4946268289755345E-4</v>
      </c>
    </row>
    <row r="51" spans="1:7" x14ac:dyDescent="0.25">
      <c r="A51">
        <v>44</v>
      </c>
      <c r="B51" s="25">
        <f>'הזנת נתונים'!A44</f>
        <v>494.66666666666902</v>
      </c>
      <c r="C51" s="25">
        <f t="shared" si="0"/>
        <v>494.65989728722536</v>
      </c>
      <c r="D51" s="25">
        <f t="shared" si="1"/>
        <v>10.999177419408472</v>
      </c>
      <c r="E51" s="25">
        <f t="shared" si="2"/>
        <v>494.65699612460668</v>
      </c>
      <c r="F51" s="25">
        <f t="shared" si="3"/>
        <v>-9.6705420623379723E-3</v>
      </c>
      <c r="G51" s="25">
        <f t="shared" si="4"/>
        <v>9.3519383779447969E-5</v>
      </c>
    </row>
    <row r="52" spans="1:7" x14ac:dyDescent="0.25">
      <c r="A52">
        <v>45</v>
      </c>
      <c r="B52" s="25">
        <f>'הזנת נתונים'!A45</f>
        <v>505.66666666666799</v>
      </c>
      <c r="C52" s="25">
        <f t="shared" si="0"/>
        <v>505.66135229464402</v>
      </c>
      <c r="D52" s="25">
        <f t="shared" si="1"/>
        <v>10.999405178209491</v>
      </c>
      <c r="E52" s="25">
        <f t="shared" si="2"/>
        <v>505.65907470663382</v>
      </c>
      <c r="F52" s="25">
        <f t="shared" si="3"/>
        <v>-7.5919600341762816E-3</v>
      </c>
      <c r="G52" s="25">
        <f t="shared" si="4"/>
        <v>5.763785716052993E-5</v>
      </c>
    </row>
    <row r="53" spans="1:7" x14ac:dyDescent="0.25">
      <c r="A53">
        <v>46</v>
      </c>
      <c r="B53" s="25">
        <f>'הזנת נתונים'!A46</f>
        <v>516.66666666666902</v>
      </c>
      <c r="C53" s="25">
        <f t="shared" si="0"/>
        <v>516.66253023099819</v>
      </c>
      <c r="D53" s="25">
        <f t="shared" si="1"/>
        <v>10.999582454023958</v>
      </c>
      <c r="E53" s="25">
        <f t="shared" si="2"/>
        <v>516.66075747285356</v>
      </c>
      <c r="F53" s="25">
        <f t="shared" si="3"/>
        <v>-5.9091938154551826E-3</v>
      </c>
      <c r="G53" s="25">
        <f t="shared" si="4"/>
        <v>3.4918571548613782E-5</v>
      </c>
    </row>
    <row r="54" spans="1:7" x14ac:dyDescent="0.25">
      <c r="A54">
        <v>47</v>
      </c>
      <c r="B54" s="25">
        <f>'הזנת נתונים'!A47</f>
        <v>527.66666666666902</v>
      </c>
      <c r="C54" s="25">
        <f t="shared" si="0"/>
        <v>527.66347887951622</v>
      </c>
      <c r="D54" s="25">
        <f t="shared" si="1"/>
        <v>10.999719073473365</v>
      </c>
      <c r="E54" s="25">
        <f t="shared" si="2"/>
        <v>527.66211268502218</v>
      </c>
      <c r="F54" s="25">
        <f t="shared" si="3"/>
        <v>-4.5539816468362915E-3</v>
      </c>
      <c r="G54" s="25">
        <f t="shared" si="4"/>
        <v>2.0738748839721782E-5</v>
      </c>
    </row>
    <row r="55" spans="1:7" x14ac:dyDescent="0.25">
      <c r="A55">
        <v>48</v>
      </c>
      <c r="B55" s="25">
        <f>'הזנת נתונים'!A48</f>
        <v>538.66666666666902</v>
      </c>
      <c r="C55" s="25">
        <f t="shared" si="0"/>
        <v>538.66423856709343</v>
      </c>
      <c r="D55" s="25">
        <f t="shared" si="1"/>
        <v>10.99982313488375</v>
      </c>
      <c r="E55" s="25">
        <f t="shared" si="2"/>
        <v>538.66319795298955</v>
      </c>
      <c r="F55" s="25">
        <f t="shared" si="3"/>
        <v>-3.4687136794673279E-3</v>
      </c>
      <c r="G55" s="25">
        <f t="shared" si="4"/>
        <v>1.2031974590123768E-5</v>
      </c>
    </row>
    <row r="56" spans="1:7" x14ac:dyDescent="0.25">
      <c r="A56">
        <v>49</v>
      </c>
      <c r="B56" s="25">
        <f>'הזנת נתונים'!A49</f>
        <v>549.66666666666902</v>
      </c>
      <c r="C56" s="25">
        <f t="shared" si="0"/>
        <v>549.66484319138465</v>
      </c>
      <c r="D56" s="25">
        <f t="shared" si="1"/>
        <v>10.999901283824496</v>
      </c>
      <c r="E56" s="25">
        <f t="shared" si="2"/>
        <v>549.66406170197718</v>
      </c>
      <c r="F56" s="25">
        <f t="shared" si="3"/>
        <v>-2.6049646918409053E-3</v>
      </c>
      <c r="G56" s="25">
        <f t="shared" si="4"/>
        <v>6.7858410457377827E-6</v>
      </c>
    </row>
    <row r="57" spans="1:7" x14ac:dyDescent="0.25">
      <c r="A57">
        <v>50</v>
      </c>
      <c r="B57" s="25">
        <f>'הזנת נתונים'!A50</f>
        <v>560.66666666666902</v>
      </c>
      <c r="C57" s="25">
        <f t="shared" si="0"/>
        <v>560.66532113264702</v>
      </c>
      <c r="D57" s="25">
        <f t="shared" si="1"/>
        <v>10.999958949568283</v>
      </c>
      <c r="E57" s="25">
        <f t="shared" si="2"/>
        <v>560.66474447520909</v>
      </c>
      <c r="F57" s="25">
        <f t="shared" si="3"/>
        <v>-1.9221914599256706E-3</v>
      </c>
      <c r="G57" s="25">
        <f t="shared" si="4"/>
        <v>3.6948200086111812E-6</v>
      </c>
    </row>
    <row r="58" spans="1:7" x14ac:dyDescent="0.25">
      <c r="A58">
        <v>51</v>
      </c>
      <c r="B58" s="25">
        <f>'הזנת נתונים'!A51</f>
        <v>571.66666666666902</v>
      </c>
      <c r="C58" s="25">
        <f t="shared" si="0"/>
        <v>571.66569605755137</v>
      </c>
      <c r="D58" s="25">
        <f t="shared" si="1"/>
        <v>11.000000547101889</v>
      </c>
      <c r="E58" s="25">
        <f t="shared" si="2"/>
        <v>571.6652800822153</v>
      </c>
      <c r="F58" s="25">
        <f t="shared" si="3"/>
        <v>-1.386584453712203E-3</v>
      </c>
      <c r="G58" s="25">
        <f t="shared" si="4"/>
        <v>1.9226164472763683E-6</v>
      </c>
    </row>
    <row r="59" spans="1:7" x14ac:dyDescent="0.25">
      <c r="A59">
        <v>52</v>
      </c>
      <c r="B59" s="25">
        <f>'הזנת נתונים'!A52</f>
        <v>582.66666666666902</v>
      </c>
      <c r="C59" s="25">
        <f t="shared" si="0"/>
        <v>582.66598762325793</v>
      </c>
      <c r="D59" s="25">
        <f t="shared" si="1"/>
        <v>11.000029648962357</v>
      </c>
      <c r="E59" s="25">
        <f t="shared" si="2"/>
        <v>582.66569660465325</v>
      </c>
      <c r="F59" s="25">
        <f t="shared" si="3"/>
        <v>-9.7006201576732565E-4</v>
      </c>
      <c r="G59" s="25">
        <f t="shared" si="4"/>
        <v>9.4102031443456715E-7</v>
      </c>
    </row>
    <row r="60" spans="1:7" x14ac:dyDescent="0.25">
      <c r="A60">
        <v>53</v>
      </c>
      <c r="B60" s="25">
        <f>'הזנת נתונים'!A53</f>
        <v>593.66666666666902</v>
      </c>
      <c r="C60" s="25">
        <f t="shared" si="0"/>
        <v>593.66621209055484</v>
      </c>
      <c r="D60" s="25">
        <f t="shared" si="1"/>
        <v>11.000049130795812</v>
      </c>
      <c r="E60" s="25">
        <f t="shared" si="2"/>
        <v>593.6660172722203</v>
      </c>
      <c r="F60" s="25">
        <f t="shared" si="3"/>
        <v>-6.4939444871470187E-4</v>
      </c>
      <c r="G60" s="25">
        <f t="shared" si="4"/>
        <v>4.2171315002147157E-7</v>
      </c>
    </row>
    <row r="61" spans="1:7" x14ac:dyDescent="0.25">
      <c r="A61">
        <v>54</v>
      </c>
      <c r="B61" s="25">
        <f>'הזנת נתונים'!A54</f>
        <v>604.66666666666902</v>
      </c>
      <c r="C61" s="25">
        <f t="shared" si="0"/>
        <v>604.66638285494605</v>
      </c>
      <c r="D61" s="25">
        <f t="shared" si="1"/>
        <v>11.000061294155353</v>
      </c>
      <c r="E61" s="25">
        <f t="shared" si="2"/>
        <v>604.66626122135062</v>
      </c>
      <c r="F61" s="25">
        <f t="shared" si="3"/>
        <v>-4.0544531839259434E-4</v>
      </c>
      <c r="G61" s="25">
        <f t="shared" si="4"/>
        <v>1.643859062064722E-7</v>
      </c>
    </row>
    <row r="62" spans="1:7" x14ac:dyDescent="0.25">
      <c r="A62">
        <v>55</v>
      </c>
      <c r="B62" s="25">
        <f>'הזנת נתונים'!A55</f>
        <v>615.66666666666902</v>
      </c>
      <c r="C62" s="25">
        <f t="shared" si="0"/>
        <v>615.66651090437165</v>
      </c>
      <c r="D62" s="25">
        <f t="shared" si="1"/>
        <v>11.000067969682378</v>
      </c>
      <c r="E62" s="25">
        <f t="shared" si="2"/>
        <v>615.66644414910138</v>
      </c>
      <c r="F62" s="25">
        <f t="shared" si="3"/>
        <v>-2.2251756763580488E-4</v>
      </c>
      <c r="G62" s="25">
        <f t="shared" si="4"/>
        <v>4.9514067906554999E-8</v>
      </c>
    </row>
    <row r="63" spans="1:7" x14ac:dyDescent="0.25">
      <c r="A63">
        <v>56</v>
      </c>
      <c r="B63" s="25">
        <f>'הזנת נתונים'!A56</f>
        <v>626.66666666666902</v>
      </c>
      <c r="C63" s="25">
        <f t="shared" si="0"/>
        <v>626.66660521183849</v>
      </c>
      <c r="D63" s="25">
        <f t="shared" si="1"/>
        <v>11.000070603460825</v>
      </c>
      <c r="E63" s="25">
        <f t="shared" si="2"/>
        <v>626.66657887405404</v>
      </c>
      <c r="F63" s="25">
        <f t="shared" si="3"/>
        <v>-8.7792614976933692E-5</v>
      </c>
      <c r="G63" s="25">
        <f t="shared" si="4"/>
        <v>7.7075432444881211E-9</v>
      </c>
    </row>
    <row r="64" spans="1:7" x14ac:dyDescent="0.25">
      <c r="A64">
        <v>57</v>
      </c>
      <c r="B64" s="25">
        <f>'הזנת נתונים'!A57</f>
        <v>637.66666666666902</v>
      </c>
      <c r="C64" s="25">
        <f t="shared" si="0"/>
        <v>637.6666730707102</v>
      </c>
      <c r="D64" s="25">
        <f t="shared" si="1"/>
        <v>11.000070329001915</v>
      </c>
      <c r="E64" s="25">
        <f t="shared" si="2"/>
        <v>637.6666758152993</v>
      </c>
      <c r="F64" s="25">
        <f t="shared" si="3"/>
        <v>9.1486302835619426E-6</v>
      </c>
      <c r="G64" s="25">
        <f t="shared" si="4"/>
        <v>8.3697436065306671E-11</v>
      </c>
    </row>
    <row r="65" spans="1:7" x14ac:dyDescent="0.25">
      <c r="A65">
        <v>58</v>
      </c>
      <c r="B65" s="25">
        <f>'הזנת נתונים'!A58</f>
        <v>648.66666666666902</v>
      </c>
      <c r="C65" s="25">
        <f t="shared" si="0"/>
        <v>648.66672037979913</v>
      </c>
      <c r="D65" s="25">
        <f t="shared" si="1"/>
        <v>11.000068027010617</v>
      </c>
      <c r="E65" s="25">
        <f t="shared" si="2"/>
        <v>648.66674339971212</v>
      </c>
      <c r="F65" s="25">
        <f t="shared" si="3"/>
        <v>7.6733043101739895E-5</v>
      </c>
      <c r="G65" s="25">
        <f t="shared" si="4"/>
        <v>5.8879599036534723E-9</v>
      </c>
    </row>
    <row r="66" spans="1:7" x14ac:dyDescent="0.25">
      <c r="A66">
        <v>59</v>
      </c>
      <c r="B66" s="25">
        <f>'הזנת נתונים'!A59</f>
        <v>659.66666666666902</v>
      </c>
      <c r="C66" s="25">
        <f t="shared" si="0"/>
        <v>659.66675188476745</v>
      </c>
      <c r="D66" s="25">
        <f t="shared" si="1"/>
        <v>11.000064374806387</v>
      </c>
      <c r="E66" s="25">
        <f t="shared" si="2"/>
        <v>659.6667884068097</v>
      </c>
      <c r="F66" s="25">
        <f t="shared" si="3"/>
        <v>1.2174014068477845E-4</v>
      </c>
      <c r="G66" s="25">
        <f t="shared" si="4"/>
        <v>1.482066185394965E-8</v>
      </c>
    </row>
    <row r="67" spans="1:7" x14ac:dyDescent="0.25">
      <c r="A67">
        <v>60</v>
      </c>
      <c r="B67" s="25">
        <f>'הזנת נתונים'!A60</f>
        <v>670.66666666666902</v>
      </c>
      <c r="C67" s="44">
        <f t="shared" si="0"/>
        <v>670.66677138170235</v>
      </c>
      <c r="D67" s="44">
        <f t="shared" si="1"/>
        <v>11.000059887019237</v>
      </c>
      <c r="E67" s="25">
        <f t="shared" si="2"/>
        <v>670.66681625957381</v>
      </c>
      <c r="F67" s="25">
        <f t="shared" si="3"/>
        <v>1.4959290479055198E-4</v>
      </c>
      <c r="G67" s="25">
        <f t="shared" si="4"/>
        <v>2.237803716367515E-8</v>
      </c>
    </row>
    <row r="69" spans="1:7" x14ac:dyDescent="0.25">
      <c r="D69" s="7" t="s">
        <v>45</v>
      </c>
      <c r="E69" s="7" t="s">
        <v>56</v>
      </c>
      <c r="F69" s="7"/>
    </row>
    <row r="70" spans="1:7" x14ac:dyDescent="0.25">
      <c r="D70" s="7">
        <v>1</v>
      </c>
      <c r="E70" s="7">
        <f>$C$67+$D$67*D70</f>
        <v>681.66683126872158</v>
      </c>
      <c r="F70" s="76" t="s">
        <v>6</v>
      </c>
    </row>
    <row r="71" spans="1:7" x14ac:dyDescent="0.25">
      <c r="D71" s="7">
        <v>2</v>
      </c>
      <c r="E71" s="7">
        <f t="shared" ref="E71:E82" si="5">$C$67+$D$67*D71</f>
        <v>692.66689115574081</v>
      </c>
      <c r="F71" s="76"/>
    </row>
    <row r="72" spans="1:7" x14ac:dyDescent="0.25">
      <c r="D72" s="7">
        <v>3</v>
      </c>
      <c r="E72" s="7">
        <f t="shared" si="5"/>
        <v>703.66695104276005</v>
      </c>
      <c r="F72" s="76"/>
    </row>
    <row r="73" spans="1:7" x14ac:dyDescent="0.25">
      <c r="D73" s="7">
        <v>4</v>
      </c>
      <c r="E73" s="7">
        <f t="shared" si="5"/>
        <v>714.66701092977928</v>
      </c>
      <c r="F73" s="76"/>
    </row>
    <row r="74" spans="1:7" x14ac:dyDescent="0.25">
      <c r="D74" s="7">
        <v>5</v>
      </c>
      <c r="E74" s="7">
        <f t="shared" si="5"/>
        <v>725.66707081679851</v>
      </c>
      <c r="F74" s="76"/>
    </row>
    <row r="75" spans="1:7" x14ac:dyDescent="0.25">
      <c r="D75" s="7">
        <v>6</v>
      </c>
      <c r="E75" s="7">
        <f t="shared" si="5"/>
        <v>736.66713070381775</v>
      </c>
      <c r="F75" s="76"/>
    </row>
    <row r="76" spans="1:7" x14ac:dyDescent="0.25">
      <c r="D76" s="7">
        <v>7</v>
      </c>
      <c r="E76" s="7">
        <f t="shared" si="5"/>
        <v>747.66719059083698</v>
      </c>
      <c r="F76" s="76"/>
    </row>
    <row r="77" spans="1:7" x14ac:dyDescent="0.25">
      <c r="D77" s="7">
        <v>8</v>
      </c>
      <c r="E77" s="7">
        <f t="shared" si="5"/>
        <v>758.66725047785621</v>
      </c>
      <c r="F77" s="76"/>
    </row>
    <row r="78" spans="1:7" x14ac:dyDescent="0.25">
      <c r="D78" s="7">
        <v>9</v>
      </c>
      <c r="E78" s="7">
        <f t="shared" si="5"/>
        <v>769.66731036487545</v>
      </c>
      <c r="F78" s="76"/>
    </row>
    <row r="79" spans="1:7" x14ac:dyDescent="0.25">
      <c r="D79" s="7">
        <v>10</v>
      </c>
      <c r="E79" s="7">
        <f t="shared" si="5"/>
        <v>780.66737025189468</v>
      </c>
      <c r="F79" s="76"/>
    </row>
    <row r="80" spans="1:7" x14ac:dyDescent="0.25">
      <c r="D80" s="7">
        <v>11</v>
      </c>
      <c r="E80" s="7">
        <f t="shared" si="5"/>
        <v>791.66743013891391</v>
      </c>
      <c r="F80" s="76"/>
    </row>
    <row r="81" spans="2:13" x14ac:dyDescent="0.25">
      <c r="D81" s="7">
        <v>12</v>
      </c>
      <c r="E81" s="7">
        <f t="shared" si="5"/>
        <v>802.66749002593315</v>
      </c>
      <c r="F81" s="76"/>
    </row>
    <row r="82" spans="2:13" x14ac:dyDescent="0.25">
      <c r="D82" s="7">
        <v>13</v>
      </c>
      <c r="E82" s="7">
        <f t="shared" si="5"/>
        <v>813.66754991295238</v>
      </c>
      <c r="F82" s="76"/>
    </row>
    <row r="91" spans="2:13" x14ac:dyDescent="0.25">
      <c r="B91">
        <f>E70</f>
        <v>681.66683126872158</v>
      </c>
      <c r="C91">
        <f>E71</f>
        <v>692.66689115574081</v>
      </c>
      <c r="D91">
        <f>E72</f>
        <v>703.66695104276005</v>
      </c>
      <c r="E91">
        <f>E73</f>
        <v>714.66701092977928</v>
      </c>
      <c r="F91">
        <f>E74</f>
        <v>725.66707081679851</v>
      </c>
      <c r="G91">
        <f>E75</f>
        <v>736.66713070381775</v>
      </c>
      <c r="H91">
        <f>E76</f>
        <v>747.66719059083698</v>
      </c>
      <c r="I91">
        <f>E77</f>
        <v>758.66725047785621</v>
      </c>
      <c r="J91">
        <f>E78</f>
        <v>769.66731036487545</v>
      </c>
      <c r="K91">
        <f>E79</f>
        <v>780.66737025189468</v>
      </c>
      <c r="L91">
        <f>E80</f>
        <v>791.66743013891391</v>
      </c>
      <c r="M91">
        <f>E81</f>
        <v>802.66749002593315</v>
      </c>
    </row>
  </sheetData>
  <mergeCells count="1">
    <mergeCell ref="F70:F8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A9C5A-17A7-44DA-B4AC-81BC8F2B1AD0}">
  <sheetPr codeName="גיליון19">
    <tabColor theme="5" tint="-0.249977111117893"/>
  </sheetPr>
  <dimension ref="A1:BQ279"/>
  <sheetViews>
    <sheetView rightToLeft="1" zoomScale="60" zoomScaleNormal="60" workbookViewId="0"/>
  </sheetViews>
  <sheetFormatPr defaultRowHeight="13.8" x14ac:dyDescent="0.25"/>
  <cols>
    <col min="6" max="6" width="12.3984375" bestFit="1" customWidth="1"/>
    <col min="7" max="7" width="9.8984375" customWidth="1"/>
    <col min="9" max="9" width="11.796875" customWidth="1"/>
    <col min="10" max="10" width="13.3984375" customWidth="1"/>
    <col min="29" max="30" width="8.8984375" bestFit="1" customWidth="1"/>
    <col min="31" max="31" width="12.19921875" bestFit="1" customWidth="1"/>
    <col min="32" max="35" width="8.8984375" bestFit="1" customWidth="1"/>
    <col min="36" max="36" width="12.796875" bestFit="1" customWidth="1"/>
    <col min="37" max="37" width="12.5" customWidth="1"/>
    <col min="38" max="49" width="8.8984375" bestFit="1" customWidth="1"/>
    <col min="50" max="50" width="12.796875" bestFit="1" customWidth="1"/>
    <col min="51" max="51" width="11.19921875" bestFit="1" customWidth="1"/>
    <col min="66" max="66" width="11.59765625" customWidth="1"/>
  </cols>
  <sheetData>
    <row r="1" spans="1:69" x14ac:dyDescent="0.25">
      <c r="A1" s="7" t="s">
        <v>1</v>
      </c>
      <c r="B1" s="52" t="s">
        <v>0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8</v>
      </c>
      <c r="J1" s="5" t="s">
        <v>22</v>
      </c>
      <c r="M1" s="22">
        <v>5</v>
      </c>
      <c r="O1" s="7" t="s">
        <v>1</v>
      </c>
      <c r="P1" s="52" t="s">
        <v>0</v>
      </c>
      <c r="Q1" s="7" t="s">
        <v>30</v>
      </c>
      <c r="R1" s="7" t="s">
        <v>31</v>
      </c>
      <c r="S1" s="7" t="s">
        <v>32</v>
      </c>
      <c r="T1" s="7" t="s">
        <v>33</v>
      </c>
      <c r="U1" s="7" t="s">
        <v>34</v>
      </c>
      <c r="V1" s="7" t="s">
        <v>35</v>
      </c>
      <c r="W1" s="7" t="s">
        <v>8</v>
      </c>
      <c r="X1" s="5" t="s">
        <v>22</v>
      </c>
      <c r="AA1" s="22">
        <v>6</v>
      </c>
      <c r="AC1" s="7" t="s">
        <v>1</v>
      </c>
      <c r="AD1" s="52" t="s">
        <v>0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8</v>
      </c>
      <c r="AL1" s="5" t="s">
        <v>22</v>
      </c>
      <c r="AO1" s="22">
        <v>7</v>
      </c>
      <c r="AQ1" s="7" t="s">
        <v>1</v>
      </c>
      <c r="AR1" s="52" t="s">
        <v>0</v>
      </c>
      <c r="AS1" s="7" t="s">
        <v>30</v>
      </c>
      <c r="AT1" s="7" t="s">
        <v>31</v>
      </c>
      <c r="AU1" s="7" t="s">
        <v>32</v>
      </c>
      <c r="AV1" s="7" t="s">
        <v>33</v>
      </c>
      <c r="AW1" s="7" t="s">
        <v>34</v>
      </c>
      <c r="AX1" s="7" t="s">
        <v>35</v>
      </c>
      <c r="AY1" s="7" t="s">
        <v>8</v>
      </c>
      <c r="AZ1" s="5" t="s">
        <v>22</v>
      </c>
      <c r="BC1" s="22">
        <v>8</v>
      </c>
      <c r="BE1" s="7" t="s">
        <v>1</v>
      </c>
      <c r="BF1" s="52" t="s">
        <v>0</v>
      </c>
      <c r="BG1" s="7" t="s">
        <v>30</v>
      </c>
      <c r="BH1" s="7" t="s">
        <v>31</v>
      </c>
      <c r="BI1" s="7" t="s">
        <v>32</v>
      </c>
      <c r="BJ1" s="7" t="s">
        <v>33</v>
      </c>
      <c r="BK1" s="7" t="s">
        <v>34</v>
      </c>
      <c r="BL1" s="7" t="s">
        <v>35</v>
      </c>
      <c r="BM1" s="7" t="s">
        <v>8</v>
      </c>
      <c r="BN1" s="5" t="s">
        <v>22</v>
      </c>
      <c r="BQ1" s="22">
        <v>9</v>
      </c>
    </row>
    <row r="2" spans="1:69" x14ac:dyDescent="0.25">
      <c r="A2" s="7">
        <v>1</v>
      </c>
      <c r="B2" s="52">
        <f>'הזנת נתונים'!A1</f>
        <v>28</v>
      </c>
      <c r="C2" s="7"/>
      <c r="D2" s="7"/>
      <c r="E2" s="7"/>
      <c r="F2" s="7"/>
      <c r="G2" s="7"/>
      <c r="H2" s="7"/>
      <c r="I2" s="7"/>
      <c r="J2" s="5">
        <f>AVERAGE(I11:I61)</f>
        <v>2.9813507625272732E-2</v>
      </c>
      <c r="K2" s="6" t="s">
        <v>36</v>
      </c>
      <c r="O2" s="7">
        <v>1</v>
      </c>
      <c r="P2" s="52">
        <f>'הזנת נתונים'!A1</f>
        <v>28</v>
      </c>
      <c r="Q2" s="7"/>
      <c r="R2" s="7"/>
      <c r="S2" s="7"/>
      <c r="T2" s="7"/>
      <c r="U2" s="7"/>
      <c r="V2" s="7"/>
      <c r="W2" s="7"/>
      <c r="X2" s="5">
        <f>AVERAGE(W11:W61)</f>
        <v>2.9767923630355537E-2</v>
      </c>
      <c r="Y2" s="6" t="s">
        <v>36</v>
      </c>
      <c r="AC2" s="7">
        <v>1</v>
      </c>
      <c r="AD2" s="52">
        <f>'הזנת נתונים'!A1</f>
        <v>28</v>
      </c>
      <c r="AE2" s="7"/>
      <c r="AF2" s="7"/>
      <c r="AG2" s="7"/>
      <c r="AH2" s="7"/>
      <c r="AI2" s="7"/>
      <c r="AJ2" s="7"/>
      <c r="AK2" s="7"/>
      <c r="AL2" s="5">
        <f>AVERAGE(AK11:AK61)</f>
        <v>3.5428719339941788E-3</v>
      </c>
      <c r="AM2" s="6" t="s">
        <v>36</v>
      </c>
      <c r="AQ2" s="7">
        <v>1</v>
      </c>
      <c r="AR2" s="52">
        <f>'הזנת נתונים'!A1</f>
        <v>28</v>
      </c>
      <c r="AS2" s="7"/>
      <c r="AT2" s="7"/>
      <c r="AU2" s="7"/>
      <c r="AV2" s="7"/>
      <c r="AW2" s="7"/>
      <c r="AX2" s="7"/>
      <c r="AY2" s="7"/>
      <c r="AZ2" s="5">
        <f>AVERAGE(AY11:AY61)</f>
        <v>2.0169005102008636E-3</v>
      </c>
      <c r="BA2" s="6" t="s">
        <v>36</v>
      </c>
      <c r="BE2" s="7">
        <v>1</v>
      </c>
      <c r="BF2" s="52">
        <f>'הזנת נתונים'!A1</f>
        <v>28</v>
      </c>
      <c r="BG2" s="7"/>
      <c r="BH2" s="7"/>
      <c r="BI2" s="7"/>
      <c r="BJ2" s="7"/>
      <c r="BK2" s="7"/>
      <c r="BL2" s="7"/>
      <c r="BM2" s="7"/>
      <c r="BN2" s="5">
        <f>AVERAGE(BM11:BM61)</f>
        <v>1.2455166324197248E-3</v>
      </c>
      <c r="BO2" s="6" t="s">
        <v>36</v>
      </c>
    </row>
    <row r="3" spans="1:69" x14ac:dyDescent="0.25">
      <c r="A3" s="7">
        <v>2</v>
      </c>
      <c r="B3" s="52">
        <f>'הזנת נתונים'!A2</f>
        <v>35</v>
      </c>
      <c r="C3" s="7"/>
      <c r="D3" s="7"/>
      <c r="E3" s="7"/>
      <c r="F3" s="7"/>
      <c r="G3" s="7"/>
      <c r="H3" s="7"/>
      <c r="I3" s="7"/>
      <c r="K3">
        <v>1</v>
      </c>
      <c r="L3" s="4">
        <f>$E$61+$F$61*K3</f>
        <v>681.66666666666902</v>
      </c>
      <c r="O3" s="7">
        <v>2</v>
      </c>
      <c r="P3" s="52">
        <f>'הזנת נתונים'!A2</f>
        <v>35</v>
      </c>
      <c r="Q3" s="7"/>
      <c r="R3" s="7"/>
      <c r="S3" s="7"/>
      <c r="T3" s="7"/>
      <c r="U3" s="7"/>
      <c r="V3" s="7"/>
      <c r="W3" s="7"/>
      <c r="Y3">
        <v>1</v>
      </c>
      <c r="Z3" s="4">
        <f>$S$61+$T$61*Y3</f>
        <v>681.6666666666689</v>
      </c>
      <c r="AC3" s="7">
        <v>2</v>
      </c>
      <c r="AD3" s="52">
        <f>'הזנת נתונים'!A2</f>
        <v>35</v>
      </c>
      <c r="AE3" s="7"/>
      <c r="AF3" s="7"/>
      <c r="AG3" s="7"/>
      <c r="AH3" s="7"/>
      <c r="AI3" s="7"/>
      <c r="AJ3" s="7"/>
      <c r="AK3" s="7"/>
      <c r="AM3">
        <v>1</v>
      </c>
      <c r="AN3" s="4">
        <f>$AG$61+$AH$61*AM3</f>
        <v>681.6666666666689</v>
      </c>
      <c r="AQ3" s="7">
        <v>2</v>
      </c>
      <c r="AR3" s="52">
        <f>'הזנת נתונים'!A2</f>
        <v>35</v>
      </c>
      <c r="AS3" s="7"/>
      <c r="AT3" s="7"/>
      <c r="AU3" s="7"/>
      <c r="AV3" s="7"/>
      <c r="AW3" s="7"/>
      <c r="AX3" s="7"/>
      <c r="AY3" s="7"/>
      <c r="BA3">
        <v>1</v>
      </c>
      <c r="BB3" s="4">
        <f>$AU$61+$AV$61*BA3</f>
        <v>681.6666666666689</v>
      </c>
      <c r="BE3" s="7">
        <v>2</v>
      </c>
      <c r="BF3" s="52">
        <f>'הזנת נתונים'!A2</f>
        <v>35</v>
      </c>
      <c r="BG3" s="7"/>
      <c r="BH3" s="7"/>
      <c r="BI3" s="7"/>
      <c r="BJ3" s="7"/>
      <c r="BK3" s="7"/>
      <c r="BL3" s="7"/>
      <c r="BM3" s="7"/>
      <c r="BO3">
        <v>1</v>
      </c>
      <c r="BP3" s="4">
        <f>$BI$61+$BJ$61*BO3</f>
        <v>681.66666666666902</v>
      </c>
    </row>
    <row r="4" spans="1:69" x14ac:dyDescent="0.25">
      <c r="A4" s="7">
        <v>3</v>
      </c>
      <c r="B4" s="52">
        <f>'הזנת נתונים'!A3</f>
        <v>40</v>
      </c>
      <c r="C4" s="7"/>
      <c r="D4" s="7"/>
      <c r="E4" s="7"/>
      <c r="F4" s="7"/>
      <c r="G4" s="7"/>
      <c r="H4" s="7"/>
      <c r="I4" s="7"/>
      <c r="K4">
        <v>2</v>
      </c>
      <c r="L4" s="4">
        <f t="shared" ref="L4:L14" si="0">$E$61+$F$61*K4</f>
        <v>692.66666666666902</v>
      </c>
      <c r="O4" s="7">
        <v>3</v>
      </c>
      <c r="P4" s="52">
        <f>'הזנת נתונים'!A3</f>
        <v>40</v>
      </c>
      <c r="Q4" s="7"/>
      <c r="R4" s="7"/>
      <c r="S4" s="7"/>
      <c r="T4" s="7"/>
      <c r="U4" s="7"/>
      <c r="V4" s="7"/>
      <c r="W4" s="7"/>
      <c r="Y4">
        <v>2</v>
      </c>
      <c r="Z4" s="4">
        <f t="shared" ref="Z4:Z14" si="1">$S$61+$T$61*Y4</f>
        <v>692.6666666666689</v>
      </c>
      <c r="AC4" s="7">
        <v>3</v>
      </c>
      <c r="AD4" s="52">
        <f>'הזנת נתונים'!A3</f>
        <v>40</v>
      </c>
      <c r="AE4" s="7"/>
      <c r="AF4" s="7"/>
      <c r="AG4" s="7"/>
      <c r="AH4" s="7"/>
      <c r="AI4" s="7"/>
      <c r="AJ4" s="7"/>
      <c r="AK4" s="7"/>
      <c r="AM4">
        <v>2</v>
      </c>
      <c r="AN4" s="4">
        <f t="shared" ref="AN4:AN14" si="2">$AG$61+$AH$61*AM4</f>
        <v>692.6666666666689</v>
      </c>
      <c r="AQ4" s="7">
        <v>3</v>
      </c>
      <c r="AR4" s="52">
        <f>'הזנת נתונים'!A3</f>
        <v>40</v>
      </c>
      <c r="AS4" s="7"/>
      <c r="AT4" s="7"/>
      <c r="AU4" s="7"/>
      <c r="AV4" s="7"/>
      <c r="AW4" s="7"/>
      <c r="AX4" s="7"/>
      <c r="AY4" s="7"/>
      <c r="BA4">
        <v>2</v>
      </c>
      <c r="BB4" s="4">
        <f t="shared" ref="BB4:BB14" si="3">$AU$61+$AV$61*BA4</f>
        <v>692.6666666666689</v>
      </c>
      <c r="BE4" s="7">
        <v>3</v>
      </c>
      <c r="BF4" s="52">
        <f>'הזנת נתונים'!A3</f>
        <v>40</v>
      </c>
      <c r="BG4" s="7"/>
      <c r="BH4" s="7"/>
      <c r="BI4" s="7"/>
      <c r="BJ4" s="7"/>
      <c r="BK4" s="7"/>
      <c r="BL4" s="7"/>
      <c r="BM4" s="7"/>
      <c r="BO4">
        <v>2</v>
      </c>
      <c r="BP4" s="4">
        <f t="shared" ref="BP4:BP14" si="4">$BI$61+$BJ$61*BO4</f>
        <v>692.66666666666902</v>
      </c>
    </row>
    <row r="5" spans="1:69" x14ac:dyDescent="0.25">
      <c r="A5" s="7">
        <v>4</v>
      </c>
      <c r="B5" s="52">
        <f>'הזנת נתונים'!A4</f>
        <v>55</v>
      </c>
      <c r="C5" s="7"/>
      <c r="D5" s="7"/>
      <c r="E5" s="7"/>
      <c r="F5" s="7"/>
      <c r="G5" s="7"/>
      <c r="H5" s="7"/>
      <c r="I5" s="7"/>
      <c r="K5">
        <v>3</v>
      </c>
      <c r="L5" s="4">
        <f t="shared" si="0"/>
        <v>703.66666666666902</v>
      </c>
      <c r="O5" s="7">
        <v>4</v>
      </c>
      <c r="P5" s="52">
        <f>'הזנת נתונים'!A4</f>
        <v>55</v>
      </c>
      <c r="Q5" s="7"/>
      <c r="R5" s="7"/>
      <c r="S5" s="7"/>
      <c r="T5" s="7"/>
      <c r="U5" s="7"/>
      <c r="V5" s="7"/>
      <c r="W5" s="7"/>
      <c r="Y5">
        <v>3</v>
      </c>
      <c r="Z5" s="4">
        <f t="shared" si="1"/>
        <v>703.6666666666689</v>
      </c>
      <c r="AC5" s="7">
        <v>4</v>
      </c>
      <c r="AD5" s="52">
        <f>'הזנת נתונים'!A4</f>
        <v>55</v>
      </c>
      <c r="AE5" s="7"/>
      <c r="AF5" s="7"/>
      <c r="AG5" s="7"/>
      <c r="AH5" s="7"/>
      <c r="AI5" s="7"/>
      <c r="AJ5" s="7"/>
      <c r="AK5" s="7"/>
      <c r="AM5">
        <v>3</v>
      </c>
      <c r="AN5" s="4">
        <f t="shared" si="2"/>
        <v>703.6666666666689</v>
      </c>
      <c r="AQ5" s="7">
        <v>4</v>
      </c>
      <c r="AR5" s="52">
        <f>'הזנת נתונים'!A4</f>
        <v>55</v>
      </c>
      <c r="AS5" s="7"/>
      <c r="AT5" s="7"/>
      <c r="AU5" s="7"/>
      <c r="AV5" s="7"/>
      <c r="AW5" s="7"/>
      <c r="AX5" s="7"/>
      <c r="AY5" s="7"/>
      <c r="BA5">
        <v>3</v>
      </c>
      <c r="BB5" s="4">
        <f t="shared" si="3"/>
        <v>703.6666666666689</v>
      </c>
      <c r="BE5" s="7">
        <v>4</v>
      </c>
      <c r="BF5" s="52">
        <f>'הזנת נתונים'!A4</f>
        <v>55</v>
      </c>
      <c r="BG5" s="7"/>
      <c r="BH5" s="7"/>
      <c r="BI5" s="7"/>
      <c r="BJ5" s="7"/>
      <c r="BK5" s="7"/>
      <c r="BL5" s="7"/>
      <c r="BM5" s="7"/>
      <c r="BO5">
        <v>3</v>
      </c>
      <c r="BP5" s="4">
        <f t="shared" si="4"/>
        <v>703.66666666666913</v>
      </c>
    </row>
    <row r="6" spans="1:69" x14ac:dyDescent="0.25">
      <c r="A6" s="7">
        <v>5</v>
      </c>
      <c r="B6" s="52">
        <f>'הזנת נתונים'!A5</f>
        <v>70</v>
      </c>
      <c r="C6" s="7">
        <f>AVERAGE(B2:B6)</f>
        <v>45.6</v>
      </c>
      <c r="D6" s="7"/>
      <c r="E6" s="7"/>
      <c r="F6" s="7"/>
      <c r="G6" s="7"/>
      <c r="H6" s="7"/>
      <c r="I6" s="7"/>
      <c r="K6">
        <v>4</v>
      </c>
      <c r="L6" s="4">
        <f t="shared" si="0"/>
        <v>714.66666666666902</v>
      </c>
      <c r="O6" s="7">
        <v>5</v>
      </c>
      <c r="P6" s="52">
        <f>'הזנת נתונים'!A5</f>
        <v>70</v>
      </c>
      <c r="Q6" s="7"/>
      <c r="R6" s="7"/>
      <c r="S6" s="7"/>
      <c r="T6" s="7"/>
      <c r="U6" s="7"/>
      <c r="V6" s="7"/>
      <c r="W6" s="7"/>
      <c r="Y6">
        <v>4</v>
      </c>
      <c r="Z6" s="4">
        <f t="shared" si="1"/>
        <v>714.6666666666689</v>
      </c>
      <c r="AC6" s="7">
        <v>5</v>
      </c>
      <c r="AD6" s="52">
        <f>'הזנת נתונים'!A5</f>
        <v>70</v>
      </c>
      <c r="AE6" s="7"/>
      <c r="AF6" s="7"/>
      <c r="AG6" s="7"/>
      <c r="AH6" s="7"/>
      <c r="AI6" s="7"/>
      <c r="AJ6" s="7"/>
      <c r="AK6" s="7"/>
      <c r="AM6">
        <v>4</v>
      </c>
      <c r="AN6" s="4">
        <f t="shared" si="2"/>
        <v>714.6666666666689</v>
      </c>
      <c r="AQ6" s="7">
        <v>5</v>
      </c>
      <c r="AR6" s="52">
        <f>'הזנת נתונים'!A5</f>
        <v>70</v>
      </c>
      <c r="AS6" s="7"/>
      <c r="AT6" s="7"/>
      <c r="AU6" s="7"/>
      <c r="AV6" s="7"/>
      <c r="AW6" s="7"/>
      <c r="AX6" s="7"/>
      <c r="AY6" s="7"/>
      <c r="BA6">
        <v>4</v>
      </c>
      <c r="BB6" s="4">
        <f t="shared" si="3"/>
        <v>714.6666666666689</v>
      </c>
      <c r="BE6" s="7">
        <v>5</v>
      </c>
      <c r="BF6" s="52">
        <f>'הזנת נתונים'!A5</f>
        <v>70</v>
      </c>
      <c r="BG6" s="7"/>
      <c r="BH6" s="7"/>
      <c r="BI6" s="7"/>
      <c r="BJ6" s="7"/>
      <c r="BK6" s="7"/>
      <c r="BL6" s="7"/>
      <c r="BM6" s="7"/>
      <c r="BO6">
        <v>4</v>
      </c>
      <c r="BP6" s="4">
        <f t="shared" si="4"/>
        <v>714.66666666666913</v>
      </c>
    </row>
    <row r="7" spans="1:69" x14ac:dyDescent="0.25">
      <c r="A7" s="7">
        <v>6</v>
      </c>
      <c r="B7" s="52">
        <f>'הזנת נתונים'!A6</f>
        <v>75</v>
      </c>
      <c r="C7" s="7">
        <f t="shared" ref="C7:D61" si="5">AVERAGE(B3:B7)</f>
        <v>55</v>
      </c>
      <c r="D7" s="7"/>
      <c r="E7" s="7"/>
      <c r="F7" s="7"/>
      <c r="G7" s="7"/>
      <c r="H7" s="7"/>
      <c r="I7" s="7"/>
      <c r="K7">
        <v>5</v>
      </c>
      <c r="L7" s="4">
        <f t="shared" si="0"/>
        <v>725.66666666666902</v>
      </c>
      <c r="O7" s="7">
        <v>6</v>
      </c>
      <c r="P7" s="52">
        <f>'הזנת נתונים'!A6</f>
        <v>75</v>
      </c>
      <c r="Q7" s="7">
        <f>AVERAGE(P2:P7)</f>
        <v>50.5</v>
      </c>
      <c r="R7" s="7"/>
      <c r="S7" s="7"/>
      <c r="T7" s="7"/>
      <c r="U7" s="7"/>
      <c r="V7" s="7"/>
      <c r="W7" s="7"/>
      <c r="Y7">
        <v>5</v>
      </c>
      <c r="Z7" s="4">
        <f t="shared" si="1"/>
        <v>725.6666666666689</v>
      </c>
      <c r="AC7" s="7">
        <v>6</v>
      </c>
      <c r="AD7" s="52">
        <f>'הזנת נתונים'!A6</f>
        <v>75</v>
      </c>
      <c r="AE7" s="7"/>
      <c r="AF7" s="7"/>
      <c r="AG7" s="7"/>
      <c r="AH7" s="7"/>
      <c r="AI7" s="7"/>
      <c r="AJ7" s="7"/>
      <c r="AK7" s="7"/>
      <c r="AM7">
        <v>5</v>
      </c>
      <c r="AN7" s="4">
        <f t="shared" si="2"/>
        <v>725.6666666666689</v>
      </c>
      <c r="AQ7" s="7">
        <v>6</v>
      </c>
      <c r="AR7" s="52">
        <f>'הזנת נתונים'!A6</f>
        <v>75</v>
      </c>
      <c r="AS7" s="7"/>
      <c r="AT7" s="7"/>
      <c r="AU7" s="7"/>
      <c r="AV7" s="7"/>
      <c r="AW7" s="7"/>
      <c r="AX7" s="7"/>
      <c r="AY7" s="7"/>
      <c r="BA7">
        <v>5</v>
      </c>
      <c r="BB7" s="4">
        <f t="shared" si="3"/>
        <v>725.6666666666689</v>
      </c>
      <c r="BE7" s="7">
        <v>6</v>
      </c>
      <c r="BF7" s="52">
        <f>'הזנת נתונים'!A6</f>
        <v>75</v>
      </c>
      <c r="BG7" s="7"/>
      <c r="BH7" s="7"/>
      <c r="BI7" s="7"/>
      <c r="BJ7" s="7"/>
      <c r="BK7" s="7"/>
      <c r="BL7" s="7"/>
      <c r="BM7" s="7"/>
      <c r="BO7">
        <v>5</v>
      </c>
      <c r="BP7" s="4">
        <f t="shared" si="4"/>
        <v>725.66666666666913</v>
      </c>
    </row>
    <row r="8" spans="1:69" x14ac:dyDescent="0.25">
      <c r="A8" s="7">
        <v>7</v>
      </c>
      <c r="B8" s="52">
        <f>'הזנת נתונים'!A7</f>
        <v>87.6666666666667</v>
      </c>
      <c r="C8" s="7">
        <f t="shared" si="5"/>
        <v>65.533333333333331</v>
      </c>
      <c r="D8" s="7"/>
      <c r="E8" s="7"/>
      <c r="F8" s="7"/>
      <c r="G8" s="7"/>
      <c r="H8" s="7"/>
      <c r="I8" s="7"/>
      <c r="K8">
        <v>6</v>
      </c>
      <c r="L8" s="4">
        <f t="shared" si="0"/>
        <v>736.66666666666902</v>
      </c>
      <c r="O8" s="7">
        <v>7</v>
      </c>
      <c r="P8" s="52">
        <f>'הזנת נתונים'!A7</f>
        <v>87.6666666666667</v>
      </c>
      <c r="Q8" s="7">
        <f t="shared" ref="Q8:R61" si="6">AVERAGE(P3:P8)</f>
        <v>60.44444444444445</v>
      </c>
      <c r="R8" s="7"/>
      <c r="S8" s="7"/>
      <c r="T8" s="7"/>
      <c r="U8" s="7"/>
      <c r="V8" s="7"/>
      <c r="W8" s="7"/>
      <c r="Y8">
        <v>6</v>
      </c>
      <c r="Z8" s="4">
        <f t="shared" si="1"/>
        <v>736.6666666666689</v>
      </c>
      <c r="AC8" s="7">
        <v>7</v>
      </c>
      <c r="AD8" s="52">
        <f>'הזנת נתונים'!A7</f>
        <v>87.6666666666667</v>
      </c>
      <c r="AE8" s="7">
        <f>AVERAGE(AD2:AD8)</f>
        <v>55.80952380952381</v>
      </c>
      <c r="AF8" s="7"/>
      <c r="AG8" s="7"/>
      <c r="AH8" s="7"/>
      <c r="AI8" s="7"/>
      <c r="AJ8" s="7"/>
      <c r="AK8" s="7"/>
      <c r="AM8">
        <v>6</v>
      </c>
      <c r="AN8" s="4">
        <f t="shared" si="2"/>
        <v>736.6666666666689</v>
      </c>
      <c r="AQ8" s="7">
        <v>7</v>
      </c>
      <c r="AR8" s="52">
        <f>'הזנת נתונים'!A7</f>
        <v>87.6666666666667</v>
      </c>
      <c r="AS8" s="7"/>
      <c r="AT8" s="7"/>
      <c r="AU8" s="7"/>
      <c r="AV8" s="7"/>
      <c r="AW8" s="7"/>
      <c r="AX8" s="7"/>
      <c r="AY8" s="7"/>
      <c r="BA8">
        <v>6</v>
      </c>
      <c r="BB8" s="4">
        <f t="shared" si="3"/>
        <v>736.6666666666689</v>
      </c>
      <c r="BE8" s="7">
        <v>7</v>
      </c>
      <c r="BF8" s="52">
        <f>'הזנת נתונים'!A7</f>
        <v>87.6666666666667</v>
      </c>
      <c r="BG8" s="7"/>
      <c r="BH8" s="7"/>
      <c r="BI8" s="7"/>
      <c r="BJ8" s="7"/>
      <c r="BK8" s="7"/>
      <c r="BL8" s="7"/>
      <c r="BM8" s="7"/>
      <c r="BO8">
        <v>6</v>
      </c>
      <c r="BP8" s="4">
        <f t="shared" si="4"/>
        <v>736.66666666666924</v>
      </c>
    </row>
    <row r="9" spans="1:69" x14ac:dyDescent="0.25">
      <c r="A9" s="7">
        <v>8</v>
      </c>
      <c r="B9" s="52">
        <f>'הזנת נתונים'!A8</f>
        <v>98.6666666666667</v>
      </c>
      <c r="C9" s="7">
        <f t="shared" si="5"/>
        <v>77.26666666666668</v>
      </c>
      <c r="D9" s="7"/>
      <c r="E9" s="7"/>
      <c r="F9" s="7"/>
      <c r="G9" s="7"/>
      <c r="H9" s="7"/>
      <c r="I9" s="7"/>
      <c r="K9">
        <v>7</v>
      </c>
      <c r="L9" s="4">
        <f t="shared" si="0"/>
        <v>747.66666666666902</v>
      </c>
      <c r="O9" s="7">
        <v>8</v>
      </c>
      <c r="P9" s="52">
        <f>'הזנת נתונים'!A8</f>
        <v>98.6666666666667</v>
      </c>
      <c r="Q9" s="7">
        <f t="shared" si="6"/>
        <v>71.055555555555557</v>
      </c>
      <c r="R9" s="7"/>
      <c r="S9" s="7"/>
      <c r="T9" s="7"/>
      <c r="U9" s="7"/>
      <c r="V9" s="7"/>
      <c r="W9" s="7"/>
      <c r="Y9">
        <v>7</v>
      </c>
      <c r="Z9" s="4">
        <f t="shared" si="1"/>
        <v>747.6666666666689</v>
      </c>
      <c r="AC9" s="7">
        <v>8</v>
      </c>
      <c r="AD9" s="52">
        <f>'הזנת נתונים'!A8</f>
        <v>98.6666666666667</v>
      </c>
      <c r="AE9" s="7">
        <f t="shared" ref="AE9:AF61" si="7">AVERAGE(AD3:AD9)</f>
        <v>65.904761904761912</v>
      </c>
      <c r="AF9" s="7"/>
      <c r="AG9" s="7"/>
      <c r="AH9" s="7"/>
      <c r="AI9" s="7"/>
      <c r="AJ9" s="7"/>
      <c r="AK9" s="7"/>
      <c r="AM9">
        <v>7</v>
      </c>
      <c r="AN9" s="4">
        <f t="shared" si="2"/>
        <v>747.6666666666689</v>
      </c>
      <c r="AQ9" s="7">
        <v>8</v>
      </c>
      <c r="AR9" s="52">
        <f>'הזנת נתונים'!A8</f>
        <v>98.6666666666667</v>
      </c>
      <c r="AS9" s="7">
        <f>AVERAGE(AR2:AR9)</f>
        <v>61.166666666666671</v>
      </c>
      <c r="AT9" s="7"/>
      <c r="AU9" s="7"/>
      <c r="AV9" s="7"/>
      <c r="AW9" s="7"/>
      <c r="AX9" s="7"/>
      <c r="AY9" s="7"/>
      <c r="BA9">
        <v>7</v>
      </c>
      <c r="BB9" s="4">
        <f t="shared" si="3"/>
        <v>747.6666666666689</v>
      </c>
      <c r="BE9" s="7">
        <v>8</v>
      </c>
      <c r="BF9" s="52">
        <f>'הזנת נתונים'!A8</f>
        <v>98.6666666666667</v>
      </c>
      <c r="BG9" s="7"/>
      <c r="BH9" s="7"/>
      <c r="BI9" s="7"/>
      <c r="BJ9" s="7"/>
      <c r="BK9" s="7"/>
      <c r="BL9" s="7"/>
      <c r="BM9" s="7"/>
      <c r="BO9">
        <v>7</v>
      </c>
      <c r="BP9" s="4">
        <f t="shared" si="4"/>
        <v>747.66666666666924</v>
      </c>
    </row>
    <row r="10" spans="1:69" x14ac:dyDescent="0.25">
      <c r="A10" s="7">
        <v>9</v>
      </c>
      <c r="B10" s="52">
        <f>'הזנת נתונים'!A9</f>
        <v>109.666666666667</v>
      </c>
      <c r="C10" s="7">
        <f t="shared" si="5"/>
        <v>88.200000000000074</v>
      </c>
      <c r="D10" s="7">
        <f>AVERAGE(C6:C10)</f>
        <v>66.320000000000022</v>
      </c>
      <c r="E10" s="7">
        <f>2*C10-D10</f>
        <v>110.08000000000013</v>
      </c>
      <c r="F10" s="7">
        <f t="shared" ref="F10:F41" si="8">2*(C10-D10)/(K-1)</f>
        <v>10.940000000000026</v>
      </c>
      <c r="G10" s="7"/>
      <c r="H10" s="7"/>
      <c r="I10" s="7"/>
      <c r="K10">
        <v>8</v>
      </c>
      <c r="L10" s="4">
        <f t="shared" si="0"/>
        <v>758.66666666666902</v>
      </c>
      <c r="O10" s="7">
        <v>9</v>
      </c>
      <c r="P10" s="52">
        <f>'הזנת נתונים'!A9</f>
        <v>109.666666666667</v>
      </c>
      <c r="Q10" s="7">
        <f t="shared" si="6"/>
        <v>82.666666666666728</v>
      </c>
      <c r="R10" s="7"/>
      <c r="S10" s="7"/>
      <c r="T10" s="7"/>
      <c r="U10" s="7"/>
      <c r="V10" s="7"/>
      <c r="W10" s="7"/>
      <c r="Y10">
        <v>8</v>
      </c>
      <c r="Z10" s="4">
        <f t="shared" si="1"/>
        <v>758.6666666666689</v>
      </c>
      <c r="AC10" s="7">
        <v>9</v>
      </c>
      <c r="AD10" s="52">
        <f>'הזנת נתונים'!A9</f>
        <v>109.666666666667</v>
      </c>
      <c r="AE10" s="7">
        <f t="shared" si="7"/>
        <v>76.571428571428626</v>
      </c>
      <c r="AF10" s="7"/>
      <c r="AG10" s="7"/>
      <c r="AH10" s="7"/>
      <c r="AI10" s="7"/>
      <c r="AJ10" s="7"/>
      <c r="AK10" s="7"/>
      <c r="AM10">
        <v>8</v>
      </c>
      <c r="AN10" s="4">
        <f t="shared" si="2"/>
        <v>758.6666666666689</v>
      </c>
      <c r="AQ10" s="7">
        <v>9</v>
      </c>
      <c r="AR10" s="52">
        <f>'הזנת נתונים'!A9</f>
        <v>109.666666666667</v>
      </c>
      <c r="AS10" s="7">
        <f t="shared" ref="AS10:AT61" si="9">AVERAGE(AR3:AR10)</f>
        <v>71.375000000000043</v>
      </c>
      <c r="AT10" s="7"/>
      <c r="AU10" s="7"/>
      <c r="AV10" s="7"/>
      <c r="AW10" s="7"/>
      <c r="AX10" s="7"/>
      <c r="AY10" s="7"/>
      <c r="BA10">
        <v>8</v>
      </c>
      <c r="BB10" s="4">
        <f t="shared" si="3"/>
        <v>758.6666666666689</v>
      </c>
      <c r="BE10" s="7">
        <v>9</v>
      </c>
      <c r="BF10" s="52">
        <f>'הזנת נתונים'!A9</f>
        <v>109.666666666667</v>
      </c>
      <c r="BG10" s="7">
        <f>AVERAGE(BF2:BF10)</f>
        <v>66.5555555555556</v>
      </c>
      <c r="BH10" s="7"/>
      <c r="BI10" s="7"/>
      <c r="BJ10" s="7"/>
      <c r="BK10" s="7"/>
      <c r="BL10" s="7"/>
      <c r="BM10" s="7"/>
      <c r="BO10">
        <v>8</v>
      </c>
      <c r="BP10" s="4">
        <f t="shared" si="4"/>
        <v>758.66666666666924</v>
      </c>
    </row>
    <row r="11" spans="1:69" x14ac:dyDescent="0.25">
      <c r="A11" s="7">
        <v>10</v>
      </c>
      <c r="B11" s="52">
        <f>'הזנת נתונים'!A10</f>
        <v>120.666666666667</v>
      </c>
      <c r="C11" s="7">
        <f t="shared" si="5"/>
        <v>98.333333333333456</v>
      </c>
      <c r="D11" s="7">
        <f t="shared" si="5"/>
        <v>76.866666666666717</v>
      </c>
      <c r="E11" s="7">
        <f t="shared" ref="E11:E61" si="10">2*C11-D11</f>
        <v>119.8000000000002</v>
      </c>
      <c r="F11" s="7">
        <f t="shared" si="8"/>
        <v>10.73333333333337</v>
      </c>
      <c r="G11" s="7">
        <f>E10+F10</f>
        <v>121.02000000000015</v>
      </c>
      <c r="H11" s="7">
        <f>G11-B11</f>
        <v>0.35333333333315409</v>
      </c>
      <c r="I11" s="7">
        <f>H11^2</f>
        <v>0.12484444444431778</v>
      </c>
      <c r="K11">
        <v>9</v>
      </c>
      <c r="L11" s="4">
        <f t="shared" si="0"/>
        <v>769.66666666666902</v>
      </c>
      <c r="O11" s="7">
        <v>10</v>
      </c>
      <c r="P11" s="52">
        <f>'הזנת נתונים'!A10</f>
        <v>120.666666666667</v>
      </c>
      <c r="Q11" s="7">
        <f t="shared" si="6"/>
        <v>93.611111111111214</v>
      </c>
      <c r="R11" s="7"/>
      <c r="S11" s="7"/>
      <c r="T11" s="7"/>
      <c r="U11" s="7"/>
      <c r="V11" s="7"/>
      <c r="W11" s="7"/>
      <c r="Y11">
        <v>9</v>
      </c>
      <c r="Z11" s="4">
        <f t="shared" si="1"/>
        <v>769.6666666666689</v>
      </c>
      <c r="AC11" s="7">
        <v>10</v>
      </c>
      <c r="AD11" s="52">
        <f>'הזנת נתונים'!A10</f>
        <v>120.666666666667</v>
      </c>
      <c r="AE11" s="7">
        <f t="shared" si="7"/>
        <v>88.095238095238187</v>
      </c>
      <c r="AF11" s="7"/>
      <c r="AG11" s="7"/>
      <c r="AH11" s="7"/>
      <c r="AI11" s="7"/>
      <c r="AJ11" s="7"/>
      <c r="AK11" s="7"/>
      <c r="AM11">
        <v>9</v>
      </c>
      <c r="AN11" s="4">
        <f t="shared" si="2"/>
        <v>769.6666666666689</v>
      </c>
      <c r="AQ11" s="7">
        <v>10</v>
      </c>
      <c r="AR11" s="52">
        <f>'הזנת נתונים'!A10</f>
        <v>120.666666666667</v>
      </c>
      <c r="AS11" s="7">
        <f t="shared" si="9"/>
        <v>82.083333333333414</v>
      </c>
      <c r="AT11" s="7"/>
      <c r="AU11" s="7"/>
      <c r="AV11" s="7"/>
      <c r="AW11" s="7"/>
      <c r="AX11" s="7"/>
      <c r="AY11" s="7"/>
      <c r="BA11">
        <v>9</v>
      </c>
      <c r="BB11" s="4">
        <f t="shared" si="3"/>
        <v>769.6666666666689</v>
      </c>
      <c r="BE11" s="7">
        <v>10</v>
      </c>
      <c r="BF11" s="52">
        <f>'הזנת נתונים'!A10</f>
        <v>120.666666666667</v>
      </c>
      <c r="BG11" s="7">
        <f t="shared" ref="BG11:BH61" si="11">AVERAGE(BF3:BF11)</f>
        <v>76.851851851851919</v>
      </c>
      <c r="BH11" s="7"/>
      <c r="BI11" s="7"/>
      <c r="BJ11" s="7"/>
      <c r="BK11" s="7"/>
      <c r="BL11" s="7"/>
      <c r="BM11" s="7"/>
      <c r="BO11">
        <v>9</v>
      </c>
      <c r="BP11" s="4">
        <f t="shared" si="4"/>
        <v>769.66666666666924</v>
      </c>
    </row>
    <row r="12" spans="1:69" x14ac:dyDescent="0.25">
      <c r="A12" s="7">
        <v>11</v>
      </c>
      <c r="B12" s="52">
        <f>'הזנת נתונים'!A11</f>
        <v>131.666666666667</v>
      </c>
      <c r="C12" s="7">
        <f t="shared" si="5"/>
        <v>109.66666666666688</v>
      </c>
      <c r="D12" s="7">
        <f t="shared" si="5"/>
        <v>87.800000000000097</v>
      </c>
      <c r="E12" s="7">
        <f t="shared" si="10"/>
        <v>131.53333333333367</v>
      </c>
      <c r="F12" s="7">
        <f t="shared" si="8"/>
        <v>10.933333333333394</v>
      </c>
      <c r="G12" s="7">
        <f t="shared" ref="G12:G61" si="12">E11+F11</f>
        <v>130.53333333333356</v>
      </c>
      <c r="H12" s="7">
        <f t="shared" ref="H12:H61" si="13">G12-B12</f>
        <v>-1.1333333333334394</v>
      </c>
      <c r="I12" s="7">
        <f t="shared" ref="I12:I61" si="14">H12^2</f>
        <v>1.284444444444685</v>
      </c>
      <c r="K12">
        <v>10</v>
      </c>
      <c r="L12" s="4">
        <f t="shared" si="0"/>
        <v>780.66666666666902</v>
      </c>
      <c r="O12" s="7">
        <v>11</v>
      </c>
      <c r="P12" s="52">
        <f>'הזנת נתונים'!A11</f>
        <v>131.666666666667</v>
      </c>
      <c r="Q12" s="7">
        <f t="shared" si="6"/>
        <v>103.88888888888904</v>
      </c>
      <c r="R12" s="7">
        <f>AVERAGE(Q7:Q12)</f>
        <v>77.027777777777828</v>
      </c>
      <c r="S12" s="7">
        <f>2*Q12-R12</f>
        <v>130.75000000000026</v>
      </c>
      <c r="T12" s="7">
        <f>2*(Q12-R12)/(6-1)</f>
        <v>10.744444444444486</v>
      </c>
      <c r="U12" s="7"/>
      <c r="V12" s="7"/>
      <c r="W12" s="7"/>
      <c r="Y12">
        <v>10</v>
      </c>
      <c r="Z12" s="4">
        <f t="shared" si="1"/>
        <v>780.6666666666689</v>
      </c>
      <c r="AC12" s="7">
        <v>11</v>
      </c>
      <c r="AD12" s="52">
        <f>'הזנת נתונים'!A11</f>
        <v>131.666666666667</v>
      </c>
      <c r="AE12" s="7">
        <f t="shared" si="7"/>
        <v>99.047619047619179</v>
      </c>
      <c r="AF12" s="7"/>
      <c r="AG12" s="7"/>
      <c r="AH12" s="7"/>
      <c r="AI12" s="7"/>
      <c r="AJ12" s="7"/>
      <c r="AK12" s="7"/>
      <c r="AM12">
        <v>10</v>
      </c>
      <c r="AN12" s="4">
        <f t="shared" si="2"/>
        <v>780.6666666666689</v>
      </c>
      <c r="AQ12" s="7">
        <v>11</v>
      </c>
      <c r="AR12" s="52">
        <f>'הזנת נתונים'!A11</f>
        <v>131.666666666667</v>
      </c>
      <c r="AS12" s="7">
        <f t="shared" si="9"/>
        <v>93.541666666666785</v>
      </c>
      <c r="AT12" s="7"/>
      <c r="AU12" s="7"/>
      <c r="AV12" s="7"/>
      <c r="AW12" s="7"/>
      <c r="AX12" s="7"/>
      <c r="AY12" s="7"/>
      <c r="BA12">
        <v>10</v>
      </c>
      <c r="BB12" s="4">
        <f t="shared" si="3"/>
        <v>780.6666666666689</v>
      </c>
      <c r="BE12" s="7">
        <v>11</v>
      </c>
      <c r="BF12" s="52">
        <f>'הזנת נתונים'!A11</f>
        <v>131.666666666667</v>
      </c>
      <c r="BG12" s="7">
        <f t="shared" si="11"/>
        <v>87.592592592592695</v>
      </c>
      <c r="BH12" s="7"/>
      <c r="BI12" s="7"/>
      <c r="BJ12" s="7"/>
      <c r="BK12" s="7"/>
      <c r="BL12" s="7"/>
      <c r="BM12" s="7"/>
      <c r="BO12">
        <v>10</v>
      </c>
      <c r="BP12" s="4">
        <f t="shared" si="4"/>
        <v>780.66666666666924</v>
      </c>
    </row>
    <row r="13" spans="1:69" x14ac:dyDescent="0.25">
      <c r="A13" s="7">
        <v>12</v>
      </c>
      <c r="B13" s="52">
        <f>'הזנת נתונים'!A12</f>
        <v>142.666666666667</v>
      </c>
      <c r="C13" s="7">
        <f t="shared" si="5"/>
        <v>120.66666666666693</v>
      </c>
      <c r="D13" s="7">
        <f t="shared" si="5"/>
        <v>98.826666666666796</v>
      </c>
      <c r="E13" s="7">
        <f t="shared" si="10"/>
        <v>142.50666666666706</v>
      </c>
      <c r="F13" s="7">
        <f t="shared" si="8"/>
        <v>10.920000000000066</v>
      </c>
      <c r="G13" s="7">
        <f t="shared" si="12"/>
        <v>142.46666666666707</v>
      </c>
      <c r="H13" s="7">
        <f t="shared" si="13"/>
        <v>-0.19999999999993179</v>
      </c>
      <c r="I13" s="7">
        <f t="shared" si="14"/>
        <v>3.9999999999972717E-2</v>
      </c>
      <c r="K13">
        <v>11</v>
      </c>
      <c r="L13" s="4">
        <f t="shared" si="0"/>
        <v>791.66666666666902</v>
      </c>
      <c r="O13" s="7">
        <v>12</v>
      </c>
      <c r="P13" s="52">
        <f>'הזנת נתונים'!A12</f>
        <v>142.666666666667</v>
      </c>
      <c r="Q13" s="7">
        <f t="shared" si="6"/>
        <v>115.1666666666669</v>
      </c>
      <c r="R13" s="7">
        <f t="shared" si="6"/>
        <v>87.805555555555642</v>
      </c>
      <c r="S13" s="7">
        <f t="shared" ref="S13:S61" si="15">2*Q13-R13</f>
        <v>142.52777777777817</v>
      </c>
      <c r="T13" s="7">
        <f t="shared" ref="T13:T61" si="16">2*(Q13-R13)/(6-1)</f>
        <v>10.944444444444503</v>
      </c>
      <c r="U13" s="7">
        <f>S12+T12</f>
        <v>141.49444444444475</v>
      </c>
      <c r="V13" s="7">
        <f>U13-P13</f>
        <v>-1.1722222222222456</v>
      </c>
      <c r="W13" s="7">
        <f>V13^2</f>
        <v>1.3741049382716597</v>
      </c>
      <c r="Y13">
        <v>11</v>
      </c>
      <c r="Z13" s="4">
        <f t="shared" si="1"/>
        <v>791.6666666666689</v>
      </c>
      <c r="AC13" s="7">
        <v>12</v>
      </c>
      <c r="AD13" s="52">
        <f>'הזנת נתונים'!A12</f>
        <v>142.666666666667</v>
      </c>
      <c r="AE13" s="7">
        <f t="shared" si="7"/>
        <v>109.4285714285716</v>
      </c>
      <c r="AF13" s="7"/>
      <c r="AG13" s="7"/>
      <c r="AH13" s="7"/>
      <c r="AI13" s="7"/>
      <c r="AJ13" s="7"/>
      <c r="AK13" s="7"/>
      <c r="AM13">
        <v>11</v>
      </c>
      <c r="AN13" s="4">
        <f t="shared" si="2"/>
        <v>791.6666666666689</v>
      </c>
      <c r="AQ13" s="7">
        <v>12</v>
      </c>
      <c r="AR13" s="52">
        <f>'הזנת נתונים'!A12</f>
        <v>142.666666666667</v>
      </c>
      <c r="AS13" s="7">
        <f t="shared" si="9"/>
        <v>104.50000000000016</v>
      </c>
      <c r="AT13" s="7"/>
      <c r="AU13" s="7"/>
      <c r="AV13" s="7"/>
      <c r="AW13" s="7"/>
      <c r="AX13" s="7"/>
      <c r="AY13" s="7"/>
      <c r="BA13">
        <v>11</v>
      </c>
      <c r="BB13" s="4">
        <f t="shared" si="3"/>
        <v>791.6666666666689</v>
      </c>
      <c r="BE13" s="7">
        <v>12</v>
      </c>
      <c r="BF13" s="52">
        <f>'הזנת נתונים'!A12</f>
        <v>142.666666666667</v>
      </c>
      <c r="BG13" s="7">
        <f t="shared" si="11"/>
        <v>99.000000000000142</v>
      </c>
      <c r="BH13" s="7"/>
      <c r="BI13" s="7"/>
      <c r="BJ13" s="7"/>
      <c r="BK13" s="7"/>
      <c r="BL13" s="7"/>
      <c r="BM13" s="7"/>
      <c r="BO13">
        <v>11</v>
      </c>
      <c r="BP13" s="4">
        <f t="shared" si="4"/>
        <v>791.66666666666936</v>
      </c>
    </row>
    <row r="14" spans="1:69" x14ac:dyDescent="0.25">
      <c r="A14" s="7">
        <v>13</v>
      </c>
      <c r="B14" s="52">
        <f>'הזנת נתונים'!A13</f>
        <v>153.666666666667</v>
      </c>
      <c r="C14" s="7">
        <f t="shared" si="5"/>
        <v>131.666666666667</v>
      </c>
      <c r="D14" s="7">
        <f t="shared" si="5"/>
        <v>109.70666666666686</v>
      </c>
      <c r="E14" s="7">
        <f t="shared" si="10"/>
        <v>153.62666666666712</v>
      </c>
      <c r="F14" s="7">
        <f t="shared" si="8"/>
        <v>10.980000000000068</v>
      </c>
      <c r="G14" s="7">
        <f t="shared" si="12"/>
        <v>153.42666666666713</v>
      </c>
      <c r="H14" s="7">
        <f t="shared" si="13"/>
        <v>-0.23999999999986699</v>
      </c>
      <c r="I14" s="7">
        <f t="shared" si="14"/>
        <v>5.7599999999936154E-2</v>
      </c>
      <c r="K14">
        <v>12</v>
      </c>
      <c r="L14" s="4">
        <f t="shared" si="0"/>
        <v>802.66666666666902</v>
      </c>
      <c r="O14" s="7">
        <v>13</v>
      </c>
      <c r="P14" s="52">
        <f>'הזנת נתונים'!A13</f>
        <v>153.666666666667</v>
      </c>
      <c r="Q14" s="7">
        <f t="shared" si="6"/>
        <v>126.16666666666693</v>
      </c>
      <c r="R14" s="7">
        <f t="shared" si="6"/>
        <v>98.759259259259395</v>
      </c>
      <c r="S14" s="7">
        <f t="shared" si="15"/>
        <v>153.57407407407447</v>
      </c>
      <c r="T14" s="7">
        <f t="shared" si="16"/>
        <v>10.962962962963013</v>
      </c>
      <c r="U14" s="7">
        <f t="shared" ref="U14:U61" si="17">S13+T13</f>
        <v>153.47222222222268</v>
      </c>
      <c r="V14" s="7">
        <f t="shared" ref="V14:V61" si="18">U14-P14</f>
        <v>-0.19444444444431497</v>
      </c>
      <c r="W14" s="7">
        <f t="shared" ref="W14:W61" si="19">V14^2</f>
        <v>3.7808641975258288E-2</v>
      </c>
      <c r="Y14">
        <v>12</v>
      </c>
      <c r="Z14" s="4">
        <f t="shared" si="1"/>
        <v>802.6666666666689</v>
      </c>
      <c r="AC14" s="7">
        <v>13</v>
      </c>
      <c r="AD14" s="52">
        <f>'הזנת נתונים'!A13</f>
        <v>153.666666666667</v>
      </c>
      <c r="AE14" s="7">
        <f t="shared" si="7"/>
        <v>120.6666666666669</v>
      </c>
      <c r="AF14" s="7">
        <f>AVERAGE(AE8:AE14)</f>
        <v>87.931972789115747</v>
      </c>
      <c r="AG14" s="7">
        <f>2*AE14-AF14</f>
        <v>153.40136054421805</v>
      </c>
      <c r="AH14" s="7">
        <f>2*(AE14-AF14)/(7-1)</f>
        <v>10.911564625850383</v>
      </c>
      <c r="AI14" s="7"/>
      <c r="AJ14" s="7"/>
      <c r="AK14" s="7"/>
      <c r="AM14">
        <v>12</v>
      </c>
      <c r="AN14" s="4">
        <f t="shared" si="2"/>
        <v>802.6666666666689</v>
      </c>
      <c r="AQ14" s="7">
        <v>13</v>
      </c>
      <c r="AR14" s="52">
        <f>'הזנת נתונים'!A13</f>
        <v>153.666666666667</v>
      </c>
      <c r="AS14" s="7">
        <f t="shared" si="9"/>
        <v>114.95833333333353</v>
      </c>
      <c r="AT14" s="7"/>
      <c r="AU14" s="7"/>
      <c r="AV14" s="7"/>
      <c r="AW14" s="7"/>
      <c r="AX14" s="7"/>
      <c r="AY14" s="7"/>
      <c r="BA14">
        <v>12</v>
      </c>
      <c r="BB14" s="4">
        <f t="shared" si="3"/>
        <v>802.6666666666689</v>
      </c>
      <c r="BE14" s="7">
        <v>13</v>
      </c>
      <c r="BF14" s="52">
        <f>'הזנת נתונים'!A13</f>
        <v>153.666666666667</v>
      </c>
      <c r="BG14" s="7">
        <f t="shared" si="11"/>
        <v>109.96296296296313</v>
      </c>
      <c r="BH14" s="7"/>
      <c r="BI14" s="7"/>
      <c r="BJ14" s="7"/>
      <c r="BK14" s="7"/>
      <c r="BL14" s="7"/>
      <c r="BM14" s="7"/>
      <c r="BO14">
        <v>12</v>
      </c>
      <c r="BP14" s="4">
        <f t="shared" si="4"/>
        <v>802.66666666666936</v>
      </c>
    </row>
    <row r="15" spans="1:69" x14ac:dyDescent="0.25">
      <c r="A15" s="7">
        <v>14</v>
      </c>
      <c r="B15" s="52">
        <f>'הזנת נתונים'!A14</f>
        <v>164.666666666667</v>
      </c>
      <c r="C15" s="7">
        <f t="shared" si="5"/>
        <v>142.666666666667</v>
      </c>
      <c r="D15" s="7">
        <f t="shared" si="5"/>
        <v>120.60000000000025</v>
      </c>
      <c r="E15" s="7">
        <f t="shared" si="10"/>
        <v>164.73333333333375</v>
      </c>
      <c r="F15" s="7">
        <f t="shared" si="8"/>
        <v>11.033333333333374</v>
      </c>
      <c r="G15" s="7">
        <f t="shared" si="12"/>
        <v>164.60666666666719</v>
      </c>
      <c r="H15" s="7">
        <f t="shared" si="13"/>
        <v>-5.9999999999803322E-2</v>
      </c>
      <c r="I15" s="7">
        <f t="shared" si="14"/>
        <v>3.5999999999763986E-3</v>
      </c>
      <c r="O15" s="7">
        <v>14</v>
      </c>
      <c r="P15" s="52">
        <f>'הזנת נתונים'!A14</f>
        <v>164.666666666667</v>
      </c>
      <c r="Q15" s="7">
        <f t="shared" si="6"/>
        <v>137.166666666667</v>
      </c>
      <c r="R15" s="7">
        <f t="shared" si="6"/>
        <v>109.77777777777796</v>
      </c>
      <c r="S15" s="7">
        <f t="shared" si="15"/>
        <v>164.55555555555605</v>
      </c>
      <c r="T15" s="7">
        <f t="shared" si="16"/>
        <v>10.955555555555616</v>
      </c>
      <c r="U15" s="7">
        <f t="shared" si="17"/>
        <v>164.53703703703749</v>
      </c>
      <c r="V15" s="7">
        <f t="shared" si="18"/>
        <v>-0.12962962962950542</v>
      </c>
      <c r="W15" s="7">
        <f t="shared" si="19"/>
        <v>1.680384087788275E-2</v>
      </c>
      <c r="AC15" s="7">
        <v>14</v>
      </c>
      <c r="AD15" s="52">
        <f>'הזנת נתונים'!A14</f>
        <v>164.666666666667</v>
      </c>
      <c r="AE15" s="7">
        <f t="shared" si="7"/>
        <v>131.66666666666694</v>
      </c>
      <c r="AF15" s="7">
        <f t="shared" si="7"/>
        <v>98.768707482993349</v>
      </c>
      <c r="AG15" s="7">
        <f t="shared" ref="AG15:AG61" si="20">2*AE15-AF15</f>
        <v>164.56462585034052</v>
      </c>
      <c r="AH15" s="7">
        <f t="shared" ref="AH15:AH61" si="21">2*(AE15-AF15)/(7-1)</f>
        <v>10.965986394557865</v>
      </c>
      <c r="AI15" s="7">
        <f>AG14+AH14</f>
        <v>164.31292517006844</v>
      </c>
      <c r="AJ15" s="7">
        <f>AI15-AD15</f>
        <v>-0.35374149659855902</v>
      </c>
      <c r="AK15" s="7">
        <f>AJ15^2</f>
        <v>0.12513304641578835</v>
      </c>
      <c r="AQ15" s="7">
        <v>14</v>
      </c>
      <c r="AR15" s="52">
        <f>'הזנת נתונים'!A14</f>
        <v>164.666666666667</v>
      </c>
      <c r="AS15" s="7">
        <f t="shared" si="9"/>
        <v>126.16666666666691</v>
      </c>
      <c r="AT15" s="7"/>
      <c r="AU15" s="7"/>
      <c r="AV15" s="7"/>
      <c r="AW15" s="7"/>
      <c r="AX15" s="7"/>
      <c r="AY15" s="7"/>
      <c r="BE15" s="7">
        <v>14</v>
      </c>
      <c r="BF15" s="52">
        <f>'הזנת נתונים'!A14</f>
        <v>164.666666666667</v>
      </c>
      <c r="BG15" s="7">
        <f t="shared" si="11"/>
        <v>120.48148148148169</v>
      </c>
      <c r="BH15" s="7"/>
      <c r="BI15" s="7"/>
      <c r="BJ15" s="7"/>
      <c r="BK15" s="7"/>
      <c r="BL15" s="7"/>
      <c r="BM15" s="7"/>
    </row>
    <row r="16" spans="1:69" x14ac:dyDescent="0.25">
      <c r="A16" s="7">
        <v>15</v>
      </c>
      <c r="B16" s="52">
        <f>'הזנת נתונים'!A15</f>
        <v>175.666666666667</v>
      </c>
      <c r="C16" s="7">
        <f t="shared" si="5"/>
        <v>153.666666666667</v>
      </c>
      <c r="D16" s="7">
        <f t="shared" si="5"/>
        <v>131.66666666666694</v>
      </c>
      <c r="E16" s="7">
        <f t="shared" si="10"/>
        <v>175.66666666666706</v>
      </c>
      <c r="F16" s="7">
        <f t="shared" si="8"/>
        <v>11.000000000000028</v>
      </c>
      <c r="G16" s="7">
        <f t="shared" si="12"/>
        <v>175.76666666666711</v>
      </c>
      <c r="H16" s="7">
        <f t="shared" si="13"/>
        <v>0.100000000000108</v>
      </c>
      <c r="I16" s="7">
        <f t="shared" si="14"/>
        <v>1.0000000000021601E-2</v>
      </c>
      <c r="O16" s="7">
        <v>15</v>
      </c>
      <c r="P16" s="52">
        <f>'הזנת נתונים'!A15</f>
        <v>175.666666666667</v>
      </c>
      <c r="Q16" s="7">
        <f t="shared" si="6"/>
        <v>148.166666666667</v>
      </c>
      <c r="R16" s="7">
        <f t="shared" si="6"/>
        <v>120.69444444444467</v>
      </c>
      <c r="S16" s="7">
        <f t="shared" si="15"/>
        <v>175.63888888888931</v>
      </c>
      <c r="T16" s="7">
        <f t="shared" si="16"/>
        <v>10.988888888888932</v>
      </c>
      <c r="U16" s="7">
        <f t="shared" si="17"/>
        <v>175.51111111111166</v>
      </c>
      <c r="V16" s="7">
        <f t="shared" si="18"/>
        <v>-0.15555555555533829</v>
      </c>
      <c r="W16" s="7">
        <f t="shared" si="19"/>
        <v>2.4197530864129936E-2</v>
      </c>
      <c r="AC16" s="7">
        <v>15</v>
      </c>
      <c r="AD16" s="52">
        <f>'הזנת נתונים'!A15</f>
        <v>175.666666666667</v>
      </c>
      <c r="AE16" s="7">
        <f t="shared" si="7"/>
        <v>142.666666666667</v>
      </c>
      <c r="AF16" s="7">
        <f t="shared" si="7"/>
        <v>109.73469387755121</v>
      </c>
      <c r="AG16" s="7">
        <f t="shared" si="20"/>
        <v>175.5986394557828</v>
      </c>
      <c r="AH16" s="7">
        <f t="shared" si="21"/>
        <v>10.977324263038597</v>
      </c>
      <c r="AI16" s="7">
        <f t="shared" ref="AI16:AI61" si="22">AG15+AH15</f>
        <v>175.53061224489838</v>
      </c>
      <c r="AJ16" s="7">
        <f t="shared" ref="AJ16:AJ61" si="23">AI16-AD16</f>
        <v>-0.1360544217686197</v>
      </c>
      <c r="AK16" s="7">
        <f t="shared" ref="AK16:AK61" si="24">AJ16^2</f>
        <v>1.8510805682793459E-2</v>
      </c>
      <c r="AQ16" s="7">
        <v>15</v>
      </c>
      <c r="AR16" s="52">
        <f>'הזנת נתונים'!A15</f>
        <v>175.666666666667</v>
      </c>
      <c r="AS16" s="7">
        <f t="shared" si="9"/>
        <v>137.16666666666694</v>
      </c>
      <c r="AT16" s="7">
        <f>AVERAGE(AS9:AS16)</f>
        <v>98.869791666666799</v>
      </c>
      <c r="AU16" s="7">
        <f>2*AS16-AT16</f>
        <v>175.46354166666708</v>
      </c>
      <c r="AV16" s="7">
        <f>2*(AS16-AT16)/(8-1)</f>
        <v>10.941964285714326</v>
      </c>
      <c r="AW16" s="7"/>
      <c r="AX16" s="7"/>
      <c r="AY16" s="7"/>
      <c r="BE16" s="7">
        <v>15</v>
      </c>
      <c r="BF16" s="52">
        <f>'הזנת נתונים'!A15</f>
        <v>175.666666666667</v>
      </c>
      <c r="BG16" s="7">
        <f t="shared" si="11"/>
        <v>131.66666666666691</v>
      </c>
      <c r="BH16" s="7"/>
      <c r="BI16" s="7"/>
      <c r="BJ16" s="7"/>
      <c r="BK16" s="7"/>
      <c r="BL16" s="7"/>
      <c r="BM16" s="7"/>
    </row>
    <row r="17" spans="1:65" x14ac:dyDescent="0.25">
      <c r="A17" s="7">
        <v>16</v>
      </c>
      <c r="B17" s="52">
        <f>'הזנת נתונים'!A16</f>
        <v>186.666666666667</v>
      </c>
      <c r="C17" s="7">
        <f t="shared" si="5"/>
        <v>164.666666666667</v>
      </c>
      <c r="D17" s="7">
        <f t="shared" si="5"/>
        <v>142.66666666666697</v>
      </c>
      <c r="E17" s="7">
        <f t="shared" si="10"/>
        <v>186.66666666666703</v>
      </c>
      <c r="F17" s="7">
        <f t="shared" si="8"/>
        <v>11.000000000000014</v>
      </c>
      <c r="G17" s="7">
        <f t="shared" si="12"/>
        <v>186.66666666666708</v>
      </c>
      <c r="H17" s="7">
        <f t="shared" si="13"/>
        <v>0</v>
      </c>
      <c r="I17" s="7">
        <f t="shared" si="14"/>
        <v>0</v>
      </c>
      <c r="O17" s="7">
        <v>16</v>
      </c>
      <c r="P17" s="52">
        <f>'הזנת נתונים'!A16</f>
        <v>186.666666666667</v>
      </c>
      <c r="Q17" s="7">
        <f t="shared" si="6"/>
        <v>159.166666666667</v>
      </c>
      <c r="R17" s="7">
        <f t="shared" si="6"/>
        <v>131.62037037037064</v>
      </c>
      <c r="S17" s="7">
        <f t="shared" si="15"/>
        <v>186.71296296296336</v>
      </c>
      <c r="T17" s="7">
        <f t="shared" si="16"/>
        <v>11.018518518518544</v>
      </c>
      <c r="U17" s="7">
        <f t="shared" si="17"/>
        <v>186.62777777777825</v>
      </c>
      <c r="V17" s="7">
        <f t="shared" si="18"/>
        <v>-3.8888888888749307E-2</v>
      </c>
      <c r="W17" s="7">
        <f t="shared" si="19"/>
        <v>1.5123456790014894E-3</v>
      </c>
      <c r="AC17" s="7">
        <v>16</v>
      </c>
      <c r="AD17" s="52">
        <f>'הזנת נתונים'!A16</f>
        <v>186.666666666667</v>
      </c>
      <c r="AE17" s="7">
        <f t="shared" si="7"/>
        <v>153.666666666667</v>
      </c>
      <c r="AF17" s="7">
        <f t="shared" si="7"/>
        <v>120.7482993197281</v>
      </c>
      <c r="AG17" s="7">
        <f t="shared" si="20"/>
        <v>186.58503401360588</v>
      </c>
      <c r="AH17" s="7">
        <f t="shared" si="21"/>
        <v>10.972789115646298</v>
      </c>
      <c r="AI17" s="7">
        <f t="shared" si="22"/>
        <v>186.57596371882141</v>
      </c>
      <c r="AJ17" s="7">
        <f t="shared" si="23"/>
        <v>-9.0702947845585413E-2</v>
      </c>
      <c r="AK17" s="7">
        <f t="shared" si="24"/>
        <v>8.2270247478789874E-3</v>
      </c>
      <c r="AQ17" s="7">
        <v>16</v>
      </c>
      <c r="AR17" s="52">
        <f>'הזנת נתונים'!A16</f>
        <v>186.666666666667</v>
      </c>
      <c r="AS17" s="7">
        <f t="shared" si="9"/>
        <v>148.166666666667</v>
      </c>
      <c r="AT17" s="7">
        <f t="shared" si="9"/>
        <v>109.74479166666686</v>
      </c>
      <c r="AU17" s="7">
        <f t="shared" ref="AU17:AU61" si="25">2*AS17-AT17</f>
        <v>186.58854166666714</v>
      </c>
      <c r="AV17" s="7">
        <f t="shared" ref="AV17:AV61" si="26">2*(AS17-AT17)/(8-1)</f>
        <v>10.977678571428612</v>
      </c>
      <c r="AW17" s="7">
        <f>AU16+AV16</f>
        <v>186.40550595238142</v>
      </c>
      <c r="AX17" s="7">
        <f>AW17-AR17</f>
        <v>-0.2611607142855803</v>
      </c>
      <c r="AY17" s="7">
        <f>AX17^2</f>
        <v>6.8204918686154511E-2</v>
      </c>
      <c r="BE17" s="7">
        <v>16</v>
      </c>
      <c r="BF17" s="52">
        <f>'הזנת נתונים'!A16</f>
        <v>186.666666666667</v>
      </c>
      <c r="BG17" s="7">
        <f t="shared" si="11"/>
        <v>142.66666666666694</v>
      </c>
      <c r="BH17" s="7"/>
      <c r="BI17" s="7"/>
      <c r="BJ17" s="7"/>
      <c r="BK17" s="7"/>
      <c r="BL17" s="7"/>
      <c r="BM17" s="7"/>
    </row>
    <row r="18" spans="1:65" x14ac:dyDescent="0.25">
      <c r="A18" s="7">
        <v>17</v>
      </c>
      <c r="B18" s="52">
        <f>'הזנת נתונים'!A17</f>
        <v>197.666666666667</v>
      </c>
      <c r="C18" s="7">
        <f t="shared" si="5"/>
        <v>175.666666666667</v>
      </c>
      <c r="D18" s="7">
        <f t="shared" si="5"/>
        <v>153.666666666667</v>
      </c>
      <c r="E18" s="7">
        <f t="shared" si="10"/>
        <v>197.666666666667</v>
      </c>
      <c r="F18" s="7">
        <f t="shared" si="8"/>
        <v>11</v>
      </c>
      <c r="G18" s="7">
        <f t="shared" si="12"/>
        <v>197.66666666666703</v>
      </c>
      <c r="H18" s="7">
        <f t="shared" si="13"/>
        <v>0</v>
      </c>
      <c r="I18" s="7">
        <f t="shared" si="14"/>
        <v>0</v>
      </c>
      <c r="O18" s="7">
        <v>17</v>
      </c>
      <c r="P18" s="52">
        <f>'הזנת נתונים'!A17</f>
        <v>197.666666666667</v>
      </c>
      <c r="Q18" s="7">
        <f t="shared" si="6"/>
        <v>170.166666666667</v>
      </c>
      <c r="R18" s="7">
        <f t="shared" si="6"/>
        <v>142.66666666666694</v>
      </c>
      <c r="S18" s="7">
        <f t="shared" si="15"/>
        <v>197.66666666666706</v>
      </c>
      <c r="T18" s="7">
        <f t="shared" si="16"/>
        <v>11.000000000000023</v>
      </c>
      <c r="U18" s="7">
        <f t="shared" si="17"/>
        <v>197.73148148148189</v>
      </c>
      <c r="V18" s="7">
        <f t="shared" si="18"/>
        <v>6.4814814814894817E-2</v>
      </c>
      <c r="W18" s="7">
        <f t="shared" si="19"/>
        <v>4.2009602194891084E-3</v>
      </c>
      <c r="AC18" s="7">
        <v>17</v>
      </c>
      <c r="AD18" s="52">
        <f>'הזנת נתונים'!A17</f>
        <v>197.666666666667</v>
      </c>
      <c r="AE18" s="7">
        <f t="shared" si="7"/>
        <v>164.666666666667</v>
      </c>
      <c r="AF18" s="7">
        <f t="shared" si="7"/>
        <v>131.68707482993221</v>
      </c>
      <c r="AG18" s="7">
        <f t="shared" si="20"/>
        <v>197.64625850340178</v>
      </c>
      <c r="AH18" s="7">
        <f t="shared" si="21"/>
        <v>10.993197278911595</v>
      </c>
      <c r="AI18" s="7">
        <f t="shared" si="22"/>
        <v>197.55782312925217</v>
      </c>
      <c r="AJ18" s="7">
        <f t="shared" si="23"/>
        <v>-0.10884353741482755</v>
      </c>
      <c r="AK18" s="7">
        <f t="shared" si="24"/>
        <v>1.1846915636972965E-2</v>
      </c>
      <c r="AQ18" s="7">
        <v>17</v>
      </c>
      <c r="AR18" s="52">
        <f>'הזנת נתונים'!A17</f>
        <v>197.666666666667</v>
      </c>
      <c r="AS18" s="7">
        <f t="shared" si="9"/>
        <v>159.166666666667</v>
      </c>
      <c r="AT18" s="7">
        <f t="shared" si="9"/>
        <v>120.71875000000021</v>
      </c>
      <c r="AU18" s="7">
        <f t="shared" si="25"/>
        <v>197.61458333333377</v>
      </c>
      <c r="AV18" s="7">
        <f t="shared" si="26"/>
        <v>10.985119047619081</v>
      </c>
      <c r="AW18" s="7">
        <f t="shared" ref="AW18:AW61" si="27">AU17+AV17</f>
        <v>197.56622023809575</v>
      </c>
      <c r="AX18" s="7">
        <f t="shared" ref="AX18:AX61" si="28">AW18-AR18</f>
        <v>-0.10044642857124586</v>
      </c>
      <c r="AY18" s="7">
        <f t="shared" ref="AY18:AY61" si="29">AX18^2</f>
        <v>1.0089485012718396E-2</v>
      </c>
      <c r="BE18" s="7">
        <v>17</v>
      </c>
      <c r="BF18" s="52">
        <f>'הזנת נתונים'!A17</f>
        <v>197.666666666667</v>
      </c>
      <c r="BG18" s="7">
        <f t="shared" si="11"/>
        <v>153.666666666667</v>
      </c>
      <c r="BH18" s="7">
        <f>AVERAGE(BG10:BG18)</f>
        <v>109.82716049382735</v>
      </c>
      <c r="BI18" s="7">
        <f>2*BG18-BH18</f>
        <v>197.50617283950663</v>
      </c>
      <c r="BJ18" s="7">
        <f>2*(BG18-BH18)/(9-1)</f>
        <v>10.959876543209912</v>
      </c>
      <c r="BK18" s="7"/>
      <c r="BL18" s="7"/>
      <c r="BM18" s="7"/>
    </row>
    <row r="19" spans="1:65" x14ac:dyDescent="0.25">
      <c r="A19" s="7">
        <v>18</v>
      </c>
      <c r="B19" s="52">
        <f>'הזנת נתונים'!A18</f>
        <v>208.666666666667</v>
      </c>
      <c r="C19" s="7">
        <f t="shared" si="5"/>
        <v>186.666666666667</v>
      </c>
      <c r="D19" s="7">
        <f t="shared" si="5"/>
        <v>164.666666666667</v>
      </c>
      <c r="E19" s="7">
        <f t="shared" si="10"/>
        <v>208.666666666667</v>
      </c>
      <c r="F19" s="7">
        <f t="shared" si="8"/>
        <v>11</v>
      </c>
      <c r="G19" s="7">
        <f t="shared" si="12"/>
        <v>208.666666666667</v>
      </c>
      <c r="H19" s="7">
        <f t="shared" si="13"/>
        <v>0</v>
      </c>
      <c r="I19" s="7">
        <f t="shared" si="14"/>
        <v>0</v>
      </c>
      <c r="O19" s="7">
        <v>18</v>
      </c>
      <c r="P19" s="52">
        <f>'הזנת נתונים'!A18</f>
        <v>208.666666666667</v>
      </c>
      <c r="Q19" s="7">
        <f t="shared" si="6"/>
        <v>181.166666666667</v>
      </c>
      <c r="R19" s="7">
        <f t="shared" si="6"/>
        <v>153.66666666666697</v>
      </c>
      <c r="S19" s="7">
        <f t="shared" si="15"/>
        <v>208.66666666666703</v>
      </c>
      <c r="T19" s="7">
        <f t="shared" si="16"/>
        <v>11.000000000000011</v>
      </c>
      <c r="U19" s="7">
        <f t="shared" si="17"/>
        <v>208.66666666666708</v>
      </c>
      <c r="V19" s="7">
        <f t="shared" si="18"/>
        <v>0</v>
      </c>
      <c r="W19" s="7">
        <f t="shared" si="19"/>
        <v>0</v>
      </c>
      <c r="AC19" s="7">
        <v>18</v>
      </c>
      <c r="AD19" s="52">
        <f>'הזנת נתונים'!A18</f>
        <v>208.666666666667</v>
      </c>
      <c r="AE19" s="7">
        <f t="shared" si="7"/>
        <v>175.666666666667</v>
      </c>
      <c r="AF19" s="7">
        <f t="shared" si="7"/>
        <v>142.63265306122477</v>
      </c>
      <c r="AG19" s="7">
        <f t="shared" si="20"/>
        <v>208.70068027210922</v>
      </c>
      <c r="AH19" s="7">
        <f t="shared" si="21"/>
        <v>11.011337868480743</v>
      </c>
      <c r="AI19" s="7">
        <f t="shared" si="22"/>
        <v>208.63945578231338</v>
      </c>
      <c r="AJ19" s="7">
        <f t="shared" si="23"/>
        <v>-2.7210884353621623E-2</v>
      </c>
      <c r="AK19" s="7">
        <f t="shared" si="24"/>
        <v>7.4043222730617005E-4</v>
      </c>
      <c r="AQ19" s="7">
        <v>18</v>
      </c>
      <c r="AR19" s="52">
        <f>'הזנת נתונים'!A18</f>
        <v>208.666666666667</v>
      </c>
      <c r="AS19" s="7">
        <f t="shared" si="9"/>
        <v>170.166666666667</v>
      </c>
      <c r="AT19" s="7">
        <f t="shared" si="9"/>
        <v>131.72916666666691</v>
      </c>
      <c r="AU19" s="7">
        <f t="shared" si="25"/>
        <v>208.60416666666708</v>
      </c>
      <c r="AV19" s="7">
        <f t="shared" si="26"/>
        <v>10.982142857142881</v>
      </c>
      <c r="AW19" s="7">
        <f t="shared" si="27"/>
        <v>208.59970238095286</v>
      </c>
      <c r="AX19" s="7">
        <f t="shared" si="28"/>
        <v>-6.6964285714135485E-2</v>
      </c>
      <c r="AY19" s="7">
        <f t="shared" si="29"/>
        <v>4.48421556120437E-3</v>
      </c>
      <c r="BE19" s="7">
        <v>18</v>
      </c>
      <c r="BF19" s="52">
        <f>'הזנת נתונים'!A18</f>
        <v>208.666666666667</v>
      </c>
      <c r="BG19" s="7">
        <f t="shared" si="11"/>
        <v>164.666666666667</v>
      </c>
      <c r="BH19" s="7">
        <f t="shared" si="11"/>
        <v>120.72839506172861</v>
      </c>
      <c r="BI19" s="7">
        <f t="shared" ref="BI19:BI61" si="30">2*BG19-BH19</f>
        <v>208.60493827160539</v>
      </c>
      <c r="BJ19" s="7">
        <f t="shared" ref="BJ19:BJ61" si="31">2*(BG19-BH19)/(9-1)</f>
        <v>10.984567901234598</v>
      </c>
      <c r="BK19" s="7">
        <f>BI18+BJ18</f>
        <v>208.46604938271653</v>
      </c>
      <c r="BL19" s="7">
        <f>BK19-BF19</f>
        <v>-0.2006172839504643</v>
      </c>
      <c r="BM19" s="7">
        <f>BL19^2</f>
        <v>4.0247294619661221E-2</v>
      </c>
    </row>
    <row r="20" spans="1:65" x14ac:dyDescent="0.25">
      <c r="A20" s="7">
        <v>19</v>
      </c>
      <c r="B20" s="52">
        <f>'הזנת נתונים'!A19</f>
        <v>219.666666666667</v>
      </c>
      <c r="C20" s="7">
        <f t="shared" si="5"/>
        <v>197.666666666667</v>
      </c>
      <c r="D20" s="7">
        <f t="shared" si="5"/>
        <v>175.666666666667</v>
      </c>
      <c r="E20" s="7">
        <f t="shared" si="10"/>
        <v>219.666666666667</v>
      </c>
      <c r="F20" s="7">
        <f t="shared" si="8"/>
        <v>11</v>
      </c>
      <c r="G20" s="7">
        <f t="shared" si="12"/>
        <v>219.666666666667</v>
      </c>
      <c r="H20" s="7">
        <f t="shared" si="13"/>
        <v>0</v>
      </c>
      <c r="I20" s="7">
        <f t="shared" si="14"/>
        <v>0</v>
      </c>
      <c r="O20" s="7">
        <v>19</v>
      </c>
      <c r="P20" s="52">
        <f>'הזנת נתונים'!A19</f>
        <v>219.666666666667</v>
      </c>
      <c r="Q20" s="7">
        <f t="shared" si="6"/>
        <v>192.166666666667</v>
      </c>
      <c r="R20" s="7">
        <f t="shared" si="6"/>
        <v>164.666666666667</v>
      </c>
      <c r="S20" s="7">
        <f t="shared" si="15"/>
        <v>219.666666666667</v>
      </c>
      <c r="T20" s="7">
        <f t="shared" si="16"/>
        <v>11</v>
      </c>
      <c r="U20" s="7">
        <f t="shared" si="17"/>
        <v>219.66666666666703</v>
      </c>
      <c r="V20" s="7">
        <f t="shared" si="18"/>
        <v>0</v>
      </c>
      <c r="W20" s="7">
        <f t="shared" si="19"/>
        <v>0</v>
      </c>
      <c r="AC20" s="7">
        <v>19</v>
      </c>
      <c r="AD20" s="52">
        <f>'הזנת נתונים'!A19</f>
        <v>219.666666666667</v>
      </c>
      <c r="AE20" s="7">
        <f t="shared" si="7"/>
        <v>186.666666666667</v>
      </c>
      <c r="AF20" s="7">
        <f t="shared" si="7"/>
        <v>153.66666666666697</v>
      </c>
      <c r="AG20" s="7">
        <f t="shared" si="20"/>
        <v>219.66666666666703</v>
      </c>
      <c r="AH20" s="7">
        <f t="shared" si="21"/>
        <v>11.000000000000009</v>
      </c>
      <c r="AI20" s="7">
        <f t="shared" si="22"/>
        <v>219.71201814058998</v>
      </c>
      <c r="AJ20" s="7">
        <f t="shared" si="23"/>
        <v>4.5351473922977448E-2</v>
      </c>
      <c r="AK20" s="7">
        <f t="shared" si="24"/>
        <v>2.0567561869865034E-3</v>
      </c>
      <c r="AQ20" s="7">
        <v>19</v>
      </c>
      <c r="AR20" s="52">
        <f>'הזנת נתונים'!A19</f>
        <v>219.666666666667</v>
      </c>
      <c r="AS20" s="7">
        <f t="shared" si="9"/>
        <v>181.166666666667</v>
      </c>
      <c r="AT20" s="7">
        <f t="shared" si="9"/>
        <v>142.68229166666694</v>
      </c>
      <c r="AU20" s="7">
        <f t="shared" si="25"/>
        <v>219.65104166666706</v>
      </c>
      <c r="AV20" s="7">
        <f t="shared" si="26"/>
        <v>10.995535714285731</v>
      </c>
      <c r="AW20" s="7">
        <f t="shared" si="27"/>
        <v>219.58630952380997</v>
      </c>
      <c r="AX20" s="7">
        <f t="shared" si="28"/>
        <v>-8.035714285702511E-2</v>
      </c>
      <c r="AY20" s="7">
        <f t="shared" si="29"/>
        <v>6.4572704081443414E-3</v>
      </c>
      <c r="BE20" s="7">
        <v>19</v>
      </c>
      <c r="BF20" s="52">
        <f>'הזנת נתונים'!A19</f>
        <v>219.666666666667</v>
      </c>
      <c r="BG20" s="7">
        <f t="shared" si="11"/>
        <v>175.666666666667</v>
      </c>
      <c r="BH20" s="7">
        <f t="shared" si="11"/>
        <v>131.70781893004138</v>
      </c>
      <c r="BI20" s="7">
        <f t="shared" si="30"/>
        <v>219.62551440329261</v>
      </c>
      <c r="BJ20" s="7">
        <f t="shared" si="31"/>
        <v>10.989711934156404</v>
      </c>
      <c r="BK20" s="7">
        <f t="shared" ref="BK20:BK61" si="32">BI19+BJ19</f>
        <v>219.58950617284</v>
      </c>
      <c r="BL20" s="7">
        <f t="shared" ref="BL20:BL61" si="33">BK20-BF20</f>
        <v>-7.7160493826994525E-2</v>
      </c>
      <c r="BM20" s="7">
        <f t="shared" ref="BM20:BM61" si="34">BL20^2</f>
        <v>5.9537418076256602E-3</v>
      </c>
    </row>
    <row r="21" spans="1:65" x14ac:dyDescent="0.25">
      <c r="A21" s="7">
        <v>20</v>
      </c>
      <c r="B21" s="52">
        <f>'הזנת נתונים'!A20</f>
        <v>230.666666666667</v>
      </c>
      <c r="C21" s="7">
        <f t="shared" si="5"/>
        <v>208.66666666666703</v>
      </c>
      <c r="D21" s="7">
        <f t="shared" si="5"/>
        <v>186.66666666666703</v>
      </c>
      <c r="E21" s="7">
        <f t="shared" si="10"/>
        <v>230.66666666666703</v>
      </c>
      <c r="F21" s="7">
        <f t="shared" si="8"/>
        <v>11</v>
      </c>
      <c r="G21" s="7">
        <f t="shared" si="12"/>
        <v>230.666666666667</v>
      </c>
      <c r="H21" s="7">
        <f t="shared" si="13"/>
        <v>0</v>
      </c>
      <c r="I21" s="7">
        <f t="shared" si="14"/>
        <v>0</v>
      </c>
      <c r="O21" s="7">
        <v>20</v>
      </c>
      <c r="P21" s="52">
        <f>'הזנת נתונים'!A20</f>
        <v>230.666666666667</v>
      </c>
      <c r="Q21" s="7">
        <f t="shared" si="6"/>
        <v>203.166666666667</v>
      </c>
      <c r="R21" s="7">
        <f t="shared" si="6"/>
        <v>175.666666666667</v>
      </c>
      <c r="S21" s="7">
        <f t="shared" si="15"/>
        <v>230.666666666667</v>
      </c>
      <c r="T21" s="7">
        <f t="shared" si="16"/>
        <v>11</v>
      </c>
      <c r="U21" s="7">
        <f t="shared" si="17"/>
        <v>230.666666666667</v>
      </c>
      <c r="V21" s="7">
        <f t="shared" si="18"/>
        <v>0</v>
      </c>
      <c r="W21" s="7">
        <f t="shared" si="19"/>
        <v>0</v>
      </c>
      <c r="AC21" s="7">
        <v>20</v>
      </c>
      <c r="AD21" s="52">
        <f>'הזנת נתונים'!A20</f>
        <v>230.666666666667</v>
      </c>
      <c r="AE21" s="7">
        <f t="shared" si="7"/>
        <v>197.666666666667</v>
      </c>
      <c r="AF21" s="7">
        <f t="shared" si="7"/>
        <v>164.66666666666697</v>
      </c>
      <c r="AG21" s="7">
        <f t="shared" si="20"/>
        <v>230.66666666666703</v>
      </c>
      <c r="AH21" s="7">
        <f t="shared" si="21"/>
        <v>11.000000000000009</v>
      </c>
      <c r="AI21" s="7">
        <f t="shared" si="22"/>
        <v>230.66666666666703</v>
      </c>
      <c r="AJ21" s="7">
        <f t="shared" si="23"/>
        <v>0</v>
      </c>
      <c r="AK21" s="7">
        <f t="shared" si="24"/>
        <v>0</v>
      </c>
      <c r="AQ21" s="7">
        <v>20</v>
      </c>
      <c r="AR21" s="52">
        <f>'הזנת נתונים'!A20</f>
        <v>230.666666666667</v>
      </c>
      <c r="AS21" s="7">
        <f t="shared" si="9"/>
        <v>192.166666666667</v>
      </c>
      <c r="AT21" s="7">
        <f t="shared" si="9"/>
        <v>153.64062500000028</v>
      </c>
      <c r="AU21" s="7">
        <f t="shared" si="25"/>
        <v>230.69270833333371</v>
      </c>
      <c r="AV21" s="7">
        <f t="shared" si="26"/>
        <v>11.00744047619049</v>
      </c>
      <c r="AW21" s="7">
        <f t="shared" si="27"/>
        <v>230.64657738095278</v>
      </c>
      <c r="AX21" s="7">
        <f t="shared" si="28"/>
        <v>-2.008928571422075E-2</v>
      </c>
      <c r="AY21" s="7">
        <f t="shared" si="29"/>
        <v>4.0357940050759393E-4</v>
      </c>
      <c r="BE21" s="7">
        <v>20</v>
      </c>
      <c r="BF21" s="52">
        <f>'הזנת נתונים'!A20</f>
        <v>230.666666666667</v>
      </c>
      <c r="BG21" s="7">
        <f t="shared" si="11"/>
        <v>186.666666666667</v>
      </c>
      <c r="BH21" s="7">
        <f t="shared" si="11"/>
        <v>142.71604938271631</v>
      </c>
      <c r="BI21" s="7">
        <f t="shared" si="30"/>
        <v>230.61728395061769</v>
      </c>
      <c r="BJ21" s="7">
        <f t="shared" si="31"/>
        <v>10.987654320987673</v>
      </c>
      <c r="BK21" s="7">
        <f t="shared" si="32"/>
        <v>230.61522633744903</v>
      </c>
      <c r="BL21" s="7">
        <f t="shared" si="33"/>
        <v>-5.1440329217967928E-2</v>
      </c>
      <c r="BM21" s="7">
        <f t="shared" si="34"/>
        <v>2.6461074700529249E-3</v>
      </c>
    </row>
    <row r="22" spans="1:65" x14ac:dyDescent="0.25">
      <c r="A22" s="7">
        <v>21</v>
      </c>
      <c r="B22" s="52">
        <f>'הזנת נתונים'!A21</f>
        <v>241.666666666667</v>
      </c>
      <c r="C22" s="7">
        <f t="shared" si="5"/>
        <v>219.66666666666703</v>
      </c>
      <c r="D22" s="7">
        <f t="shared" si="5"/>
        <v>197.66666666666703</v>
      </c>
      <c r="E22" s="7">
        <f t="shared" si="10"/>
        <v>241.66666666666703</v>
      </c>
      <c r="F22" s="7">
        <f t="shared" si="8"/>
        <v>11</v>
      </c>
      <c r="G22" s="7">
        <f t="shared" si="12"/>
        <v>241.66666666666703</v>
      </c>
      <c r="H22" s="7">
        <f t="shared" si="13"/>
        <v>0</v>
      </c>
      <c r="I22" s="7">
        <f t="shared" si="14"/>
        <v>0</v>
      </c>
      <c r="O22" s="7">
        <v>21</v>
      </c>
      <c r="P22" s="52">
        <f>'הזנת נתונים'!A21</f>
        <v>241.666666666667</v>
      </c>
      <c r="Q22" s="7">
        <f t="shared" si="6"/>
        <v>214.166666666667</v>
      </c>
      <c r="R22" s="7">
        <f t="shared" si="6"/>
        <v>186.666666666667</v>
      </c>
      <c r="S22" s="7">
        <f t="shared" si="15"/>
        <v>241.666666666667</v>
      </c>
      <c r="T22" s="7">
        <f t="shared" si="16"/>
        <v>11</v>
      </c>
      <c r="U22" s="7">
        <f t="shared" si="17"/>
        <v>241.666666666667</v>
      </c>
      <c r="V22" s="7">
        <f t="shared" si="18"/>
        <v>0</v>
      </c>
      <c r="W22" s="7">
        <f t="shared" si="19"/>
        <v>0</v>
      </c>
      <c r="AC22" s="7">
        <v>21</v>
      </c>
      <c r="AD22" s="52">
        <f>'הזנת נתונים'!A21</f>
        <v>241.666666666667</v>
      </c>
      <c r="AE22" s="7">
        <f t="shared" si="7"/>
        <v>208.666666666667</v>
      </c>
      <c r="AF22" s="7">
        <f t="shared" si="7"/>
        <v>175.666666666667</v>
      </c>
      <c r="AG22" s="7">
        <f t="shared" si="20"/>
        <v>241.666666666667</v>
      </c>
      <c r="AH22" s="7">
        <f t="shared" si="21"/>
        <v>11</v>
      </c>
      <c r="AI22" s="7">
        <f t="shared" si="22"/>
        <v>241.66666666666703</v>
      </c>
      <c r="AJ22" s="7">
        <f t="shared" si="23"/>
        <v>0</v>
      </c>
      <c r="AK22" s="7">
        <f t="shared" si="24"/>
        <v>0</v>
      </c>
      <c r="AQ22" s="7">
        <v>21</v>
      </c>
      <c r="AR22" s="52">
        <f>'הזנת נתונים'!A21</f>
        <v>241.666666666667</v>
      </c>
      <c r="AS22" s="7">
        <f t="shared" si="9"/>
        <v>203.166666666667</v>
      </c>
      <c r="AT22" s="7">
        <f t="shared" si="9"/>
        <v>164.66666666666697</v>
      </c>
      <c r="AU22" s="7">
        <f t="shared" si="25"/>
        <v>241.66666666666703</v>
      </c>
      <c r="AV22" s="7">
        <f t="shared" si="26"/>
        <v>11.000000000000009</v>
      </c>
      <c r="AW22" s="7">
        <f t="shared" si="27"/>
        <v>241.70014880952419</v>
      </c>
      <c r="AX22" s="7">
        <f t="shared" si="28"/>
        <v>3.348214285719564E-2</v>
      </c>
      <c r="AY22" s="7">
        <f t="shared" si="29"/>
        <v>1.1210538903096571E-3</v>
      </c>
      <c r="BE22" s="7">
        <v>21</v>
      </c>
      <c r="BF22" s="52">
        <f>'הזנת נתונים'!A21</f>
        <v>241.666666666667</v>
      </c>
      <c r="BG22" s="7">
        <f t="shared" si="11"/>
        <v>197.666666666667</v>
      </c>
      <c r="BH22" s="7">
        <f t="shared" si="11"/>
        <v>153.6790123456793</v>
      </c>
      <c r="BI22" s="7">
        <f t="shared" si="30"/>
        <v>241.6543209876547</v>
      </c>
      <c r="BJ22" s="7">
        <f t="shared" si="31"/>
        <v>10.996913580246925</v>
      </c>
      <c r="BK22" s="7">
        <f t="shared" si="32"/>
        <v>241.60493827160536</v>
      </c>
      <c r="BL22" s="7">
        <f t="shared" si="33"/>
        <v>-6.172839506163541E-2</v>
      </c>
      <c r="BM22" s="7">
        <f t="shared" si="34"/>
        <v>3.8103947568853347E-3</v>
      </c>
    </row>
    <row r="23" spans="1:65" x14ac:dyDescent="0.25">
      <c r="A23" s="7">
        <v>22</v>
      </c>
      <c r="B23" s="52">
        <f>'הזנת נתונים'!A22</f>
        <v>252.666666666667</v>
      </c>
      <c r="C23" s="7">
        <f t="shared" si="5"/>
        <v>230.66666666666703</v>
      </c>
      <c r="D23" s="7">
        <f t="shared" si="5"/>
        <v>208.66666666666703</v>
      </c>
      <c r="E23" s="7">
        <f t="shared" si="10"/>
        <v>252.66666666666703</v>
      </c>
      <c r="F23" s="7">
        <f t="shared" si="8"/>
        <v>11</v>
      </c>
      <c r="G23" s="7">
        <f t="shared" si="12"/>
        <v>252.66666666666703</v>
      </c>
      <c r="H23" s="7">
        <f t="shared" si="13"/>
        <v>0</v>
      </c>
      <c r="I23" s="7">
        <f t="shared" si="14"/>
        <v>0</v>
      </c>
      <c r="O23" s="7">
        <v>22</v>
      </c>
      <c r="P23" s="52">
        <f>'הזנת נתונים'!A22</f>
        <v>252.666666666667</v>
      </c>
      <c r="Q23" s="7">
        <f t="shared" si="6"/>
        <v>225.166666666667</v>
      </c>
      <c r="R23" s="7">
        <f t="shared" si="6"/>
        <v>197.666666666667</v>
      </c>
      <c r="S23" s="7">
        <f t="shared" si="15"/>
        <v>252.666666666667</v>
      </c>
      <c r="T23" s="7">
        <f t="shared" si="16"/>
        <v>11</v>
      </c>
      <c r="U23" s="7">
        <f t="shared" si="17"/>
        <v>252.666666666667</v>
      </c>
      <c r="V23" s="7">
        <f t="shared" si="18"/>
        <v>0</v>
      </c>
      <c r="W23" s="7">
        <f t="shared" si="19"/>
        <v>0</v>
      </c>
      <c r="AC23" s="7">
        <v>22</v>
      </c>
      <c r="AD23" s="52">
        <f>'הזנת נתונים'!A22</f>
        <v>252.666666666667</v>
      </c>
      <c r="AE23" s="7">
        <f t="shared" si="7"/>
        <v>219.666666666667</v>
      </c>
      <c r="AF23" s="7">
        <f t="shared" si="7"/>
        <v>186.666666666667</v>
      </c>
      <c r="AG23" s="7">
        <f t="shared" si="20"/>
        <v>252.666666666667</v>
      </c>
      <c r="AH23" s="7">
        <f t="shared" si="21"/>
        <v>11</v>
      </c>
      <c r="AI23" s="7">
        <f t="shared" si="22"/>
        <v>252.666666666667</v>
      </c>
      <c r="AJ23" s="7">
        <f t="shared" si="23"/>
        <v>0</v>
      </c>
      <c r="AK23" s="7">
        <f t="shared" si="24"/>
        <v>0</v>
      </c>
      <c r="AQ23" s="7">
        <v>22</v>
      </c>
      <c r="AR23" s="52">
        <f>'הזנת נתונים'!A22</f>
        <v>252.666666666667</v>
      </c>
      <c r="AS23" s="7">
        <f t="shared" si="9"/>
        <v>214.166666666667</v>
      </c>
      <c r="AT23" s="7">
        <f t="shared" si="9"/>
        <v>175.66666666666697</v>
      </c>
      <c r="AU23" s="7">
        <f t="shared" si="25"/>
        <v>252.66666666666703</v>
      </c>
      <c r="AV23" s="7">
        <f t="shared" si="26"/>
        <v>11.000000000000009</v>
      </c>
      <c r="AW23" s="7">
        <f t="shared" si="27"/>
        <v>252.66666666666703</v>
      </c>
      <c r="AX23" s="7">
        <f t="shared" si="28"/>
        <v>0</v>
      </c>
      <c r="AY23" s="7">
        <f t="shared" si="29"/>
        <v>0</v>
      </c>
      <c r="BE23" s="7">
        <v>22</v>
      </c>
      <c r="BF23" s="52">
        <f>'הזנת נתונים'!A22</f>
        <v>252.666666666667</v>
      </c>
      <c r="BG23" s="7">
        <f t="shared" si="11"/>
        <v>208.666666666667</v>
      </c>
      <c r="BH23" s="7">
        <f t="shared" si="11"/>
        <v>164.64609053497972</v>
      </c>
      <c r="BI23" s="7">
        <f t="shared" si="30"/>
        <v>252.68724279835428</v>
      </c>
      <c r="BJ23" s="7">
        <f t="shared" si="31"/>
        <v>11.00514403292182</v>
      </c>
      <c r="BK23" s="7">
        <f t="shared" si="32"/>
        <v>252.65123456790161</v>
      </c>
      <c r="BL23" s="7">
        <f t="shared" si="33"/>
        <v>-1.5432098765387536E-2</v>
      </c>
      <c r="BM23" s="7">
        <f t="shared" si="34"/>
        <v>2.3814967230467553E-4</v>
      </c>
    </row>
    <row r="24" spans="1:65" x14ac:dyDescent="0.25">
      <c r="A24" s="7">
        <v>23</v>
      </c>
      <c r="B24" s="52">
        <f>'הזנת נתונים'!A23</f>
        <v>263.66666666666703</v>
      </c>
      <c r="C24" s="7">
        <f t="shared" si="5"/>
        <v>241.66666666666703</v>
      </c>
      <c r="D24" s="7">
        <f t="shared" si="5"/>
        <v>219.66666666666703</v>
      </c>
      <c r="E24" s="7">
        <f t="shared" si="10"/>
        <v>263.66666666666703</v>
      </c>
      <c r="F24" s="7">
        <f t="shared" si="8"/>
        <v>11</v>
      </c>
      <c r="G24" s="7">
        <f t="shared" si="12"/>
        <v>263.66666666666703</v>
      </c>
      <c r="H24" s="7">
        <f t="shared" si="13"/>
        <v>0</v>
      </c>
      <c r="I24" s="7">
        <f t="shared" si="14"/>
        <v>0</v>
      </c>
      <c r="O24" s="7">
        <v>23</v>
      </c>
      <c r="P24" s="52">
        <f>'הזנת נתונים'!A23</f>
        <v>263.66666666666703</v>
      </c>
      <c r="Q24" s="7">
        <f t="shared" si="6"/>
        <v>236.166666666667</v>
      </c>
      <c r="R24" s="7">
        <f t="shared" si="6"/>
        <v>208.666666666667</v>
      </c>
      <c r="S24" s="7">
        <f t="shared" si="15"/>
        <v>263.66666666666697</v>
      </c>
      <c r="T24" s="7">
        <f t="shared" si="16"/>
        <v>11</v>
      </c>
      <c r="U24" s="7">
        <f t="shared" si="17"/>
        <v>263.66666666666697</v>
      </c>
      <c r="V24" s="7">
        <f t="shared" si="18"/>
        <v>0</v>
      </c>
      <c r="W24" s="7">
        <f t="shared" si="19"/>
        <v>0</v>
      </c>
      <c r="AC24" s="7">
        <v>23</v>
      </c>
      <c r="AD24" s="52">
        <f>'הזנת נתונים'!A23</f>
        <v>263.66666666666703</v>
      </c>
      <c r="AE24" s="7">
        <f t="shared" si="7"/>
        <v>230.666666666667</v>
      </c>
      <c r="AF24" s="7">
        <f t="shared" si="7"/>
        <v>197.666666666667</v>
      </c>
      <c r="AG24" s="7">
        <f t="shared" si="20"/>
        <v>263.66666666666697</v>
      </c>
      <c r="AH24" s="7">
        <f t="shared" si="21"/>
        <v>11</v>
      </c>
      <c r="AI24" s="7">
        <f t="shared" si="22"/>
        <v>263.66666666666697</v>
      </c>
      <c r="AJ24" s="7">
        <f t="shared" si="23"/>
        <v>0</v>
      </c>
      <c r="AK24" s="7">
        <f t="shared" si="24"/>
        <v>0</v>
      </c>
      <c r="AQ24" s="7">
        <v>23</v>
      </c>
      <c r="AR24" s="52">
        <f>'הזנת נתונים'!A23</f>
        <v>263.66666666666703</v>
      </c>
      <c r="AS24" s="7">
        <f t="shared" si="9"/>
        <v>225.166666666667</v>
      </c>
      <c r="AT24" s="7">
        <f t="shared" si="9"/>
        <v>186.666666666667</v>
      </c>
      <c r="AU24" s="7">
        <f t="shared" si="25"/>
        <v>263.66666666666697</v>
      </c>
      <c r="AV24" s="7">
        <f t="shared" si="26"/>
        <v>11</v>
      </c>
      <c r="AW24" s="7">
        <f t="shared" si="27"/>
        <v>263.66666666666703</v>
      </c>
      <c r="AX24" s="7">
        <f t="shared" si="28"/>
        <v>0</v>
      </c>
      <c r="AY24" s="7">
        <f t="shared" si="29"/>
        <v>0</v>
      </c>
      <c r="BE24" s="7">
        <v>23</v>
      </c>
      <c r="BF24" s="52">
        <f>'הזנת נתונים'!A23</f>
        <v>263.66666666666703</v>
      </c>
      <c r="BG24" s="7">
        <f t="shared" si="11"/>
        <v>219.666666666667</v>
      </c>
      <c r="BH24" s="7">
        <f t="shared" si="11"/>
        <v>175.66666666666697</v>
      </c>
      <c r="BI24" s="7">
        <f t="shared" si="30"/>
        <v>263.66666666666703</v>
      </c>
      <c r="BJ24" s="7">
        <f t="shared" si="31"/>
        <v>11.000000000000007</v>
      </c>
      <c r="BK24" s="7">
        <f t="shared" si="32"/>
        <v>263.69238683127611</v>
      </c>
      <c r="BL24" s="7">
        <f t="shared" si="33"/>
        <v>2.572016460908344E-2</v>
      </c>
      <c r="BM24" s="7">
        <f t="shared" si="34"/>
        <v>6.6152686751834834E-4</v>
      </c>
    </row>
    <row r="25" spans="1:65" x14ac:dyDescent="0.25">
      <c r="A25" s="7">
        <v>24</v>
      </c>
      <c r="B25" s="52">
        <f>'הזנת נתונים'!A24</f>
        <v>274.66666666666703</v>
      </c>
      <c r="C25" s="7">
        <f t="shared" si="5"/>
        <v>252.66666666666703</v>
      </c>
      <c r="D25" s="7">
        <f t="shared" si="5"/>
        <v>230.66666666666703</v>
      </c>
      <c r="E25" s="7">
        <f t="shared" si="10"/>
        <v>274.66666666666703</v>
      </c>
      <c r="F25" s="7">
        <f t="shared" si="8"/>
        <v>11</v>
      </c>
      <c r="G25" s="7">
        <f t="shared" si="12"/>
        <v>274.66666666666703</v>
      </c>
      <c r="H25" s="7">
        <f t="shared" si="13"/>
        <v>0</v>
      </c>
      <c r="I25" s="7">
        <f t="shared" si="14"/>
        <v>0</v>
      </c>
      <c r="O25" s="7">
        <v>24</v>
      </c>
      <c r="P25" s="52">
        <f>'הזנת נתונים'!A24</f>
        <v>274.66666666666703</v>
      </c>
      <c r="Q25" s="7">
        <f t="shared" si="6"/>
        <v>247.166666666667</v>
      </c>
      <c r="R25" s="7">
        <f t="shared" si="6"/>
        <v>219.666666666667</v>
      </c>
      <c r="S25" s="7">
        <f t="shared" si="15"/>
        <v>274.66666666666697</v>
      </c>
      <c r="T25" s="7">
        <f t="shared" si="16"/>
        <v>11</v>
      </c>
      <c r="U25" s="7">
        <f t="shared" si="17"/>
        <v>274.66666666666697</v>
      </c>
      <c r="V25" s="7">
        <f t="shared" si="18"/>
        <v>0</v>
      </c>
      <c r="W25" s="7">
        <f t="shared" si="19"/>
        <v>0</v>
      </c>
      <c r="AC25" s="7">
        <v>24</v>
      </c>
      <c r="AD25" s="52">
        <f>'הזנת נתונים'!A24</f>
        <v>274.66666666666703</v>
      </c>
      <c r="AE25" s="7">
        <f t="shared" si="7"/>
        <v>241.666666666667</v>
      </c>
      <c r="AF25" s="7">
        <f t="shared" si="7"/>
        <v>208.666666666667</v>
      </c>
      <c r="AG25" s="7">
        <f t="shared" si="20"/>
        <v>274.66666666666697</v>
      </c>
      <c r="AH25" s="7">
        <f t="shared" si="21"/>
        <v>11</v>
      </c>
      <c r="AI25" s="7">
        <f t="shared" si="22"/>
        <v>274.66666666666697</v>
      </c>
      <c r="AJ25" s="7">
        <f t="shared" si="23"/>
        <v>0</v>
      </c>
      <c r="AK25" s="7">
        <f t="shared" si="24"/>
        <v>0</v>
      </c>
      <c r="AQ25" s="7">
        <v>24</v>
      </c>
      <c r="AR25" s="52">
        <f>'הזנת נתונים'!A24</f>
        <v>274.66666666666703</v>
      </c>
      <c r="AS25" s="7">
        <f t="shared" si="9"/>
        <v>236.166666666667</v>
      </c>
      <c r="AT25" s="7">
        <f t="shared" si="9"/>
        <v>197.666666666667</v>
      </c>
      <c r="AU25" s="7">
        <f t="shared" si="25"/>
        <v>274.66666666666697</v>
      </c>
      <c r="AV25" s="7">
        <f t="shared" si="26"/>
        <v>11</v>
      </c>
      <c r="AW25" s="7">
        <f t="shared" si="27"/>
        <v>274.66666666666697</v>
      </c>
      <c r="AX25" s="7">
        <f t="shared" si="28"/>
        <v>0</v>
      </c>
      <c r="AY25" s="7">
        <f t="shared" si="29"/>
        <v>0</v>
      </c>
      <c r="BE25" s="7">
        <v>24</v>
      </c>
      <c r="BF25" s="52">
        <f>'הזנת נתונים'!A24</f>
        <v>274.66666666666703</v>
      </c>
      <c r="BG25" s="7">
        <f t="shared" si="11"/>
        <v>230.66666666666703</v>
      </c>
      <c r="BH25" s="7">
        <f t="shared" si="11"/>
        <v>186.66666666666697</v>
      </c>
      <c r="BI25" s="7">
        <f t="shared" si="30"/>
        <v>274.66666666666708</v>
      </c>
      <c r="BJ25" s="7">
        <f t="shared" si="31"/>
        <v>11.000000000000014</v>
      </c>
      <c r="BK25" s="7">
        <f t="shared" si="32"/>
        <v>274.66666666666703</v>
      </c>
      <c r="BL25" s="7">
        <f t="shared" si="33"/>
        <v>0</v>
      </c>
      <c r="BM25" s="7">
        <f t="shared" si="34"/>
        <v>0</v>
      </c>
    </row>
    <row r="26" spans="1:65" x14ac:dyDescent="0.25">
      <c r="A26" s="7">
        <v>25</v>
      </c>
      <c r="B26" s="52">
        <f>'הזנת נתונים'!A25</f>
        <v>285.66666666666799</v>
      </c>
      <c r="C26" s="7">
        <f t="shared" si="5"/>
        <v>263.66666666666725</v>
      </c>
      <c r="D26" s="7">
        <f t="shared" si="5"/>
        <v>241.66666666666706</v>
      </c>
      <c r="E26" s="7">
        <f t="shared" si="10"/>
        <v>285.66666666666742</v>
      </c>
      <c r="F26" s="7">
        <f t="shared" si="8"/>
        <v>11.000000000000099</v>
      </c>
      <c r="G26" s="7">
        <f t="shared" si="12"/>
        <v>285.66666666666703</v>
      </c>
      <c r="H26" s="7">
        <f t="shared" si="13"/>
        <v>-9.6633812063373625E-13</v>
      </c>
      <c r="I26" s="7">
        <f t="shared" si="14"/>
        <v>9.338093633899414E-25</v>
      </c>
      <c r="O26" s="7">
        <v>25</v>
      </c>
      <c r="P26" s="52">
        <f>'הזנת נתונים'!A25</f>
        <v>285.66666666666799</v>
      </c>
      <c r="Q26" s="7">
        <f t="shared" si="6"/>
        <v>258.1666666666672</v>
      </c>
      <c r="R26" s="7">
        <f t="shared" si="6"/>
        <v>230.66666666666706</v>
      </c>
      <c r="S26" s="7">
        <f t="shared" si="15"/>
        <v>285.66666666666731</v>
      </c>
      <c r="T26" s="7">
        <f t="shared" si="16"/>
        <v>11.000000000000057</v>
      </c>
      <c r="U26" s="7">
        <f t="shared" si="17"/>
        <v>285.66666666666697</v>
      </c>
      <c r="V26" s="7">
        <f t="shared" si="18"/>
        <v>-1.0231815394945443E-12</v>
      </c>
      <c r="W26" s="7">
        <f t="shared" si="19"/>
        <v>1.0469004627624257E-24</v>
      </c>
      <c r="AC26" s="7">
        <v>25</v>
      </c>
      <c r="AD26" s="52">
        <f>'הזנת נתונים'!A25</f>
        <v>285.66666666666799</v>
      </c>
      <c r="AE26" s="7">
        <f t="shared" si="7"/>
        <v>252.66666666666717</v>
      </c>
      <c r="AF26" s="7">
        <f t="shared" si="7"/>
        <v>219.66666666666703</v>
      </c>
      <c r="AG26" s="7">
        <f t="shared" si="20"/>
        <v>285.66666666666731</v>
      </c>
      <c r="AH26" s="7">
        <f t="shared" si="21"/>
        <v>11.000000000000048</v>
      </c>
      <c r="AI26" s="7">
        <f t="shared" si="22"/>
        <v>285.66666666666697</v>
      </c>
      <c r="AJ26" s="7">
        <f t="shared" si="23"/>
        <v>-1.0231815394945443E-12</v>
      </c>
      <c r="AK26" s="7">
        <f t="shared" si="24"/>
        <v>1.0469004627624257E-24</v>
      </c>
      <c r="AQ26" s="7">
        <v>25</v>
      </c>
      <c r="AR26" s="52">
        <f>'הזנת נתונים'!A25</f>
        <v>285.66666666666799</v>
      </c>
      <c r="AS26" s="7">
        <f t="shared" si="9"/>
        <v>247.16666666666714</v>
      </c>
      <c r="AT26" s="7">
        <f t="shared" si="9"/>
        <v>208.66666666666703</v>
      </c>
      <c r="AU26" s="7">
        <f t="shared" si="25"/>
        <v>285.66666666666725</v>
      </c>
      <c r="AV26" s="7">
        <f t="shared" si="26"/>
        <v>11.000000000000032</v>
      </c>
      <c r="AW26" s="7">
        <f t="shared" si="27"/>
        <v>285.66666666666697</v>
      </c>
      <c r="AX26" s="7">
        <f t="shared" si="28"/>
        <v>-1.0231815394945443E-12</v>
      </c>
      <c r="AY26" s="7">
        <f t="shared" si="29"/>
        <v>1.0469004627624257E-24</v>
      </c>
      <c r="BE26" s="7">
        <v>25</v>
      </c>
      <c r="BF26" s="52">
        <f>'הזנת נתונים'!A25</f>
        <v>285.66666666666799</v>
      </c>
      <c r="BG26" s="7">
        <f t="shared" si="11"/>
        <v>241.66666666666711</v>
      </c>
      <c r="BH26" s="7">
        <f t="shared" si="11"/>
        <v>197.66666666666703</v>
      </c>
      <c r="BI26" s="7">
        <f t="shared" si="30"/>
        <v>285.6666666666672</v>
      </c>
      <c r="BJ26" s="7">
        <f t="shared" si="31"/>
        <v>11.000000000000021</v>
      </c>
      <c r="BK26" s="7">
        <f t="shared" si="32"/>
        <v>285.66666666666708</v>
      </c>
      <c r="BL26" s="7">
        <f t="shared" si="33"/>
        <v>-9.0949470177292824E-13</v>
      </c>
      <c r="BM26" s="7">
        <f t="shared" si="34"/>
        <v>8.2718061255302767E-25</v>
      </c>
    </row>
    <row r="27" spans="1:65" x14ac:dyDescent="0.25">
      <c r="A27" s="7">
        <v>26</v>
      </c>
      <c r="B27" s="52">
        <f>'הזנת נתונים'!A26</f>
        <v>296.66666666666799</v>
      </c>
      <c r="C27" s="7">
        <f t="shared" si="5"/>
        <v>274.66666666666742</v>
      </c>
      <c r="D27" s="7">
        <f t="shared" si="5"/>
        <v>252.66666666666714</v>
      </c>
      <c r="E27" s="7">
        <f t="shared" si="10"/>
        <v>296.66666666666771</v>
      </c>
      <c r="F27" s="7">
        <f t="shared" si="8"/>
        <v>11.000000000000142</v>
      </c>
      <c r="G27" s="7">
        <f t="shared" si="12"/>
        <v>296.66666666666754</v>
      </c>
      <c r="H27" s="7">
        <f t="shared" si="13"/>
        <v>-4.5474735088646412E-13</v>
      </c>
      <c r="I27" s="7">
        <f t="shared" si="14"/>
        <v>2.0679515313825692E-25</v>
      </c>
      <c r="O27" s="7">
        <v>26</v>
      </c>
      <c r="P27" s="52">
        <f>'הזנת נתונים'!A26</f>
        <v>296.66666666666799</v>
      </c>
      <c r="Q27" s="7">
        <f t="shared" si="6"/>
        <v>269.16666666666737</v>
      </c>
      <c r="R27" s="7">
        <f t="shared" si="6"/>
        <v>241.66666666666711</v>
      </c>
      <c r="S27" s="7">
        <f t="shared" si="15"/>
        <v>296.66666666666765</v>
      </c>
      <c r="T27" s="7">
        <f t="shared" si="16"/>
        <v>11.000000000000103</v>
      </c>
      <c r="U27" s="7">
        <f t="shared" si="17"/>
        <v>296.66666666666737</v>
      </c>
      <c r="V27" s="7">
        <f t="shared" si="18"/>
        <v>-6.2527760746888816E-13</v>
      </c>
      <c r="W27" s="7">
        <f t="shared" si="19"/>
        <v>3.9097208640201699E-25</v>
      </c>
      <c r="AC27" s="7">
        <v>26</v>
      </c>
      <c r="AD27" s="52">
        <f>'הזנת נתונים'!A26</f>
        <v>296.66666666666799</v>
      </c>
      <c r="AE27" s="7">
        <f t="shared" si="7"/>
        <v>263.66666666666731</v>
      </c>
      <c r="AF27" s="7">
        <f t="shared" si="7"/>
        <v>230.66666666666711</v>
      </c>
      <c r="AG27" s="7">
        <f t="shared" si="20"/>
        <v>296.66666666666754</v>
      </c>
      <c r="AH27" s="7">
        <f t="shared" si="21"/>
        <v>11.000000000000066</v>
      </c>
      <c r="AI27" s="7">
        <f t="shared" si="22"/>
        <v>296.66666666666737</v>
      </c>
      <c r="AJ27" s="7">
        <f t="shared" si="23"/>
        <v>-6.2527760746888816E-13</v>
      </c>
      <c r="AK27" s="7">
        <f t="shared" si="24"/>
        <v>3.9097208640201699E-25</v>
      </c>
      <c r="AQ27" s="7">
        <v>26</v>
      </c>
      <c r="AR27" s="52">
        <f>'הזנת נתונים'!A26</f>
        <v>296.66666666666799</v>
      </c>
      <c r="AS27" s="7">
        <f t="shared" si="9"/>
        <v>258.16666666666725</v>
      </c>
      <c r="AT27" s="7">
        <f t="shared" si="9"/>
        <v>219.66666666666706</v>
      </c>
      <c r="AU27" s="7">
        <f t="shared" si="25"/>
        <v>296.66666666666742</v>
      </c>
      <c r="AV27" s="7">
        <f t="shared" si="26"/>
        <v>11.000000000000057</v>
      </c>
      <c r="AW27" s="7">
        <f t="shared" si="27"/>
        <v>296.66666666666731</v>
      </c>
      <c r="AX27" s="7">
        <f t="shared" si="28"/>
        <v>-6.8212102632969618E-13</v>
      </c>
      <c r="AY27" s="7">
        <f t="shared" si="29"/>
        <v>4.6528909456107807E-25</v>
      </c>
      <c r="BE27" s="7">
        <v>26</v>
      </c>
      <c r="BF27" s="52">
        <f>'הזנת נתונים'!A26</f>
        <v>296.66666666666799</v>
      </c>
      <c r="BG27" s="7">
        <f t="shared" si="11"/>
        <v>252.66666666666723</v>
      </c>
      <c r="BH27" s="7">
        <f t="shared" si="11"/>
        <v>208.66666666666706</v>
      </c>
      <c r="BI27" s="7">
        <f t="shared" si="30"/>
        <v>296.66666666666742</v>
      </c>
      <c r="BJ27" s="7">
        <f t="shared" si="31"/>
        <v>11.000000000000043</v>
      </c>
      <c r="BK27" s="7">
        <f t="shared" si="32"/>
        <v>296.6666666666672</v>
      </c>
      <c r="BL27" s="7">
        <f t="shared" si="33"/>
        <v>-7.9580786405131221E-13</v>
      </c>
      <c r="BM27" s="7">
        <f t="shared" si="34"/>
        <v>6.3331015648591181E-25</v>
      </c>
    </row>
    <row r="28" spans="1:65" x14ac:dyDescent="0.25">
      <c r="A28" s="7">
        <v>27</v>
      </c>
      <c r="B28" s="52">
        <f>'הזנת נתונים'!A27</f>
        <v>307.66666666666799</v>
      </c>
      <c r="C28" s="7">
        <f t="shared" si="5"/>
        <v>285.6666666666676</v>
      </c>
      <c r="D28" s="7">
        <f t="shared" si="5"/>
        <v>263.66666666666731</v>
      </c>
      <c r="E28" s="7">
        <f t="shared" si="10"/>
        <v>307.66666666666788</v>
      </c>
      <c r="F28" s="7">
        <f t="shared" si="8"/>
        <v>11.000000000000142</v>
      </c>
      <c r="G28" s="7">
        <f t="shared" si="12"/>
        <v>307.66666666666788</v>
      </c>
      <c r="H28" s="7">
        <f t="shared" si="13"/>
        <v>0</v>
      </c>
      <c r="I28" s="7">
        <f t="shared" si="14"/>
        <v>0</v>
      </c>
      <c r="O28" s="7">
        <v>27</v>
      </c>
      <c r="P28" s="52">
        <f>'הזנת נתונים'!A27</f>
        <v>307.66666666666799</v>
      </c>
      <c r="Q28" s="7">
        <f t="shared" si="6"/>
        <v>280.16666666666748</v>
      </c>
      <c r="R28" s="7">
        <f t="shared" si="6"/>
        <v>252.66666666666717</v>
      </c>
      <c r="S28" s="7">
        <f t="shared" si="15"/>
        <v>307.66666666666777</v>
      </c>
      <c r="T28" s="7">
        <f t="shared" si="16"/>
        <v>11.000000000000124</v>
      </c>
      <c r="U28" s="7">
        <f t="shared" si="17"/>
        <v>307.66666666666777</v>
      </c>
      <c r="V28" s="7">
        <f t="shared" si="18"/>
        <v>0</v>
      </c>
      <c r="W28" s="7">
        <f t="shared" si="19"/>
        <v>0</v>
      </c>
      <c r="AC28" s="7">
        <v>27</v>
      </c>
      <c r="AD28" s="52">
        <f>'הזנת נתונים'!A27</f>
        <v>307.66666666666799</v>
      </c>
      <c r="AE28" s="7">
        <f t="shared" si="7"/>
        <v>274.66666666666742</v>
      </c>
      <c r="AF28" s="7">
        <f t="shared" si="7"/>
        <v>241.66666666666711</v>
      </c>
      <c r="AG28" s="7">
        <f t="shared" si="20"/>
        <v>307.66666666666777</v>
      </c>
      <c r="AH28" s="7">
        <f t="shared" si="21"/>
        <v>11.000000000000105</v>
      </c>
      <c r="AI28" s="7">
        <f t="shared" si="22"/>
        <v>307.6666666666676</v>
      </c>
      <c r="AJ28" s="7">
        <f t="shared" si="23"/>
        <v>0</v>
      </c>
      <c r="AK28" s="7">
        <f t="shared" si="24"/>
        <v>0</v>
      </c>
      <c r="AQ28" s="7">
        <v>27</v>
      </c>
      <c r="AR28" s="52">
        <f>'הזנת נתונים'!A27</f>
        <v>307.66666666666799</v>
      </c>
      <c r="AS28" s="7">
        <f t="shared" si="9"/>
        <v>269.16666666666737</v>
      </c>
      <c r="AT28" s="7">
        <f t="shared" si="9"/>
        <v>230.66666666666711</v>
      </c>
      <c r="AU28" s="7">
        <f t="shared" si="25"/>
        <v>307.66666666666765</v>
      </c>
      <c r="AV28" s="7">
        <f t="shared" si="26"/>
        <v>11.000000000000073</v>
      </c>
      <c r="AW28" s="7">
        <f t="shared" si="27"/>
        <v>307.66666666666748</v>
      </c>
      <c r="AX28" s="7">
        <f t="shared" si="28"/>
        <v>-5.1159076974727213E-13</v>
      </c>
      <c r="AY28" s="7">
        <f t="shared" si="29"/>
        <v>2.6172511569060641E-25</v>
      </c>
      <c r="BE28" s="7">
        <v>27</v>
      </c>
      <c r="BF28" s="52">
        <f>'הזנת נתונים'!A27</f>
        <v>307.66666666666799</v>
      </c>
      <c r="BG28" s="7">
        <f t="shared" si="11"/>
        <v>263.66666666666731</v>
      </c>
      <c r="BH28" s="7">
        <f t="shared" si="11"/>
        <v>219.66666666666708</v>
      </c>
      <c r="BI28" s="7">
        <f t="shared" si="30"/>
        <v>307.66666666666754</v>
      </c>
      <c r="BJ28" s="7">
        <f t="shared" si="31"/>
        <v>11.000000000000057</v>
      </c>
      <c r="BK28" s="7">
        <f t="shared" si="32"/>
        <v>307.66666666666748</v>
      </c>
      <c r="BL28" s="7">
        <f t="shared" si="33"/>
        <v>-5.1159076974727213E-13</v>
      </c>
      <c r="BM28" s="7">
        <f t="shared" si="34"/>
        <v>2.6172511569060641E-25</v>
      </c>
    </row>
    <row r="29" spans="1:65" x14ac:dyDescent="0.25">
      <c r="A29" s="7">
        <v>28</v>
      </c>
      <c r="B29" s="52">
        <f>'הזנת נתונים'!A28</f>
        <v>318.66666666666799</v>
      </c>
      <c r="C29" s="7">
        <f t="shared" si="5"/>
        <v>296.66666666666777</v>
      </c>
      <c r="D29" s="7">
        <f t="shared" si="5"/>
        <v>274.66666666666742</v>
      </c>
      <c r="E29" s="7">
        <f t="shared" si="10"/>
        <v>318.66666666666811</v>
      </c>
      <c r="F29" s="7">
        <f t="shared" si="8"/>
        <v>11.000000000000171</v>
      </c>
      <c r="G29" s="7">
        <f t="shared" si="12"/>
        <v>318.66666666666799</v>
      </c>
      <c r="H29" s="7">
        <f t="shared" si="13"/>
        <v>0</v>
      </c>
      <c r="I29" s="7">
        <f t="shared" si="14"/>
        <v>0</v>
      </c>
      <c r="O29" s="7">
        <v>28</v>
      </c>
      <c r="P29" s="52">
        <f>'הזנת נתונים'!A28</f>
        <v>318.66666666666799</v>
      </c>
      <c r="Q29" s="7">
        <f t="shared" si="6"/>
        <v>291.16666666666765</v>
      </c>
      <c r="R29" s="7">
        <f t="shared" si="6"/>
        <v>263.66666666666725</v>
      </c>
      <c r="S29" s="7">
        <f t="shared" si="15"/>
        <v>318.66666666666805</v>
      </c>
      <c r="T29" s="7">
        <f t="shared" si="16"/>
        <v>11.00000000000016</v>
      </c>
      <c r="U29" s="7">
        <f t="shared" si="17"/>
        <v>318.66666666666788</v>
      </c>
      <c r="V29" s="7">
        <f t="shared" si="18"/>
        <v>0</v>
      </c>
      <c r="W29" s="7">
        <f t="shared" si="19"/>
        <v>0</v>
      </c>
      <c r="AC29" s="7">
        <v>28</v>
      </c>
      <c r="AD29" s="52">
        <f>'הזנת נתונים'!A28</f>
        <v>318.66666666666799</v>
      </c>
      <c r="AE29" s="7">
        <f t="shared" si="7"/>
        <v>285.66666666666754</v>
      </c>
      <c r="AF29" s="7">
        <f t="shared" si="7"/>
        <v>252.66666666666723</v>
      </c>
      <c r="AG29" s="7">
        <f t="shared" si="20"/>
        <v>318.66666666666788</v>
      </c>
      <c r="AH29" s="7">
        <f t="shared" si="21"/>
        <v>11.000000000000105</v>
      </c>
      <c r="AI29" s="7">
        <f t="shared" si="22"/>
        <v>318.66666666666788</v>
      </c>
      <c r="AJ29" s="7">
        <f t="shared" si="23"/>
        <v>0</v>
      </c>
      <c r="AK29" s="7">
        <f t="shared" si="24"/>
        <v>0</v>
      </c>
      <c r="AQ29" s="7">
        <v>28</v>
      </c>
      <c r="AR29" s="52">
        <f>'הזנת נתונים'!A28</f>
        <v>318.66666666666799</v>
      </c>
      <c r="AS29" s="7">
        <f t="shared" si="9"/>
        <v>280.16666666666748</v>
      </c>
      <c r="AT29" s="7">
        <f t="shared" si="9"/>
        <v>241.66666666666714</v>
      </c>
      <c r="AU29" s="7">
        <f t="shared" si="25"/>
        <v>318.66666666666782</v>
      </c>
      <c r="AV29" s="7">
        <f t="shared" si="26"/>
        <v>11.000000000000098</v>
      </c>
      <c r="AW29" s="7">
        <f t="shared" si="27"/>
        <v>318.66666666666771</v>
      </c>
      <c r="AX29" s="7">
        <f t="shared" si="28"/>
        <v>0</v>
      </c>
      <c r="AY29" s="7">
        <f t="shared" si="29"/>
        <v>0</v>
      </c>
      <c r="BE29" s="7">
        <v>28</v>
      </c>
      <c r="BF29" s="52">
        <f>'הזנת נתונים'!A28</f>
        <v>318.66666666666799</v>
      </c>
      <c r="BG29" s="7">
        <f t="shared" si="11"/>
        <v>274.66666666666742</v>
      </c>
      <c r="BH29" s="7">
        <f t="shared" si="11"/>
        <v>230.66666666666711</v>
      </c>
      <c r="BI29" s="7">
        <f t="shared" si="30"/>
        <v>318.66666666666777</v>
      </c>
      <c r="BJ29" s="7">
        <f t="shared" si="31"/>
        <v>11.000000000000078</v>
      </c>
      <c r="BK29" s="7">
        <f t="shared" si="32"/>
        <v>318.6666666666676</v>
      </c>
      <c r="BL29" s="7">
        <f t="shared" si="33"/>
        <v>0</v>
      </c>
      <c r="BM29" s="7">
        <f t="shared" si="34"/>
        <v>0</v>
      </c>
    </row>
    <row r="30" spans="1:65" x14ac:dyDescent="0.25">
      <c r="A30" s="7">
        <v>29</v>
      </c>
      <c r="B30" s="52">
        <f>'הזנת נתונים'!A29</f>
        <v>329.66666666666799</v>
      </c>
      <c r="C30" s="7">
        <f t="shared" si="5"/>
        <v>307.66666666666799</v>
      </c>
      <c r="D30" s="7">
        <f t="shared" si="5"/>
        <v>285.6666666666676</v>
      </c>
      <c r="E30" s="7">
        <f t="shared" si="10"/>
        <v>329.66666666666839</v>
      </c>
      <c r="F30" s="7">
        <f t="shared" si="8"/>
        <v>11.000000000000199</v>
      </c>
      <c r="G30" s="7">
        <f t="shared" si="12"/>
        <v>329.66666666666828</v>
      </c>
      <c r="H30" s="7">
        <f t="shared" si="13"/>
        <v>0</v>
      </c>
      <c r="I30" s="7">
        <f t="shared" si="14"/>
        <v>0</v>
      </c>
      <c r="O30" s="7">
        <v>29</v>
      </c>
      <c r="P30" s="52">
        <f>'הזנת נתונים'!A29</f>
        <v>329.66666666666799</v>
      </c>
      <c r="Q30" s="7">
        <f t="shared" si="6"/>
        <v>302.16666666666782</v>
      </c>
      <c r="R30" s="7">
        <f t="shared" si="6"/>
        <v>274.66666666666742</v>
      </c>
      <c r="S30" s="7">
        <f t="shared" si="15"/>
        <v>329.66666666666822</v>
      </c>
      <c r="T30" s="7">
        <f t="shared" si="16"/>
        <v>11.00000000000016</v>
      </c>
      <c r="U30" s="7">
        <f t="shared" si="17"/>
        <v>329.66666666666822</v>
      </c>
      <c r="V30" s="7">
        <f t="shared" si="18"/>
        <v>0</v>
      </c>
      <c r="W30" s="7">
        <f t="shared" si="19"/>
        <v>0</v>
      </c>
      <c r="AC30" s="7">
        <v>29</v>
      </c>
      <c r="AD30" s="52">
        <f>'הזנת נתונים'!A29</f>
        <v>329.66666666666799</v>
      </c>
      <c r="AE30" s="7">
        <f t="shared" si="7"/>
        <v>296.66666666666771</v>
      </c>
      <c r="AF30" s="7">
        <f t="shared" si="7"/>
        <v>263.66666666666725</v>
      </c>
      <c r="AG30" s="7">
        <f t="shared" si="20"/>
        <v>329.66666666666816</v>
      </c>
      <c r="AH30" s="7">
        <f t="shared" si="21"/>
        <v>11.000000000000151</v>
      </c>
      <c r="AI30" s="7">
        <f t="shared" si="22"/>
        <v>329.66666666666799</v>
      </c>
      <c r="AJ30" s="7">
        <f t="shared" si="23"/>
        <v>0</v>
      </c>
      <c r="AK30" s="7">
        <f t="shared" si="24"/>
        <v>0</v>
      </c>
      <c r="AQ30" s="7">
        <v>29</v>
      </c>
      <c r="AR30" s="52">
        <f>'הזנת נתונים'!A29</f>
        <v>329.66666666666799</v>
      </c>
      <c r="AS30" s="7">
        <f t="shared" si="9"/>
        <v>291.1666666666676</v>
      </c>
      <c r="AT30" s="7">
        <f t="shared" si="9"/>
        <v>252.66666666666723</v>
      </c>
      <c r="AU30" s="7">
        <f t="shared" si="25"/>
        <v>329.66666666666799</v>
      </c>
      <c r="AV30" s="7">
        <f t="shared" si="26"/>
        <v>11.000000000000105</v>
      </c>
      <c r="AW30" s="7">
        <f t="shared" si="27"/>
        <v>329.66666666666794</v>
      </c>
      <c r="AX30" s="7">
        <f t="shared" si="28"/>
        <v>0</v>
      </c>
      <c r="AY30" s="7">
        <f t="shared" si="29"/>
        <v>0</v>
      </c>
      <c r="BE30" s="7">
        <v>29</v>
      </c>
      <c r="BF30" s="52">
        <f>'הזנת נתונים'!A29</f>
        <v>329.66666666666799</v>
      </c>
      <c r="BG30" s="7">
        <f t="shared" si="11"/>
        <v>285.66666666666754</v>
      </c>
      <c r="BH30" s="7">
        <f t="shared" si="11"/>
        <v>241.66666666666717</v>
      </c>
      <c r="BI30" s="7">
        <f t="shared" si="30"/>
        <v>329.66666666666788</v>
      </c>
      <c r="BJ30" s="7">
        <f t="shared" si="31"/>
        <v>11.000000000000092</v>
      </c>
      <c r="BK30" s="7">
        <f t="shared" si="32"/>
        <v>329.66666666666782</v>
      </c>
      <c r="BL30" s="7">
        <f t="shared" si="33"/>
        <v>0</v>
      </c>
      <c r="BM30" s="7">
        <f t="shared" si="34"/>
        <v>0</v>
      </c>
    </row>
    <row r="31" spans="1:65" x14ac:dyDescent="0.25">
      <c r="A31" s="7">
        <v>30</v>
      </c>
      <c r="B31" s="52">
        <f>'הזנת נתונים'!A30</f>
        <v>340.66666666666799</v>
      </c>
      <c r="C31" s="7">
        <f t="shared" si="5"/>
        <v>318.66666666666799</v>
      </c>
      <c r="D31" s="7">
        <f t="shared" si="5"/>
        <v>296.66666666666777</v>
      </c>
      <c r="E31" s="7">
        <f t="shared" si="10"/>
        <v>340.66666666666822</v>
      </c>
      <c r="F31" s="7">
        <f t="shared" si="8"/>
        <v>11.000000000000114</v>
      </c>
      <c r="G31" s="7">
        <f t="shared" si="12"/>
        <v>340.66666666666856</v>
      </c>
      <c r="H31" s="7">
        <f t="shared" si="13"/>
        <v>5.6843418860808015E-13</v>
      </c>
      <c r="I31" s="7">
        <f t="shared" si="14"/>
        <v>3.2311742677852644E-25</v>
      </c>
      <c r="O31" s="7">
        <v>30</v>
      </c>
      <c r="P31" s="52">
        <f>'הזנת נתונים'!A30</f>
        <v>340.66666666666799</v>
      </c>
      <c r="Q31" s="7">
        <f t="shared" si="6"/>
        <v>313.16666666666794</v>
      </c>
      <c r="R31" s="7">
        <f t="shared" si="6"/>
        <v>285.6666666666676</v>
      </c>
      <c r="S31" s="7">
        <f t="shared" si="15"/>
        <v>340.66666666666828</v>
      </c>
      <c r="T31" s="7">
        <f t="shared" si="16"/>
        <v>11.000000000000137</v>
      </c>
      <c r="U31" s="7">
        <f t="shared" si="17"/>
        <v>340.66666666666839</v>
      </c>
      <c r="V31" s="7">
        <f t="shared" si="18"/>
        <v>0</v>
      </c>
      <c r="W31" s="7">
        <f t="shared" si="19"/>
        <v>0</v>
      </c>
      <c r="AC31" s="7">
        <v>30</v>
      </c>
      <c r="AD31" s="52">
        <f>'הזנת נתונים'!A30</f>
        <v>340.66666666666799</v>
      </c>
      <c r="AE31" s="7">
        <f t="shared" si="7"/>
        <v>307.66666666666782</v>
      </c>
      <c r="AF31" s="7">
        <f t="shared" si="7"/>
        <v>274.66666666666737</v>
      </c>
      <c r="AG31" s="7">
        <f t="shared" si="20"/>
        <v>340.66666666666828</v>
      </c>
      <c r="AH31" s="7">
        <f t="shared" si="21"/>
        <v>11.000000000000151</v>
      </c>
      <c r="AI31" s="7">
        <f t="shared" si="22"/>
        <v>340.66666666666833</v>
      </c>
      <c r="AJ31" s="7">
        <f t="shared" si="23"/>
        <v>0</v>
      </c>
      <c r="AK31" s="7">
        <f t="shared" si="24"/>
        <v>0</v>
      </c>
      <c r="AQ31" s="7">
        <v>30</v>
      </c>
      <c r="AR31" s="52">
        <f>'הזנת נתונים'!A30</f>
        <v>340.66666666666799</v>
      </c>
      <c r="AS31" s="7">
        <f t="shared" si="9"/>
        <v>302.16666666666771</v>
      </c>
      <c r="AT31" s="7">
        <f t="shared" si="9"/>
        <v>263.66666666666731</v>
      </c>
      <c r="AU31" s="7">
        <f t="shared" si="25"/>
        <v>340.66666666666811</v>
      </c>
      <c r="AV31" s="7">
        <f t="shared" si="26"/>
        <v>11.000000000000114</v>
      </c>
      <c r="AW31" s="7">
        <f t="shared" si="27"/>
        <v>340.66666666666811</v>
      </c>
      <c r="AX31" s="7">
        <f t="shared" si="28"/>
        <v>0</v>
      </c>
      <c r="AY31" s="7">
        <f t="shared" si="29"/>
        <v>0</v>
      </c>
      <c r="BE31" s="7">
        <v>30</v>
      </c>
      <c r="BF31" s="52">
        <f>'הזנת נתונים'!A30</f>
        <v>340.66666666666799</v>
      </c>
      <c r="BG31" s="7">
        <f t="shared" si="11"/>
        <v>296.66666666666765</v>
      </c>
      <c r="BH31" s="7">
        <f t="shared" si="11"/>
        <v>252.66666666666728</v>
      </c>
      <c r="BI31" s="7">
        <f t="shared" si="30"/>
        <v>340.66666666666799</v>
      </c>
      <c r="BJ31" s="7">
        <f t="shared" si="31"/>
        <v>11.000000000000092</v>
      </c>
      <c r="BK31" s="7">
        <f t="shared" si="32"/>
        <v>340.66666666666799</v>
      </c>
      <c r="BL31" s="7">
        <f t="shared" si="33"/>
        <v>0</v>
      </c>
      <c r="BM31" s="7">
        <f t="shared" si="34"/>
        <v>0</v>
      </c>
    </row>
    <row r="32" spans="1:65" x14ac:dyDescent="0.25">
      <c r="A32" s="7">
        <v>31</v>
      </c>
      <c r="B32" s="52">
        <f>'הזנת נתונים'!A31</f>
        <v>351.66666666666799</v>
      </c>
      <c r="C32" s="7">
        <f t="shared" si="5"/>
        <v>329.66666666666799</v>
      </c>
      <c r="D32" s="7">
        <f t="shared" si="5"/>
        <v>307.66666666666788</v>
      </c>
      <c r="E32" s="7">
        <f t="shared" si="10"/>
        <v>351.66666666666811</v>
      </c>
      <c r="F32" s="7">
        <f t="shared" si="8"/>
        <v>11.000000000000057</v>
      </c>
      <c r="G32" s="7">
        <f t="shared" si="12"/>
        <v>351.66666666666833</v>
      </c>
      <c r="H32" s="7">
        <f t="shared" si="13"/>
        <v>0</v>
      </c>
      <c r="I32" s="7">
        <f t="shared" si="14"/>
        <v>0</v>
      </c>
      <c r="O32" s="7">
        <v>31</v>
      </c>
      <c r="P32" s="52">
        <f>'הזנת נתונים'!A31</f>
        <v>351.66666666666799</v>
      </c>
      <c r="Q32" s="7">
        <f t="shared" si="6"/>
        <v>324.16666666666794</v>
      </c>
      <c r="R32" s="7">
        <f t="shared" si="6"/>
        <v>296.66666666666771</v>
      </c>
      <c r="S32" s="7">
        <f t="shared" si="15"/>
        <v>351.66666666666816</v>
      </c>
      <c r="T32" s="7">
        <f t="shared" si="16"/>
        <v>11.000000000000091</v>
      </c>
      <c r="U32" s="7">
        <f t="shared" si="17"/>
        <v>351.66666666666839</v>
      </c>
      <c r="V32" s="7">
        <f t="shared" si="18"/>
        <v>0</v>
      </c>
      <c r="W32" s="7">
        <f t="shared" si="19"/>
        <v>0</v>
      </c>
      <c r="AC32" s="7">
        <v>31</v>
      </c>
      <c r="AD32" s="52">
        <f>'הזנת נתונים'!A31</f>
        <v>351.66666666666799</v>
      </c>
      <c r="AE32" s="7">
        <f t="shared" si="7"/>
        <v>318.66666666666794</v>
      </c>
      <c r="AF32" s="7">
        <f t="shared" si="7"/>
        <v>285.66666666666754</v>
      </c>
      <c r="AG32" s="7">
        <f t="shared" si="20"/>
        <v>351.66666666666833</v>
      </c>
      <c r="AH32" s="7">
        <f t="shared" si="21"/>
        <v>11.000000000000133</v>
      </c>
      <c r="AI32" s="7">
        <f t="shared" si="22"/>
        <v>351.66666666666845</v>
      </c>
      <c r="AJ32" s="7">
        <f t="shared" si="23"/>
        <v>4.5474735088646412E-13</v>
      </c>
      <c r="AK32" s="7">
        <f t="shared" si="24"/>
        <v>2.0679515313825692E-25</v>
      </c>
      <c r="AQ32" s="7">
        <v>31</v>
      </c>
      <c r="AR32" s="52">
        <f>'הזנת נתונים'!A31</f>
        <v>351.66666666666799</v>
      </c>
      <c r="AS32" s="7">
        <f t="shared" si="9"/>
        <v>313.16666666666782</v>
      </c>
      <c r="AT32" s="7">
        <f t="shared" si="9"/>
        <v>274.66666666666742</v>
      </c>
      <c r="AU32" s="7">
        <f t="shared" si="25"/>
        <v>351.66666666666822</v>
      </c>
      <c r="AV32" s="7">
        <f t="shared" si="26"/>
        <v>11.000000000000114</v>
      </c>
      <c r="AW32" s="7">
        <f t="shared" si="27"/>
        <v>351.66666666666822</v>
      </c>
      <c r="AX32" s="7">
        <f t="shared" si="28"/>
        <v>0</v>
      </c>
      <c r="AY32" s="7">
        <f t="shared" si="29"/>
        <v>0</v>
      </c>
      <c r="BE32" s="7">
        <v>31</v>
      </c>
      <c r="BF32" s="52">
        <f>'הזנת נתונים'!A31</f>
        <v>351.66666666666799</v>
      </c>
      <c r="BG32" s="7">
        <f t="shared" si="11"/>
        <v>307.66666666666771</v>
      </c>
      <c r="BH32" s="7">
        <f t="shared" si="11"/>
        <v>263.66666666666737</v>
      </c>
      <c r="BI32" s="7">
        <f t="shared" si="30"/>
        <v>351.66666666666805</v>
      </c>
      <c r="BJ32" s="7">
        <f t="shared" si="31"/>
        <v>11.000000000000085</v>
      </c>
      <c r="BK32" s="7">
        <f t="shared" si="32"/>
        <v>351.66666666666811</v>
      </c>
      <c r="BL32" s="7">
        <f t="shared" si="33"/>
        <v>0</v>
      </c>
      <c r="BM32" s="7">
        <f t="shared" si="34"/>
        <v>0</v>
      </c>
    </row>
    <row r="33" spans="1:65" x14ac:dyDescent="0.25">
      <c r="A33" s="7">
        <v>32</v>
      </c>
      <c r="B33" s="52">
        <f>'הזנת נתונים'!A32</f>
        <v>362.66666666666799</v>
      </c>
      <c r="C33" s="7">
        <f t="shared" si="5"/>
        <v>340.66666666666799</v>
      </c>
      <c r="D33" s="7">
        <f t="shared" si="5"/>
        <v>318.66666666666799</v>
      </c>
      <c r="E33" s="7">
        <f t="shared" si="10"/>
        <v>362.66666666666799</v>
      </c>
      <c r="F33" s="7">
        <f t="shared" si="8"/>
        <v>11</v>
      </c>
      <c r="G33" s="7">
        <f t="shared" si="12"/>
        <v>362.66666666666816</v>
      </c>
      <c r="H33" s="7">
        <f t="shared" si="13"/>
        <v>0</v>
      </c>
      <c r="I33" s="7">
        <f t="shared" si="14"/>
        <v>0</v>
      </c>
      <c r="O33" s="7">
        <v>32</v>
      </c>
      <c r="P33" s="52">
        <f>'הזנת נתונים'!A32</f>
        <v>362.66666666666799</v>
      </c>
      <c r="Q33" s="7">
        <f t="shared" si="6"/>
        <v>335.16666666666794</v>
      </c>
      <c r="R33" s="7">
        <f t="shared" si="6"/>
        <v>307.66666666666777</v>
      </c>
      <c r="S33" s="7">
        <f t="shared" si="15"/>
        <v>362.66666666666811</v>
      </c>
      <c r="T33" s="7">
        <f t="shared" si="16"/>
        <v>11.000000000000068</v>
      </c>
      <c r="U33" s="7">
        <f t="shared" si="17"/>
        <v>362.66666666666828</v>
      </c>
      <c r="V33" s="7">
        <f t="shared" si="18"/>
        <v>0</v>
      </c>
      <c r="W33" s="7">
        <f t="shared" si="19"/>
        <v>0</v>
      </c>
      <c r="AC33" s="7">
        <v>32</v>
      </c>
      <c r="AD33" s="52">
        <f>'הזנת נתונים'!A32</f>
        <v>362.66666666666799</v>
      </c>
      <c r="AE33" s="7">
        <f t="shared" si="7"/>
        <v>329.66666666666794</v>
      </c>
      <c r="AF33" s="7">
        <f t="shared" si="7"/>
        <v>296.66666666666771</v>
      </c>
      <c r="AG33" s="7">
        <f t="shared" si="20"/>
        <v>362.66666666666816</v>
      </c>
      <c r="AH33" s="7">
        <f t="shared" si="21"/>
        <v>11.000000000000076</v>
      </c>
      <c r="AI33" s="7">
        <f t="shared" si="22"/>
        <v>362.66666666666845</v>
      </c>
      <c r="AJ33" s="7">
        <f t="shared" si="23"/>
        <v>4.5474735088646412E-13</v>
      </c>
      <c r="AK33" s="7">
        <f t="shared" si="24"/>
        <v>2.0679515313825692E-25</v>
      </c>
      <c r="AQ33" s="7">
        <v>32</v>
      </c>
      <c r="AR33" s="52">
        <f>'הזנת נתונים'!A32</f>
        <v>362.66666666666799</v>
      </c>
      <c r="AS33" s="7">
        <f t="shared" si="9"/>
        <v>324.16666666666794</v>
      </c>
      <c r="AT33" s="7">
        <f t="shared" si="9"/>
        <v>285.66666666666754</v>
      </c>
      <c r="AU33" s="7">
        <f t="shared" si="25"/>
        <v>362.66666666666833</v>
      </c>
      <c r="AV33" s="7">
        <f t="shared" si="26"/>
        <v>11.000000000000114</v>
      </c>
      <c r="AW33" s="7">
        <f t="shared" si="27"/>
        <v>362.66666666666833</v>
      </c>
      <c r="AX33" s="7">
        <f t="shared" si="28"/>
        <v>0</v>
      </c>
      <c r="AY33" s="7">
        <f t="shared" si="29"/>
        <v>0</v>
      </c>
      <c r="BE33" s="7">
        <v>32</v>
      </c>
      <c r="BF33" s="52">
        <f>'הזנת נתונים'!A32</f>
        <v>362.66666666666799</v>
      </c>
      <c r="BG33" s="7">
        <f t="shared" si="11"/>
        <v>318.66666666666782</v>
      </c>
      <c r="BH33" s="7">
        <f t="shared" si="11"/>
        <v>274.66666666666742</v>
      </c>
      <c r="BI33" s="7">
        <f t="shared" si="30"/>
        <v>362.66666666666822</v>
      </c>
      <c r="BJ33" s="7">
        <f t="shared" si="31"/>
        <v>11.000000000000099</v>
      </c>
      <c r="BK33" s="7">
        <f t="shared" si="32"/>
        <v>362.66666666666811</v>
      </c>
      <c r="BL33" s="7">
        <f t="shared" si="33"/>
        <v>0</v>
      </c>
      <c r="BM33" s="7">
        <f t="shared" si="34"/>
        <v>0</v>
      </c>
    </row>
    <row r="34" spans="1:65" x14ac:dyDescent="0.25">
      <c r="A34" s="7">
        <v>33</v>
      </c>
      <c r="B34" s="52">
        <f>'הזנת נתונים'!A33</f>
        <v>373.66666666666799</v>
      </c>
      <c r="C34" s="7">
        <f t="shared" si="5"/>
        <v>351.66666666666799</v>
      </c>
      <c r="D34" s="7">
        <f t="shared" si="5"/>
        <v>329.66666666666799</v>
      </c>
      <c r="E34" s="7">
        <f t="shared" si="10"/>
        <v>373.66666666666799</v>
      </c>
      <c r="F34" s="7">
        <f t="shared" si="8"/>
        <v>11</v>
      </c>
      <c r="G34" s="7">
        <f t="shared" si="12"/>
        <v>373.66666666666799</v>
      </c>
      <c r="H34" s="7">
        <f t="shared" si="13"/>
        <v>0</v>
      </c>
      <c r="I34" s="7">
        <f t="shared" si="14"/>
        <v>0</v>
      </c>
      <c r="O34" s="7">
        <v>33</v>
      </c>
      <c r="P34" s="52">
        <f>'הזנת נתונים'!A33</f>
        <v>373.66666666666799</v>
      </c>
      <c r="Q34" s="7">
        <f t="shared" si="6"/>
        <v>346.16666666666794</v>
      </c>
      <c r="R34" s="7">
        <f t="shared" si="6"/>
        <v>318.66666666666782</v>
      </c>
      <c r="S34" s="7">
        <f t="shared" si="15"/>
        <v>373.66666666666805</v>
      </c>
      <c r="T34" s="7">
        <f t="shared" si="16"/>
        <v>11.000000000000046</v>
      </c>
      <c r="U34" s="7">
        <f t="shared" si="17"/>
        <v>373.66666666666816</v>
      </c>
      <c r="V34" s="7">
        <f t="shared" si="18"/>
        <v>0</v>
      </c>
      <c r="W34" s="7">
        <f t="shared" si="19"/>
        <v>0</v>
      </c>
      <c r="AC34" s="7">
        <v>33</v>
      </c>
      <c r="AD34" s="52">
        <f>'הזנת נתונים'!A33</f>
        <v>373.66666666666799</v>
      </c>
      <c r="AE34" s="7">
        <f t="shared" si="7"/>
        <v>340.66666666666794</v>
      </c>
      <c r="AF34" s="7">
        <f t="shared" si="7"/>
        <v>307.66666666666777</v>
      </c>
      <c r="AG34" s="7">
        <f t="shared" si="20"/>
        <v>373.66666666666811</v>
      </c>
      <c r="AH34" s="7">
        <f t="shared" si="21"/>
        <v>11.000000000000057</v>
      </c>
      <c r="AI34" s="7">
        <f t="shared" si="22"/>
        <v>373.66666666666822</v>
      </c>
      <c r="AJ34" s="7">
        <f t="shared" si="23"/>
        <v>0</v>
      </c>
      <c r="AK34" s="7">
        <f t="shared" si="24"/>
        <v>0</v>
      </c>
      <c r="AQ34" s="7">
        <v>33</v>
      </c>
      <c r="AR34" s="52">
        <f>'הזנת נתונים'!A33</f>
        <v>373.66666666666799</v>
      </c>
      <c r="AS34" s="7">
        <f t="shared" si="9"/>
        <v>335.16666666666794</v>
      </c>
      <c r="AT34" s="7">
        <f t="shared" si="9"/>
        <v>296.66666666666765</v>
      </c>
      <c r="AU34" s="7">
        <f t="shared" si="25"/>
        <v>373.66666666666822</v>
      </c>
      <c r="AV34" s="7">
        <f t="shared" si="26"/>
        <v>11.000000000000082</v>
      </c>
      <c r="AW34" s="7">
        <f t="shared" si="27"/>
        <v>373.66666666666845</v>
      </c>
      <c r="AX34" s="7">
        <f t="shared" si="28"/>
        <v>4.5474735088646412E-13</v>
      </c>
      <c r="AY34" s="7">
        <f t="shared" si="29"/>
        <v>2.0679515313825692E-25</v>
      </c>
      <c r="BE34" s="7">
        <v>33</v>
      </c>
      <c r="BF34" s="52">
        <f>'הזנת נתונים'!A33</f>
        <v>373.66666666666799</v>
      </c>
      <c r="BG34" s="7">
        <f t="shared" si="11"/>
        <v>329.66666666666794</v>
      </c>
      <c r="BH34" s="7">
        <f t="shared" si="11"/>
        <v>285.66666666666754</v>
      </c>
      <c r="BI34" s="7">
        <f t="shared" si="30"/>
        <v>373.66666666666833</v>
      </c>
      <c r="BJ34" s="7">
        <f t="shared" si="31"/>
        <v>11.000000000000099</v>
      </c>
      <c r="BK34" s="7">
        <f t="shared" si="32"/>
        <v>373.66666666666833</v>
      </c>
      <c r="BL34" s="7">
        <f t="shared" si="33"/>
        <v>0</v>
      </c>
      <c r="BM34" s="7">
        <f t="shared" si="34"/>
        <v>0</v>
      </c>
    </row>
    <row r="35" spans="1:65" x14ac:dyDescent="0.25">
      <c r="A35" s="7">
        <v>34</v>
      </c>
      <c r="B35" s="52">
        <f>'הזנת נתונים'!A34</f>
        <v>384.66666666666799</v>
      </c>
      <c r="C35" s="7">
        <f t="shared" si="5"/>
        <v>362.66666666666799</v>
      </c>
      <c r="D35" s="7">
        <f t="shared" si="5"/>
        <v>340.66666666666799</v>
      </c>
      <c r="E35" s="7">
        <f t="shared" si="10"/>
        <v>384.66666666666799</v>
      </c>
      <c r="F35" s="7">
        <f t="shared" si="8"/>
        <v>11</v>
      </c>
      <c r="G35" s="7">
        <f t="shared" si="12"/>
        <v>384.66666666666799</v>
      </c>
      <c r="H35" s="7">
        <f t="shared" si="13"/>
        <v>0</v>
      </c>
      <c r="I35" s="7">
        <f t="shared" si="14"/>
        <v>0</v>
      </c>
      <c r="O35" s="7">
        <v>34</v>
      </c>
      <c r="P35" s="52">
        <f>'הזנת נתונים'!A34</f>
        <v>384.66666666666799</v>
      </c>
      <c r="Q35" s="7">
        <f t="shared" si="6"/>
        <v>357.16666666666794</v>
      </c>
      <c r="R35" s="7">
        <f t="shared" si="6"/>
        <v>329.66666666666788</v>
      </c>
      <c r="S35" s="7">
        <f t="shared" si="15"/>
        <v>384.66666666666799</v>
      </c>
      <c r="T35" s="7">
        <f t="shared" si="16"/>
        <v>11.000000000000023</v>
      </c>
      <c r="U35" s="7">
        <f t="shared" si="17"/>
        <v>384.66666666666811</v>
      </c>
      <c r="V35" s="7">
        <f t="shared" si="18"/>
        <v>0</v>
      </c>
      <c r="W35" s="7">
        <f t="shared" si="19"/>
        <v>0</v>
      </c>
      <c r="AC35" s="7">
        <v>34</v>
      </c>
      <c r="AD35" s="52">
        <f>'הזנת נתונים'!A34</f>
        <v>384.66666666666799</v>
      </c>
      <c r="AE35" s="7">
        <f t="shared" si="7"/>
        <v>351.66666666666794</v>
      </c>
      <c r="AF35" s="7">
        <f t="shared" si="7"/>
        <v>318.66666666666782</v>
      </c>
      <c r="AG35" s="7">
        <f t="shared" si="20"/>
        <v>384.66666666666805</v>
      </c>
      <c r="AH35" s="7">
        <f t="shared" si="21"/>
        <v>11.000000000000037</v>
      </c>
      <c r="AI35" s="7">
        <f t="shared" si="22"/>
        <v>384.66666666666816</v>
      </c>
      <c r="AJ35" s="7">
        <f t="shared" si="23"/>
        <v>0</v>
      </c>
      <c r="AK35" s="7">
        <f t="shared" si="24"/>
        <v>0</v>
      </c>
      <c r="AQ35" s="7">
        <v>34</v>
      </c>
      <c r="AR35" s="52">
        <f>'הזנת נתונים'!A34</f>
        <v>384.66666666666799</v>
      </c>
      <c r="AS35" s="7">
        <f t="shared" si="9"/>
        <v>346.16666666666794</v>
      </c>
      <c r="AT35" s="7">
        <f t="shared" si="9"/>
        <v>307.66666666666771</v>
      </c>
      <c r="AU35" s="7">
        <f t="shared" si="25"/>
        <v>384.66666666666816</v>
      </c>
      <c r="AV35" s="7">
        <f t="shared" si="26"/>
        <v>11.000000000000066</v>
      </c>
      <c r="AW35" s="7">
        <f t="shared" si="27"/>
        <v>384.66666666666828</v>
      </c>
      <c r="AX35" s="7">
        <f t="shared" si="28"/>
        <v>0</v>
      </c>
      <c r="AY35" s="7">
        <f t="shared" si="29"/>
        <v>0</v>
      </c>
      <c r="BE35" s="7">
        <v>34</v>
      </c>
      <c r="BF35" s="52">
        <f>'הזנת נתונים'!A34</f>
        <v>384.66666666666799</v>
      </c>
      <c r="BG35" s="7">
        <f t="shared" si="11"/>
        <v>340.66666666666794</v>
      </c>
      <c r="BH35" s="7">
        <f t="shared" si="11"/>
        <v>296.66666666666765</v>
      </c>
      <c r="BI35" s="7">
        <f t="shared" si="30"/>
        <v>384.66666666666822</v>
      </c>
      <c r="BJ35" s="7">
        <f t="shared" si="31"/>
        <v>11.000000000000071</v>
      </c>
      <c r="BK35" s="7">
        <f t="shared" si="32"/>
        <v>384.66666666666845</v>
      </c>
      <c r="BL35" s="7">
        <f t="shared" si="33"/>
        <v>4.5474735088646412E-13</v>
      </c>
      <c r="BM35" s="7">
        <f t="shared" si="34"/>
        <v>2.0679515313825692E-25</v>
      </c>
    </row>
    <row r="36" spans="1:65" x14ac:dyDescent="0.25">
      <c r="A36" s="7">
        <v>35</v>
      </c>
      <c r="B36" s="52">
        <f>'הזנת נתונים'!A35</f>
        <v>395.66666666666799</v>
      </c>
      <c r="C36" s="7">
        <f t="shared" si="5"/>
        <v>373.66666666666799</v>
      </c>
      <c r="D36" s="7">
        <f t="shared" si="5"/>
        <v>351.66666666666799</v>
      </c>
      <c r="E36" s="7">
        <f t="shared" si="10"/>
        <v>395.66666666666799</v>
      </c>
      <c r="F36" s="7">
        <f t="shared" si="8"/>
        <v>11</v>
      </c>
      <c r="G36" s="7">
        <f t="shared" si="12"/>
        <v>395.66666666666799</v>
      </c>
      <c r="H36" s="7">
        <f t="shared" si="13"/>
        <v>0</v>
      </c>
      <c r="I36" s="7">
        <f t="shared" si="14"/>
        <v>0</v>
      </c>
      <c r="O36" s="7">
        <v>35</v>
      </c>
      <c r="P36" s="52">
        <f>'הזנת נתונים'!A35</f>
        <v>395.66666666666799</v>
      </c>
      <c r="Q36" s="7">
        <f t="shared" si="6"/>
        <v>368.16666666666794</v>
      </c>
      <c r="R36" s="7">
        <f t="shared" si="6"/>
        <v>340.66666666666794</v>
      </c>
      <c r="S36" s="7">
        <f t="shared" si="15"/>
        <v>395.66666666666794</v>
      </c>
      <c r="T36" s="7">
        <f t="shared" si="16"/>
        <v>11</v>
      </c>
      <c r="U36" s="7">
        <f t="shared" si="17"/>
        <v>395.66666666666799</v>
      </c>
      <c r="V36" s="7">
        <f t="shared" si="18"/>
        <v>0</v>
      </c>
      <c r="W36" s="7">
        <f t="shared" si="19"/>
        <v>0</v>
      </c>
      <c r="AC36" s="7">
        <v>35</v>
      </c>
      <c r="AD36" s="52">
        <f>'הזנת נתונים'!A35</f>
        <v>395.66666666666799</v>
      </c>
      <c r="AE36" s="7">
        <f t="shared" si="7"/>
        <v>362.66666666666794</v>
      </c>
      <c r="AF36" s="7">
        <f t="shared" si="7"/>
        <v>329.66666666666788</v>
      </c>
      <c r="AG36" s="7">
        <f t="shared" si="20"/>
        <v>395.66666666666799</v>
      </c>
      <c r="AH36" s="7">
        <f t="shared" si="21"/>
        <v>11.00000000000002</v>
      </c>
      <c r="AI36" s="7">
        <f t="shared" si="22"/>
        <v>395.66666666666811</v>
      </c>
      <c r="AJ36" s="7">
        <f t="shared" si="23"/>
        <v>0</v>
      </c>
      <c r="AK36" s="7">
        <f t="shared" si="24"/>
        <v>0</v>
      </c>
      <c r="AQ36" s="7">
        <v>35</v>
      </c>
      <c r="AR36" s="52">
        <f>'הזנת נתונים'!A35</f>
        <v>395.66666666666799</v>
      </c>
      <c r="AS36" s="7">
        <f t="shared" si="9"/>
        <v>357.16666666666794</v>
      </c>
      <c r="AT36" s="7">
        <f t="shared" si="9"/>
        <v>318.66666666666777</v>
      </c>
      <c r="AU36" s="7">
        <f t="shared" si="25"/>
        <v>395.66666666666811</v>
      </c>
      <c r="AV36" s="7">
        <f t="shared" si="26"/>
        <v>11.000000000000048</v>
      </c>
      <c r="AW36" s="7">
        <f t="shared" si="27"/>
        <v>395.66666666666822</v>
      </c>
      <c r="AX36" s="7">
        <f t="shared" si="28"/>
        <v>0</v>
      </c>
      <c r="AY36" s="7">
        <f t="shared" si="29"/>
        <v>0</v>
      </c>
      <c r="BE36" s="7">
        <v>35</v>
      </c>
      <c r="BF36" s="52">
        <f>'הזנת נתונים'!A35</f>
        <v>395.66666666666799</v>
      </c>
      <c r="BG36" s="7">
        <f t="shared" si="11"/>
        <v>351.66666666666794</v>
      </c>
      <c r="BH36" s="7">
        <f t="shared" si="11"/>
        <v>307.66666666666765</v>
      </c>
      <c r="BI36" s="7">
        <f t="shared" si="30"/>
        <v>395.66666666666822</v>
      </c>
      <c r="BJ36" s="7">
        <f t="shared" si="31"/>
        <v>11.000000000000071</v>
      </c>
      <c r="BK36" s="7">
        <f t="shared" si="32"/>
        <v>395.66666666666828</v>
      </c>
      <c r="BL36" s="7">
        <f t="shared" si="33"/>
        <v>0</v>
      </c>
      <c r="BM36" s="7">
        <f t="shared" si="34"/>
        <v>0</v>
      </c>
    </row>
    <row r="37" spans="1:65" x14ac:dyDescent="0.25">
      <c r="A37" s="7">
        <v>36</v>
      </c>
      <c r="B37" s="52">
        <f>'הזנת נתונים'!A36</f>
        <v>406.66666666666799</v>
      </c>
      <c r="C37" s="7">
        <f t="shared" si="5"/>
        <v>384.66666666666799</v>
      </c>
      <c r="D37" s="7">
        <f t="shared" si="5"/>
        <v>362.66666666666799</v>
      </c>
      <c r="E37" s="7">
        <f t="shared" si="10"/>
        <v>406.66666666666799</v>
      </c>
      <c r="F37" s="7">
        <f t="shared" si="8"/>
        <v>11</v>
      </c>
      <c r="G37" s="7">
        <f t="shared" si="12"/>
        <v>406.66666666666799</v>
      </c>
      <c r="H37" s="7">
        <f t="shared" si="13"/>
        <v>0</v>
      </c>
      <c r="I37" s="7">
        <f t="shared" si="14"/>
        <v>0</v>
      </c>
      <c r="O37" s="7">
        <v>36</v>
      </c>
      <c r="P37" s="52">
        <f>'הזנת נתונים'!A36</f>
        <v>406.66666666666799</v>
      </c>
      <c r="Q37" s="7">
        <f t="shared" si="6"/>
        <v>379.16666666666794</v>
      </c>
      <c r="R37" s="7">
        <f t="shared" si="6"/>
        <v>351.66666666666794</v>
      </c>
      <c r="S37" s="7">
        <f t="shared" si="15"/>
        <v>406.66666666666794</v>
      </c>
      <c r="T37" s="7">
        <f t="shared" si="16"/>
        <v>11</v>
      </c>
      <c r="U37" s="7">
        <f t="shared" si="17"/>
        <v>406.66666666666794</v>
      </c>
      <c r="V37" s="7">
        <f t="shared" si="18"/>
        <v>0</v>
      </c>
      <c r="W37" s="7">
        <f t="shared" si="19"/>
        <v>0</v>
      </c>
      <c r="AC37" s="7">
        <v>36</v>
      </c>
      <c r="AD37" s="52">
        <f>'הזנת נתונים'!A36</f>
        <v>406.66666666666799</v>
      </c>
      <c r="AE37" s="7">
        <f t="shared" si="7"/>
        <v>373.66666666666794</v>
      </c>
      <c r="AF37" s="7">
        <f t="shared" si="7"/>
        <v>340.66666666666788</v>
      </c>
      <c r="AG37" s="7">
        <f t="shared" si="20"/>
        <v>406.66666666666799</v>
      </c>
      <c r="AH37" s="7">
        <f t="shared" si="21"/>
        <v>11.00000000000002</v>
      </c>
      <c r="AI37" s="7">
        <f t="shared" si="22"/>
        <v>406.66666666666799</v>
      </c>
      <c r="AJ37" s="7">
        <f t="shared" si="23"/>
        <v>0</v>
      </c>
      <c r="AK37" s="7">
        <f t="shared" si="24"/>
        <v>0</v>
      </c>
      <c r="AQ37" s="7">
        <v>36</v>
      </c>
      <c r="AR37" s="52">
        <f>'הזנת נתונים'!A36</f>
        <v>406.66666666666799</v>
      </c>
      <c r="AS37" s="7">
        <f t="shared" si="9"/>
        <v>368.16666666666794</v>
      </c>
      <c r="AT37" s="7">
        <f t="shared" si="9"/>
        <v>329.66666666666782</v>
      </c>
      <c r="AU37" s="7">
        <f t="shared" si="25"/>
        <v>406.66666666666805</v>
      </c>
      <c r="AV37" s="7">
        <f t="shared" si="26"/>
        <v>11.000000000000032</v>
      </c>
      <c r="AW37" s="7">
        <f t="shared" si="27"/>
        <v>406.66666666666816</v>
      </c>
      <c r="AX37" s="7">
        <f t="shared" si="28"/>
        <v>0</v>
      </c>
      <c r="AY37" s="7">
        <f t="shared" si="29"/>
        <v>0</v>
      </c>
      <c r="BE37" s="7">
        <v>36</v>
      </c>
      <c r="BF37" s="52">
        <f>'הזנת נתונים'!A36</f>
        <v>406.66666666666799</v>
      </c>
      <c r="BG37" s="7">
        <f t="shared" si="11"/>
        <v>362.66666666666794</v>
      </c>
      <c r="BH37" s="7">
        <f t="shared" si="11"/>
        <v>318.66666666666777</v>
      </c>
      <c r="BI37" s="7">
        <f t="shared" si="30"/>
        <v>406.66666666666811</v>
      </c>
      <c r="BJ37" s="7">
        <f t="shared" si="31"/>
        <v>11.000000000000043</v>
      </c>
      <c r="BK37" s="7">
        <f t="shared" si="32"/>
        <v>406.66666666666828</v>
      </c>
      <c r="BL37" s="7">
        <f t="shared" si="33"/>
        <v>0</v>
      </c>
      <c r="BM37" s="7">
        <f t="shared" si="34"/>
        <v>0</v>
      </c>
    </row>
    <row r="38" spans="1:65" x14ac:dyDescent="0.25">
      <c r="A38" s="7">
        <v>37</v>
      </c>
      <c r="B38" s="52">
        <f>'הזנת נתונים'!A37</f>
        <v>417.66666666666799</v>
      </c>
      <c r="C38" s="7">
        <f t="shared" si="5"/>
        <v>395.66666666666799</v>
      </c>
      <c r="D38" s="7">
        <f t="shared" si="5"/>
        <v>373.66666666666799</v>
      </c>
      <c r="E38" s="7">
        <f t="shared" si="10"/>
        <v>417.66666666666799</v>
      </c>
      <c r="F38" s="7">
        <f t="shared" si="8"/>
        <v>11</v>
      </c>
      <c r="G38" s="7">
        <f t="shared" si="12"/>
        <v>417.66666666666799</v>
      </c>
      <c r="H38" s="7">
        <f t="shared" si="13"/>
        <v>0</v>
      </c>
      <c r="I38" s="7">
        <f t="shared" si="14"/>
        <v>0</v>
      </c>
      <c r="O38" s="7">
        <v>37</v>
      </c>
      <c r="P38" s="52">
        <f>'הזנת נתונים'!A37</f>
        <v>417.66666666666799</v>
      </c>
      <c r="Q38" s="7">
        <f t="shared" si="6"/>
        <v>390.16666666666794</v>
      </c>
      <c r="R38" s="7">
        <f t="shared" si="6"/>
        <v>362.66666666666794</v>
      </c>
      <c r="S38" s="7">
        <f t="shared" si="15"/>
        <v>417.66666666666794</v>
      </c>
      <c r="T38" s="7">
        <f t="shared" si="16"/>
        <v>11</v>
      </c>
      <c r="U38" s="7">
        <f t="shared" si="17"/>
        <v>417.66666666666794</v>
      </c>
      <c r="V38" s="7">
        <f t="shared" si="18"/>
        <v>0</v>
      </c>
      <c r="W38" s="7">
        <f t="shared" si="19"/>
        <v>0</v>
      </c>
      <c r="AC38" s="7">
        <v>37</v>
      </c>
      <c r="AD38" s="52">
        <f>'הזנת נתונים'!A37</f>
        <v>417.66666666666799</v>
      </c>
      <c r="AE38" s="7">
        <f t="shared" si="7"/>
        <v>384.66666666666794</v>
      </c>
      <c r="AF38" s="7">
        <f t="shared" si="7"/>
        <v>351.66666666666794</v>
      </c>
      <c r="AG38" s="7">
        <f t="shared" si="20"/>
        <v>417.66666666666794</v>
      </c>
      <c r="AH38" s="7">
        <f t="shared" si="21"/>
        <v>11</v>
      </c>
      <c r="AI38" s="7">
        <f t="shared" si="22"/>
        <v>417.66666666666799</v>
      </c>
      <c r="AJ38" s="7">
        <f t="shared" si="23"/>
        <v>0</v>
      </c>
      <c r="AK38" s="7">
        <f t="shared" si="24"/>
        <v>0</v>
      </c>
      <c r="AQ38" s="7">
        <v>37</v>
      </c>
      <c r="AR38" s="52">
        <f>'הזנת נתונים'!A37</f>
        <v>417.66666666666799</v>
      </c>
      <c r="AS38" s="7">
        <f t="shared" si="9"/>
        <v>379.16666666666794</v>
      </c>
      <c r="AT38" s="7">
        <f t="shared" si="9"/>
        <v>340.66666666666788</v>
      </c>
      <c r="AU38" s="7">
        <f t="shared" si="25"/>
        <v>417.66666666666799</v>
      </c>
      <c r="AV38" s="7">
        <f t="shared" si="26"/>
        <v>11.000000000000016</v>
      </c>
      <c r="AW38" s="7">
        <f t="shared" si="27"/>
        <v>417.66666666666811</v>
      </c>
      <c r="AX38" s="7">
        <f t="shared" si="28"/>
        <v>0</v>
      </c>
      <c r="AY38" s="7">
        <f t="shared" si="29"/>
        <v>0</v>
      </c>
      <c r="BE38" s="7">
        <v>37</v>
      </c>
      <c r="BF38" s="52">
        <f>'הזנת נתונים'!A37</f>
        <v>417.66666666666799</v>
      </c>
      <c r="BG38" s="7">
        <f t="shared" si="11"/>
        <v>373.66666666666794</v>
      </c>
      <c r="BH38" s="7">
        <f t="shared" si="11"/>
        <v>329.66666666666782</v>
      </c>
      <c r="BI38" s="7">
        <f t="shared" si="30"/>
        <v>417.66666666666805</v>
      </c>
      <c r="BJ38" s="7">
        <f t="shared" si="31"/>
        <v>11.000000000000028</v>
      </c>
      <c r="BK38" s="7">
        <f t="shared" si="32"/>
        <v>417.66666666666816</v>
      </c>
      <c r="BL38" s="7">
        <f t="shared" si="33"/>
        <v>0</v>
      </c>
      <c r="BM38" s="7">
        <f t="shared" si="34"/>
        <v>0</v>
      </c>
    </row>
    <row r="39" spans="1:65" x14ac:dyDescent="0.25">
      <c r="A39" s="7">
        <v>38</v>
      </c>
      <c r="B39" s="52">
        <f>'הזנת נתונים'!A38</f>
        <v>428.66666666666902</v>
      </c>
      <c r="C39" s="7">
        <f t="shared" si="5"/>
        <v>406.66666666666822</v>
      </c>
      <c r="D39" s="7">
        <f t="shared" si="5"/>
        <v>384.66666666666805</v>
      </c>
      <c r="E39" s="7">
        <f t="shared" si="10"/>
        <v>428.66666666666839</v>
      </c>
      <c r="F39" s="7">
        <f t="shared" si="8"/>
        <v>11.000000000000085</v>
      </c>
      <c r="G39" s="7">
        <f t="shared" si="12"/>
        <v>428.66666666666799</v>
      </c>
      <c r="H39" s="7">
        <f t="shared" si="13"/>
        <v>-1.0231815394945443E-12</v>
      </c>
      <c r="I39" s="7">
        <f t="shared" si="14"/>
        <v>1.0469004627624257E-24</v>
      </c>
      <c r="O39" s="7">
        <v>38</v>
      </c>
      <c r="P39" s="52">
        <f>'הזנת נתונים'!A38</f>
        <v>428.66666666666902</v>
      </c>
      <c r="Q39" s="7">
        <f t="shared" si="6"/>
        <v>401.16666666666816</v>
      </c>
      <c r="R39" s="7">
        <f t="shared" si="6"/>
        <v>373.66666666666794</v>
      </c>
      <c r="S39" s="7">
        <f t="shared" si="15"/>
        <v>428.66666666666839</v>
      </c>
      <c r="T39" s="7">
        <f t="shared" si="16"/>
        <v>11.000000000000091</v>
      </c>
      <c r="U39" s="7">
        <f t="shared" si="17"/>
        <v>428.66666666666794</v>
      </c>
      <c r="V39" s="7">
        <f t="shared" si="18"/>
        <v>-1.0800249583553523E-12</v>
      </c>
      <c r="W39" s="7">
        <f t="shared" si="19"/>
        <v>1.1664539106704804E-24</v>
      </c>
      <c r="AC39" s="7">
        <v>38</v>
      </c>
      <c r="AD39" s="52">
        <f>'הזנת נתונים'!A38</f>
        <v>428.66666666666902</v>
      </c>
      <c r="AE39" s="7">
        <f t="shared" si="7"/>
        <v>395.66666666666816</v>
      </c>
      <c r="AF39" s="7">
        <f t="shared" si="7"/>
        <v>362.66666666666799</v>
      </c>
      <c r="AG39" s="7">
        <f t="shared" si="20"/>
        <v>428.66666666666833</v>
      </c>
      <c r="AH39" s="7">
        <f t="shared" si="21"/>
        <v>11.000000000000057</v>
      </c>
      <c r="AI39" s="7">
        <f t="shared" si="22"/>
        <v>428.66666666666794</v>
      </c>
      <c r="AJ39" s="7">
        <f t="shared" si="23"/>
        <v>-1.0800249583553523E-12</v>
      </c>
      <c r="AK39" s="7">
        <f t="shared" si="24"/>
        <v>1.1664539106704804E-24</v>
      </c>
      <c r="AQ39" s="7">
        <v>38</v>
      </c>
      <c r="AR39" s="52">
        <f>'הזנת נתונים'!A38</f>
        <v>428.66666666666902</v>
      </c>
      <c r="AS39" s="7">
        <f t="shared" si="9"/>
        <v>390.16666666666811</v>
      </c>
      <c r="AT39" s="7">
        <f t="shared" si="9"/>
        <v>351.66666666666788</v>
      </c>
      <c r="AU39" s="7">
        <f t="shared" si="25"/>
        <v>428.66666666666833</v>
      </c>
      <c r="AV39" s="7">
        <f t="shared" si="26"/>
        <v>11.000000000000066</v>
      </c>
      <c r="AW39" s="7">
        <f t="shared" si="27"/>
        <v>428.66666666666799</v>
      </c>
      <c r="AX39" s="7">
        <f t="shared" si="28"/>
        <v>-1.0231815394945443E-12</v>
      </c>
      <c r="AY39" s="7">
        <f t="shared" si="29"/>
        <v>1.0469004627624257E-24</v>
      </c>
      <c r="BE39" s="7">
        <v>38</v>
      </c>
      <c r="BF39" s="52">
        <f>'הזנת נתונים'!A38</f>
        <v>428.66666666666902</v>
      </c>
      <c r="BG39" s="7">
        <f t="shared" si="11"/>
        <v>384.66666666666811</v>
      </c>
      <c r="BH39" s="7">
        <f t="shared" si="11"/>
        <v>340.66666666666788</v>
      </c>
      <c r="BI39" s="7">
        <f t="shared" si="30"/>
        <v>428.66666666666833</v>
      </c>
      <c r="BJ39" s="7">
        <f t="shared" si="31"/>
        <v>11.000000000000057</v>
      </c>
      <c r="BK39" s="7">
        <f t="shared" si="32"/>
        <v>428.66666666666811</v>
      </c>
      <c r="BL39" s="7">
        <f t="shared" si="33"/>
        <v>-9.0949470177292824E-13</v>
      </c>
      <c r="BM39" s="7">
        <f t="shared" si="34"/>
        <v>8.2718061255302767E-25</v>
      </c>
    </row>
    <row r="40" spans="1:65" x14ac:dyDescent="0.25">
      <c r="A40" s="7">
        <v>39</v>
      </c>
      <c r="B40" s="52">
        <f>'הזנת נתונים'!A39</f>
        <v>439.66666666666902</v>
      </c>
      <c r="C40" s="7">
        <f t="shared" si="5"/>
        <v>417.66666666666845</v>
      </c>
      <c r="D40" s="7">
        <f t="shared" si="5"/>
        <v>395.66666666666816</v>
      </c>
      <c r="E40" s="7">
        <f t="shared" si="10"/>
        <v>439.66666666666873</v>
      </c>
      <c r="F40" s="7">
        <f t="shared" si="8"/>
        <v>11.000000000000142</v>
      </c>
      <c r="G40" s="7">
        <f t="shared" si="12"/>
        <v>439.66666666666845</v>
      </c>
      <c r="H40" s="7">
        <f t="shared" si="13"/>
        <v>-5.6843418860808015E-13</v>
      </c>
      <c r="I40" s="7">
        <f t="shared" si="14"/>
        <v>3.2311742677852644E-25</v>
      </c>
      <c r="O40" s="7">
        <v>39</v>
      </c>
      <c r="P40" s="52">
        <f>'הזנת נתונים'!A39</f>
        <v>439.66666666666902</v>
      </c>
      <c r="Q40" s="7">
        <f t="shared" si="6"/>
        <v>412.16666666666833</v>
      </c>
      <c r="R40" s="7">
        <f t="shared" si="6"/>
        <v>384.66666666666805</v>
      </c>
      <c r="S40" s="7">
        <f t="shared" si="15"/>
        <v>439.66666666666862</v>
      </c>
      <c r="T40" s="7">
        <f t="shared" si="16"/>
        <v>11.000000000000114</v>
      </c>
      <c r="U40" s="7">
        <f t="shared" si="17"/>
        <v>439.6666666666685</v>
      </c>
      <c r="V40" s="7">
        <f t="shared" si="18"/>
        <v>-5.1159076974727213E-13</v>
      </c>
      <c r="W40" s="7">
        <f t="shared" si="19"/>
        <v>2.6172511569060641E-25</v>
      </c>
      <c r="AC40" s="7">
        <v>39</v>
      </c>
      <c r="AD40" s="52">
        <f>'הזנת נתונים'!A39</f>
        <v>439.66666666666902</v>
      </c>
      <c r="AE40" s="7">
        <f t="shared" si="7"/>
        <v>406.66666666666828</v>
      </c>
      <c r="AF40" s="7">
        <f t="shared" si="7"/>
        <v>373.66666666666799</v>
      </c>
      <c r="AG40" s="7">
        <f t="shared" si="20"/>
        <v>439.66666666666856</v>
      </c>
      <c r="AH40" s="7">
        <f t="shared" si="21"/>
        <v>11.000000000000094</v>
      </c>
      <c r="AI40" s="7">
        <f t="shared" si="22"/>
        <v>439.66666666666839</v>
      </c>
      <c r="AJ40" s="7">
        <f t="shared" si="23"/>
        <v>-6.2527760746888816E-13</v>
      </c>
      <c r="AK40" s="7">
        <f t="shared" si="24"/>
        <v>3.9097208640201699E-25</v>
      </c>
      <c r="AQ40" s="7">
        <v>39</v>
      </c>
      <c r="AR40" s="52">
        <f>'הזנת נתונים'!A39</f>
        <v>439.66666666666902</v>
      </c>
      <c r="AS40" s="7">
        <f t="shared" si="9"/>
        <v>401.16666666666822</v>
      </c>
      <c r="AT40" s="7">
        <f t="shared" si="9"/>
        <v>362.66666666666805</v>
      </c>
      <c r="AU40" s="7">
        <f t="shared" si="25"/>
        <v>439.66666666666839</v>
      </c>
      <c r="AV40" s="7">
        <f t="shared" si="26"/>
        <v>11.000000000000048</v>
      </c>
      <c r="AW40" s="7">
        <f t="shared" si="27"/>
        <v>439.66666666666839</v>
      </c>
      <c r="AX40" s="7">
        <f t="shared" si="28"/>
        <v>-6.2527760746888816E-13</v>
      </c>
      <c r="AY40" s="7">
        <f t="shared" si="29"/>
        <v>3.9097208640201699E-25</v>
      </c>
      <c r="BE40" s="7">
        <v>39</v>
      </c>
      <c r="BF40" s="52">
        <f>'הזנת נתונים'!A39</f>
        <v>439.66666666666902</v>
      </c>
      <c r="BG40" s="7">
        <f t="shared" si="11"/>
        <v>395.66666666666816</v>
      </c>
      <c r="BH40" s="7">
        <f t="shared" si="11"/>
        <v>351.66666666666794</v>
      </c>
      <c r="BI40" s="7">
        <f t="shared" si="30"/>
        <v>439.66666666666839</v>
      </c>
      <c r="BJ40" s="7">
        <f t="shared" si="31"/>
        <v>11.000000000000057</v>
      </c>
      <c r="BK40" s="7">
        <f t="shared" si="32"/>
        <v>439.66666666666839</v>
      </c>
      <c r="BL40" s="7">
        <f t="shared" si="33"/>
        <v>-6.2527760746888816E-13</v>
      </c>
      <c r="BM40" s="7">
        <f t="shared" si="34"/>
        <v>3.9097208640201699E-25</v>
      </c>
    </row>
    <row r="41" spans="1:65" x14ac:dyDescent="0.25">
      <c r="A41" s="7">
        <v>40</v>
      </c>
      <c r="B41" s="52">
        <f>'הזנת נתונים'!A40</f>
        <v>450.66666666666902</v>
      </c>
      <c r="C41" s="7">
        <f t="shared" si="5"/>
        <v>428.66666666666862</v>
      </c>
      <c r="D41" s="7">
        <f t="shared" si="5"/>
        <v>406.66666666666822</v>
      </c>
      <c r="E41" s="7">
        <f t="shared" si="10"/>
        <v>450.66666666666902</v>
      </c>
      <c r="F41" s="7">
        <f t="shared" si="8"/>
        <v>11.000000000000199</v>
      </c>
      <c r="G41" s="7">
        <f t="shared" si="12"/>
        <v>450.6666666666689</v>
      </c>
      <c r="H41" s="7">
        <f t="shared" si="13"/>
        <v>0</v>
      </c>
      <c r="I41" s="7">
        <f t="shared" si="14"/>
        <v>0</v>
      </c>
      <c r="O41" s="7">
        <v>40</v>
      </c>
      <c r="P41" s="52">
        <f>'הזנת נתונים'!A40</f>
        <v>450.66666666666902</v>
      </c>
      <c r="Q41" s="7">
        <f t="shared" si="6"/>
        <v>423.1666666666685</v>
      </c>
      <c r="R41" s="7">
        <f t="shared" si="6"/>
        <v>395.66666666666811</v>
      </c>
      <c r="S41" s="7">
        <f t="shared" si="15"/>
        <v>450.6666666666689</v>
      </c>
      <c r="T41" s="7">
        <f t="shared" si="16"/>
        <v>11.00000000000016</v>
      </c>
      <c r="U41" s="7">
        <f t="shared" si="17"/>
        <v>450.66666666666873</v>
      </c>
      <c r="V41" s="7">
        <f t="shared" si="18"/>
        <v>0</v>
      </c>
      <c r="W41" s="7">
        <f t="shared" si="19"/>
        <v>0</v>
      </c>
      <c r="AC41" s="7">
        <v>40</v>
      </c>
      <c r="AD41" s="52">
        <f>'הזנת נתונים'!A40</f>
        <v>450.66666666666902</v>
      </c>
      <c r="AE41" s="7">
        <f t="shared" si="7"/>
        <v>417.66666666666839</v>
      </c>
      <c r="AF41" s="7">
        <f t="shared" si="7"/>
        <v>384.66666666666805</v>
      </c>
      <c r="AG41" s="7">
        <f t="shared" si="20"/>
        <v>450.66666666666873</v>
      </c>
      <c r="AH41" s="7">
        <f t="shared" si="21"/>
        <v>11.000000000000114</v>
      </c>
      <c r="AI41" s="7">
        <f t="shared" si="22"/>
        <v>450.66666666666868</v>
      </c>
      <c r="AJ41" s="7">
        <f t="shared" si="23"/>
        <v>0</v>
      </c>
      <c r="AK41" s="7">
        <f t="shared" si="24"/>
        <v>0</v>
      </c>
      <c r="AQ41" s="7">
        <v>40</v>
      </c>
      <c r="AR41" s="52">
        <f>'הזנת נתונים'!A40</f>
        <v>450.66666666666902</v>
      </c>
      <c r="AS41" s="7">
        <f t="shared" si="9"/>
        <v>412.16666666666833</v>
      </c>
      <c r="AT41" s="7">
        <f t="shared" si="9"/>
        <v>373.66666666666805</v>
      </c>
      <c r="AU41" s="7">
        <f t="shared" si="25"/>
        <v>450.66666666666862</v>
      </c>
      <c r="AV41" s="7">
        <f t="shared" si="26"/>
        <v>11.000000000000082</v>
      </c>
      <c r="AW41" s="7">
        <f t="shared" si="27"/>
        <v>450.66666666666845</v>
      </c>
      <c r="AX41" s="7">
        <f t="shared" si="28"/>
        <v>-5.6843418860808015E-13</v>
      </c>
      <c r="AY41" s="7">
        <f t="shared" si="29"/>
        <v>3.2311742677852644E-25</v>
      </c>
      <c r="BE41" s="7">
        <v>40</v>
      </c>
      <c r="BF41" s="52">
        <f>'הזנת נתונים'!A40</f>
        <v>450.66666666666902</v>
      </c>
      <c r="BG41" s="7">
        <f t="shared" si="11"/>
        <v>406.66666666666828</v>
      </c>
      <c r="BH41" s="7">
        <f t="shared" si="11"/>
        <v>362.66666666666799</v>
      </c>
      <c r="BI41" s="7">
        <f t="shared" si="30"/>
        <v>450.66666666666856</v>
      </c>
      <c r="BJ41" s="7">
        <f t="shared" si="31"/>
        <v>11.000000000000071</v>
      </c>
      <c r="BK41" s="7">
        <f t="shared" si="32"/>
        <v>450.66666666666845</v>
      </c>
      <c r="BL41" s="7">
        <f t="shared" si="33"/>
        <v>-5.6843418860808015E-13</v>
      </c>
      <c r="BM41" s="7">
        <f t="shared" si="34"/>
        <v>3.2311742677852644E-25</v>
      </c>
    </row>
    <row r="42" spans="1:65" x14ac:dyDescent="0.25">
      <c r="A42" s="7">
        <v>41</v>
      </c>
      <c r="B42" s="52">
        <f>'הזנת נתונים'!A41</f>
        <v>461.66666666666902</v>
      </c>
      <c r="C42" s="7">
        <f t="shared" si="5"/>
        <v>439.66666666666879</v>
      </c>
      <c r="D42" s="7">
        <f t="shared" si="5"/>
        <v>417.66666666666845</v>
      </c>
      <c r="E42" s="7">
        <f t="shared" si="10"/>
        <v>461.66666666666913</v>
      </c>
      <c r="F42" s="7">
        <f t="shared" ref="F42:F61" si="35">2*(C42-D42)/(K-1)</f>
        <v>11.000000000000171</v>
      </c>
      <c r="G42" s="7">
        <f t="shared" si="12"/>
        <v>461.66666666666924</v>
      </c>
      <c r="H42" s="7">
        <f t="shared" si="13"/>
        <v>0</v>
      </c>
      <c r="I42" s="7">
        <f t="shared" si="14"/>
        <v>0</v>
      </c>
      <c r="O42" s="7">
        <v>41</v>
      </c>
      <c r="P42" s="52">
        <f>'הזנת נתונים'!A41</f>
        <v>461.66666666666902</v>
      </c>
      <c r="Q42" s="7">
        <f t="shared" si="6"/>
        <v>434.16666666666862</v>
      </c>
      <c r="R42" s="7">
        <f t="shared" si="6"/>
        <v>406.66666666666828</v>
      </c>
      <c r="S42" s="7">
        <f t="shared" si="15"/>
        <v>461.66666666666896</v>
      </c>
      <c r="T42" s="7">
        <f t="shared" si="16"/>
        <v>11.000000000000137</v>
      </c>
      <c r="U42" s="7">
        <f t="shared" si="17"/>
        <v>461.66666666666907</v>
      </c>
      <c r="V42" s="7">
        <f t="shared" si="18"/>
        <v>0</v>
      </c>
      <c r="W42" s="7">
        <f t="shared" si="19"/>
        <v>0</v>
      </c>
      <c r="AC42" s="7">
        <v>41</v>
      </c>
      <c r="AD42" s="52">
        <f>'הזנת נתונים'!A41</f>
        <v>461.66666666666902</v>
      </c>
      <c r="AE42" s="7">
        <f t="shared" si="7"/>
        <v>428.6666666666685</v>
      </c>
      <c r="AF42" s="7">
        <f t="shared" si="7"/>
        <v>395.66666666666816</v>
      </c>
      <c r="AG42" s="7">
        <f t="shared" si="20"/>
        <v>461.66666666666885</v>
      </c>
      <c r="AH42" s="7">
        <f t="shared" si="21"/>
        <v>11.000000000000114</v>
      </c>
      <c r="AI42" s="7">
        <f t="shared" si="22"/>
        <v>461.66666666666885</v>
      </c>
      <c r="AJ42" s="7">
        <f t="shared" si="23"/>
        <v>0</v>
      </c>
      <c r="AK42" s="7">
        <f t="shared" si="24"/>
        <v>0</v>
      </c>
      <c r="AQ42" s="7">
        <v>41</v>
      </c>
      <c r="AR42" s="52">
        <f>'הזנת נתונים'!A41</f>
        <v>461.66666666666902</v>
      </c>
      <c r="AS42" s="7">
        <f t="shared" si="9"/>
        <v>423.16666666666845</v>
      </c>
      <c r="AT42" s="7">
        <f t="shared" si="9"/>
        <v>384.66666666666811</v>
      </c>
      <c r="AU42" s="7">
        <f t="shared" si="25"/>
        <v>461.66666666666879</v>
      </c>
      <c r="AV42" s="7">
        <f t="shared" si="26"/>
        <v>11.000000000000098</v>
      </c>
      <c r="AW42" s="7">
        <f t="shared" si="27"/>
        <v>461.66666666666868</v>
      </c>
      <c r="AX42" s="7">
        <f t="shared" si="28"/>
        <v>0</v>
      </c>
      <c r="AY42" s="7">
        <f t="shared" si="29"/>
        <v>0</v>
      </c>
      <c r="BE42" s="7">
        <v>41</v>
      </c>
      <c r="BF42" s="52">
        <f>'הזנת נתונים'!A41</f>
        <v>461.66666666666902</v>
      </c>
      <c r="BG42" s="7">
        <f t="shared" si="11"/>
        <v>417.66666666666839</v>
      </c>
      <c r="BH42" s="7">
        <f t="shared" si="11"/>
        <v>373.66666666666811</v>
      </c>
      <c r="BI42" s="7">
        <f t="shared" si="30"/>
        <v>461.66666666666868</v>
      </c>
      <c r="BJ42" s="7">
        <f t="shared" si="31"/>
        <v>11.000000000000071</v>
      </c>
      <c r="BK42" s="7">
        <f t="shared" si="32"/>
        <v>461.66666666666862</v>
      </c>
      <c r="BL42" s="7">
        <f t="shared" si="33"/>
        <v>0</v>
      </c>
      <c r="BM42" s="7">
        <f t="shared" si="34"/>
        <v>0</v>
      </c>
    </row>
    <row r="43" spans="1:65" x14ac:dyDescent="0.25">
      <c r="A43" s="7">
        <v>42</v>
      </c>
      <c r="B43" s="52">
        <f>'הזנת נתונים'!A42</f>
        <v>472.66666666666902</v>
      </c>
      <c r="C43" s="7">
        <f t="shared" si="5"/>
        <v>450.66666666666896</v>
      </c>
      <c r="D43" s="7">
        <f t="shared" si="5"/>
        <v>428.66666666666862</v>
      </c>
      <c r="E43" s="7">
        <f t="shared" si="10"/>
        <v>472.6666666666693</v>
      </c>
      <c r="F43" s="7">
        <f t="shared" si="35"/>
        <v>11.000000000000171</v>
      </c>
      <c r="G43" s="7">
        <f t="shared" si="12"/>
        <v>472.6666666666693</v>
      </c>
      <c r="H43" s="7">
        <f t="shared" si="13"/>
        <v>0</v>
      </c>
      <c r="I43" s="7">
        <f t="shared" si="14"/>
        <v>0</v>
      </c>
      <c r="O43" s="7">
        <v>42</v>
      </c>
      <c r="P43" s="52">
        <f>'הזנת נתונים'!A42</f>
        <v>472.66666666666902</v>
      </c>
      <c r="Q43" s="7">
        <f t="shared" si="6"/>
        <v>445.16666666666879</v>
      </c>
      <c r="R43" s="7">
        <f t="shared" si="6"/>
        <v>417.66666666666839</v>
      </c>
      <c r="S43" s="7">
        <f t="shared" si="15"/>
        <v>472.66666666666919</v>
      </c>
      <c r="T43" s="7">
        <f t="shared" si="16"/>
        <v>11.00000000000016</v>
      </c>
      <c r="U43" s="7">
        <f t="shared" si="17"/>
        <v>472.66666666666907</v>
      </c>
      <c r="V43" s="7">
        <f t="shared" si="18"/>
        <v>0</v>
      </c>
      <c r="W43" s="7">
        <f t="shared" si="19"/>
        <v>0</v>
      </c>
      <c r="AC43" s="7">
        <v>42</v>
      </c>
      <c r="AD43" s="52">
        <f>'הזנת נתונים'!A42</f>
        <v>472.66666666666902</v>
      </c>
      <c r="AE43" s="7">
        <f t="shared" si="7"/>
        <v>439.66666666666868</v>
      </c>
      <c r="AF43" s="7">
        <f t="shared" si="7"/>
        <v>406.66666666666828</v>
      </c>
      <c r="AG43" s="7">
        <f t="shared" si="20"/>
        <v>472.66666666666907</v>
      </c>
      <c r="AH43" s="7">
        <f t="shared" si="21"/>
        <v>11.000000000000133</v>
      </c>
      <c r="AI43" s="7">
        <f t="shared" si="22"/>
        <v>472.66666666666896</v>
      </c>
      <c r="AJ43" s="7">
        <f t="shared" si="23"/>
        <v>0</v>
      </c>
      <c r="AK43" s="7">
        <f t="shared" si="24"/>
        <v>0</v>
      </c>
      <c r="AQ43" s="7">
        <v>42</v>
      </c>
      <c r="AR43" s="52">
        <f>'הזנת נתונים'!A42</f>
        <v>472.66666666666902</v>
      </c>
      <c r="AS43" s="7">
        <f t="shared" si="9"/>
        <v>434.16666666666856</v>
      </c>
      <c r="AT43" s="7">
        <f t="shared" si="9"/>
        <v>395.66666666666822</v>
      </c>
      <c r="AU43" s="7">
        <f t="shared" si="25"/>
        <v>472.6666666666689</v>
      </c>
      <c r="AV43" s="7">
        <f t="shared" si="26"/>
        <v>11.000000000000098</v>
      </c>
      <c r="AW43" s="7">
        <f t="shared" si="27"/>
        <v>472.6666666666689</v>
      </c>
      <c r="AX43" s="7">
        <f t="shared" si="28"/>
        <v>0</v>
      </c>
      <c r="AY43" s="7">
        <f t="shared" si="29"/>
        <v>0</v>
      </c>
      <c r="BE43" s="7">
        <v>42</v>
      </c>
      <c r="BF43" s="52">
        <f>'הזנת נתונים'!A42</f>
        <v>472.66666666666902</v>
      </c>
      <c r="BG43" s="7">
        <f t="shared" si="11"/>
        <v>428.6666666666685</v>
      </c>
      <c r="BH43" s="7">
        <f t="shared" si="11"/>
        <v>384.66666666666811</v>
      </c>
      <c r="BI43" s="7">
        <f t="shared" si="30"/>
        <v>472.6666666666689</v>
      </c>
      <c r="BJ43" s="7">
        <f t="shared" si="31"/>
        <v>11.000000000000099</v>
      </c>
      <c r="BK43" s="7">
        <f t="shared" si="32"/>
        <v>472.66666666666873</v>
      </c>
      <c r="BL43" s="7">
        <f t="shared" si="33"/>
        <v>0</v>
      </c>
      <c r="BM43" s="7">
        <f t="shared" si="34"/>
        <v>0</v>
      </c>
    </row>
    <row r="44" spans="1:65" x14ac:dyDescent="0.25">
      <c r="A44" s="7">
        <v>43</v>
      </c>
      <c r="B44" s="52">
        <f>'הזנת נתונים'!A43</f>
        <v>483.66666666666902</v>
      </c>
      <c r="C44" s="7">
        <f t="shared" si="5"/>
        <v>461.66666666666896</v>
      </c>
      <c r="D44" s="7">
        <f t="shared" si="5"/>
        <v>439.66666666666879</v>
      </c>
      <c r="E44" s="7">
        <f t="shared" si="10"/>
        <v>483.66666666666913</v>
      </c>
      <c r="F44" s="7">
        <f t="shared" si="35"/>
        <v>11.000000000000085</v>
      </c>
      <c r="G44" s="7">
        <f t="shared" si="12"/>
        <v>483.66666666666947</v>
      </c>
      <c r="H44" s="7">
        <f t="shared" si="13"/>
        <v>4.5474735088646412E-13</v>
      </c>
      <c r="I44" s="7">
        <f t="shared" si="14"/>
        <v>2.0679515313825692E-25</v>
      </c>
      <c r="O44" s="7">
        <v>43</v>
      </c>
      <c r="P44" s="52">
        <f>'הזנת נתונים'!A43</f>
        <v>483.66666666666902</v>
      </c>
      <c r="Q44" s="7">
        <f t="shared" si="6"/>
        <v>456.16666666666896</v>
      </c>
      <c r="R44" s="7">
        <f t="shared" si="6"/>
        <v>428.6666666666685</v>
      </c>
      <c r="S44" s="7">
        <f t="shared" si="15"/>
        <v>483.66666666666941</v>
      </c>
      <c r="T44" s="7">
        <f t="shared" si="16"/>
        <v>11.000000000000181</v>
      </c>
      <c r="U44" s="7">
        <f t="shared" si="17"/>
        <v>483.66666666666936</v>
      </c>
      <c r="V44" s="7">
        <f t="shared" si="18"/>
        <v>0</v>
      </c>
      <c r="W44" s="7">
        <f t="shared" si="19"/>
        <v>0</v>
      </c>
      <c r="AC44" s="7">
        <v>43</v>
      </c>
      <c r="AD44" s="52">
        <f>'הזנת נתונים'!A43</f>
        <v>483.66666666666902</v>
      </c>
      <c r="AE44" s="7">
        <f t="shared" si="7"/>
        <v>450.66666666666879</v>
      </c>
      <c r="AF44" s="7">
        <f t="shared" si="7"/>
        <v>417.66666666666839</v>
      </c>
      <c r="AG44" s="7">
        <f t="shared" si="20"/>
        <v>483.66666666666919</v>
      </c>
      <c r="AH44" s="7">
        <f t="shared" si="21"/>
        <v>11.000000000000133</v>
      </c>
      <c r="AI44" s="7">
        <f t="shared" si="22"/>
        <v>483.66666666666919</v>
      </c>
      <c r="AJ44" s="7">
        <f t="shared" si="23"/>
        <v>0</v>
      </c>
      <c r="AK44" s="7">
        <f t="shared" si="24"/>
        <v>0</v>
      </c>
      <c r="AQ44" s="7">
        <v>43</v>
      </c>
      <c r="AR44" s="52">
        <f>'הזנת נתונים'!A43</f>
        <v>483.66666666666902</v>
      </c>
      <c r="AS44" s="7">
        <f t="shared" si="9"/>
        <v>445.16666666666868</v>
      </c>
      <c r="AT44" s="7">
        <f t="shared" si="9"/>
        <v>406.66666666666833</v>
      </c>
      <c r="AU44" s="7">
        <f t="shared" si="25"/>
        <v>483.66666666666902</v>
      </c>
      <c r="AV44" s="7">
        <f t="shared" si="26"/>
        <v>11.000000000000098</v>
      </c>
      <c r="AW44" s="7">
        <f t="shared" si="27"/>
        <v>483.66666666666902</v>
      </c>
      <c r="AX44" s="7">
        <f t="shared" si="28"/>
        <v>0</v>
      </c>
      <c r="AY44" s="7">
        <f t="shared" si="29"/>
        <v>0</v>
      </c>
      <c r="BE44" s="7">
        <v>43</v>
      </c>
      <c r="BF44" s="52">
        <f>'הזנת נתונים'!A43</f>
        <v>483.66666666666902</v>
      </c>
      <c r="BG44" s="7">
        <f t="shared" si="11"/>
        <v>439.66666666666856</v>
      </c>
      <c r="BH44" s="7">
        <f t="shared" si="11"/>
        <v>395.66666666666816</v>
      </c>
      <c r="BI44" s="7">
        <f t="shared" si="30"/>
        <v>483.66666666666896</v>
      </c>
      <c r="BJ44" s="7">
        <f t="shared" si="31"/>
        <v>11.000000000000099</v>
      </c>
      <c r="BK44" s="7">
        <f t="shared" si="32"/>
        <v>483.66666666666902</v>
      </c>
      <c r="BL44" s="7">
        <f t="shared" si="33"/>
        <v>0</v>
      </c>
      <c r="BM44" s="7">
        <f t="shared" si="34"/>
        <v>0</v>
      </c>
    </row>
    <row r="45" spans="1:65" x14ac:dyDescent="0.25">
      <c r="A45" s="7">
        <v>44</v>
      </c>
      <c r="B45" s="52">
        <f>'הזנת נתונים'!A44</f>
        <v>494.66666666666902</v>
      </c>
      <c r="C45" s="7">
        <f t="shared" si="5"/>
        <v>472.66666666666896</v>
      </c>
      <c r="D45" s="7">
        <f t="shared" si="5"/>
        <v>450.6666666666689</v>
      </c>
      <c r="E45" s="7">
        <f t="shared" si="10"/>
        <v>494.66666666666902</v>
      </c>
      <c r="F45" s="7">
        <f t="shared" si="35"/>
        <v>11.000000000000028</v>
      </c>
      <c r="G45" s="7">
        <f t="shared" si="12"/>
        <v>494.66666666666924</v>
      </c>
      <c r="H45" s="7">
        <f t="shared" si="13"/>
        <v>0</v>
      </c>
      <c r="I45" s="7">
        <f t="shared" si="14"/>
        <v>0</v>
      </c>
      <c r="O45" s="7">
        <v>44</v>
      </c>
      <c r="P45" s="52">
        <f>'הזנת נתונים'!A44</f>
        <v>494.66666666666902</v>
      </c>
      <c r="Q45" s="7">
        <f t="shared" si="6"/>
        <v>467.16666666666896</v>
      </c>
      <c r="R45" s="7">
        <f t="shared" si="6"/>
        <v>439.66666666666862</v>
      </c>
      <c r="S45" s="7">
        <f t="shared" si="15"/>
        <v>494.6666666666693</v>
      </c>
      <c r="T45" s="7">
        <f t="shared" si="16"/>
        <v>11.000000000000137</v>
      </c>
      <c r="U45" s="7">
        <f t="shared" si="17"/>
        <v>494.66666666666958</v>
      </c>
      <c r="V45" s="7">
        <f t="shared" si="18"/>
        <v>5.6843418860808015E-13</v>
      </c>
      <c r="W45" s="7">
        <f t="shared" si="19"/>
        <v>3.2311742677852644E-25</v>
      </c>
      <c r="AC45" s="7">
        <v>44</v>
      </c>
      <c r="AD45" s="52">
        <f>'הזנת נתונים'!A44</f>
        <v>494.66666666666902</v>
      </c>
      <c r="AE45" s="7">
        <f t="shared" si="7"/>
        <v>461.6666666666689</v>
      </c>
      <c r="AF45" s="7">
        <f t="shared" si="7"/>
        <v>428.6666666666685</v>
      </c>
      <c r="AG45" s="7">
        <f t="shared" si="20"/>
        <v>494.6666666666693</v>
      </c>
      <c r="AH45" s="7">
        <f t="shared" si="21"/>
        <v>11.000000000000133</v>
      </c>
      <c r="AI45" s="7">
        <f t="shared" si="22"/>
        <v>494.6666666666693</v>
      </c>
      <c r="AJ45" s="7">
        <f t="shared" si="23"/>
        <v>0</v>
      </c>
      <c r="AK45" s="7">
        <f t="shared" si="24"/>
        <v>0</v>
      </c>
      <c r="AQ45" s="7">
        <v>44</v>
      </c>
      <c r="AR45" s="52">
        <f>'הזנת נתונים'!A44</f>
        <v>494.66666666666902</v>
      </c>
      <c r="AS45" s="7">
        <f t="shared" si="9"/>
        <v>456.16666666666879</v>
      </c>
      <c r="AT45" s="7">
        <f t="shared" si="9"/>
        <v>417.66666666666833</v>
      </c>
      <c r="AU45" s="7">
        <f t="shared" si="25"/>
        <v>494.66666666666924</v>
      </c>
      <c r="AV45" s="7">
        <f t="shared" si="26"/>
        <v>11.00000000000013</v>
      </c>
      <c r="AW45" s="7">
        <f t="shared" si="27"/>
        <v>494.66666666666913</v>
      </c>
      <c r="AX45" s="7">
        <f t="shared" si="28"/>
        <v>0</v>
      </c>
      <c r="AY45" s="7">
        <f t="shared" si="29"/>
        <v>0</v>
      </c>
      <c r="BE45" s="7">
        <v>44</v>
      </c>
      <c r="BF45" s="52">
        <f>'הזנת נתונים'!A44</f>
        <v>494.66666666666902</v>
      </c>
      <c r="BG45" s="7">
        <f t="shared" si="11"/>
        <v>450.66666666666868</v>
      </c>
      <c r="BH45" s="7">
        <f t="shared" si="11"/>
        <v>406.66666666666828</v>
      </c>
      <c r="BI45" s="7">
        <f t="shared" si="30"/>
        <v>494.66666666666907</v>
      </c>
      <c r="BJ45" s="7">
        <f t="shared" si="31"/>
        <v>11.000000000000099</v>
      </c>
      <c r="BK45" s="7">
        <f t="shared" si="32"/>
        <v>494.66666666666907</v>
      </c>
      <c r="BL45" s="7">
        <f t="shared" si="33"/>
        <v>0</v>
      </c>
      <c r="BM45" s="7">
        <f t="shared" si="34"/>
        <v>0</v>
      </c>
    </row>
    <row r="46" spans="1:65" x14ac:dyDescent="0.25">
      <c r="A46" s="7">
        <v>45</v>
      </c>
      <c r="B46" s="52">
        <f>'הזנת נתונים'!A45</f>
        <v>505.66666666666799</v>
      </c>
      <c r="C46" s="7">
        <f t="shared" si="5"/>
        <v>483.66666666666879</v>
      </c>
      <c r="D46" s="7">
        <f t="shared" si="5"/>
        <v>461.66666666666896</v>
      </c>
      <c r="E46" s="7">
        <f t="shared" si="10"/>
        <v>505.66666666666862</v>
      </c>
      <c r="F46" s="7">
        <f t="shared" si="35"/>
        <v>10.999999999999915</v>
      </c>
      <c r="G46" s="7">
        <f t="shared" si="12"/>
        <v>505.66666666666902</v>
      </c>
      <c r="H46" s="7">
        <f t="shared" si="13"/>
        <v>1.0231815394945443E-12</v>
      </c>
      <c r="I46" s="7">
        <f t="shared" si="14"/>
        <v>1.0469004627624257E-24</v>
      </c>
      <c r="O46" s="7">
        <v>45</v>
      </c>
      <c r="P46" s="52">
        <f>'הזנת נתונים'!A45</f>
        <v>505.66666666666799</v>
      </c>
      <c r="Q46" s="7">
        <f t="shared" si="6"/>
        <v>478.16666666666879</v>
      </c>
      <c r="R46" s="7">
        <f t="shared" si="6"/>
        <v>450.66666666666879</v>
      </c>
      <c r="S46" s="7">
        <f t="shared" si="15"/>
        <v>505.66666666666879</v>
      </c>
      <c r="T46" s="7">
        <f t="shared" si="16"/>
        <v>11</v>
      </c>
      <c r="U46" s="7">
        <f t="shared" si="17"/>
        <v>505.66666666666941</v>
      </c>
      <c r="V46" s="7">
        <f t="shared" si="18"/>
        <v>1.4210854715202004E-12</v>
      </c>
      <c r="W46" s="7">
        <f t="shared" si="19"/>
        <v>2.0194839173657902E-24</v>
      </c>
      <c r="AC46" s="7">
        <v>45</v>
      </c>
      <c r="AD46" s="52">
        <f>'הזנת נתונים'!A45</f>
        <v>505.66666666666799</v>
      </c>
      <c r="AE46" s="7">
        <f t="shared" si="7"/>
        <v>472.66666666666879</v>
      </c>
      <c r="AF46" s="7">
        <f t="shared" si="7"/>
        <v>439.66666666666862</v>
      </c>
      <c r="AG46" s="7">
        <f t="shared" si="20"/>
        <v>505.66666666666896</v>
      </c>
      <c r="AH46" s="7">
        <f t="shared" si="21"/>
        <v>11.000000000000057</v>
      </c>
      <c r="AI46" s="7">
        <f t="shared" si="22"/>
        <v>505.66666666666941</v>
      </c>
      <c r="AJ46" s="7">
        <f t="shared" si="23"/>
        <v>1.4210854715202004E-12</v>
      </c>
      <c r="AK46" s="7">
        <f t="shared" si="24"/>
        <v>2.0194839173657902E-24</v>
      </c>
      <c r="AQ46" s="7">
        <v>45</v>
      </c>
      <c r="AR46" s="52">
        <f>'הזנת נתונים'!A45</f>
        <v>505.66666666666799</v>
      </c>
      <c r="AS46" s="7">
        <f t="shared" si="9"/>
        <v>467.16666666666879</v>
      </c>
      <c r="AT46" s="7">
        <f t="shared" si="9"/>
        <v>428.66666666666845</v>
      </c>
      <c r="AU46" s="7">
        <f t="shared" si="25"/>
        <v>505.66666666666913</v>
      </c>
      <c r="AV46" s="7">
        <f t="shared" si="26"/>
        <v>11.000000000000098</v>
      </c>
      <c r="AW46" s="7">
        <f t="shared" si="27"/>
        <v>505.66666666666936</v>
      </c>
      <c r="AX46" s="7">
        <f t="shared" si="28"/>
        <v>1.3642420526593924E-12</v>
      </c>
      <c r="AY46" s="7">
        <f t="shared" si="29"/>
        <v>1.8611563782443123E-24</v>
      </c>
      <c r="BE46" s="7">
        <v>45</v>
      </c>
      <c r="BF46" s="52">
        <f>'הזנת נתונים'!A45</f>
        <v>505.66666666666799</v>
      </c>
      <c r="BG46" s="7">
        <f t="shared" si="11"/>
        <v>461.66666666666868</v>
      </c>
      <c r="BH46" s="7">
        <f t="shared" si="11"/>
        <v>417.66666666666839</v>
      </c>
      <c r="BI46" s="7">
        <f t="shared" si="30"/>
        <v>505.66666666666896</v>
      </c>
      <c r="BJ46" s="7">
        <f t="shared" si="31"/>
        <v>11.000000000000071</v>
      </c>
      <c r="BK46" s="7">
        <f t="shared" si="32"/>
        <v>505.66666666666919</v>
      </c>
      <c r="BL46" s="7">
        <f t="shared" si="33"/>
        <v>1.1937117960769683E-12</v>
      </c>
      <c r="BM46" s="7">
        <f t="shared" si="34"/>
        <v>1.4249478520933016E-24</v>
      </c>
    </row>
    <row r="47" spans="1:65" x14ac:dyDescent="0.25">
      <c r="A47" s="7">
        <v>46</v>
      </c>
      <c r="B47" s="52">
        <f>'הזנת נתונים'!A46</f>
        <v>516.66666666666902</v>
      </c>
      <c r="C47" s="7">
        <f t="shared" si="5"/>
        <v>494.66666666666879</v>
      </c>
      <c r="D47" s="7">
        <f t="shared" si="5"/>
        <v>472.6666666666689</v>
      </c>
      <c r="E47" s="7">
        <f t="shared" si="10"/>
        <v>516.66666666666868</v>
      </c>
      <c r="F47" s="7">
        <f t="shared" si="35"/>
        <v>10.999999999999943</v>
      </c>
      <c r="G47" s="7">
        <f t="shared" si="12"/>
        <v>516.66666666666856</v>
      </c>
      <c r="H47" s="7">
        <f t="shared" si="13"/>
        <v>0</v>
      </c>
      <c r="I47" s="7">
        <f t="shared" si="14"/>
        <v>0</v>
      </c>
      <c r="O47" s="7">
        <v>46</v>
      </c>
      <c r="P47" s="52">
        <f>'הזנת נתונים'!A46</f>
        <v>516.66666666666902</v>
      </c>
      <c r="Q47" s="7">
        <f t="shared" si="6"/>
        <v>489.16666666666879</v>
      </c>
      <c r="R47" s="7">
        <f t="shared" si="6"/>
        <v>461.66666666666879</v>
      </c>
      <c r="S47" s="7">
        <f t="shared" si="15"/>
        <v>516.66666666666879</v>
      </c>
      <c r="T47" s="7">
        <f t="shared" si="16"/>
        <v>11</v>
      </c>
      <c r="U47" s="7">
        <f t="shared" si="17"/>
        <v>516.66666666666879</v>
      </c>
      <c r="V47" s="7">
        <f t="shared" si="18"/>
        <v>0</v>
      </c>
      <c r="W47" s="7">
        <f t="shared" si="19"/>
        <v>0</v>
      </c>
      <c r="AC47" s="7">
        <v>46</v>
      </c>
      <c r="AD47" s="52">
        <f>'הזנת נתונים'!A46</f>
        <v>516.66666666666902</v>
      </c>
      <c r="AE47" s="7">
        <f t="shared" si="7"/>
        <v>483.66666666666879</v>
      </c>
      <c r="AF47" s="7">
        <f t="shared" si="7"/>
        <v>450.66666666666868</v>
      </c>
      <c r="AG47" s="7">
        <f t="shared" si="20"/>
        <v>516.6666666666689</v>
      </c>
      <c r="AH47" s="7">
        <f t="shared" si="21"/>
        <v>11.000000000000037</v>
      </c>
      <c r="AI47" s="7">
        <f t="shared" si="22"/>
        <v>516.66666666666902</v>
      </c>
      <c r="AJ47" s="7">
        <f t="shared" si="23"/>
        <v>0</v>
      </c>
      <c r="AK47" s="7">
        <f t="shared" si="24"/>
        <v>0</v>
      </c>
      <c r="AQ47" s="7">
        <v>46</v>
      </c>
      <c r="AR47" s="52">
        <f>'הזנת נתונים'!A46</f>
        <v>516.66666666666902</v>
      </c>
      <c r="AS47" s="7">
        <f t="shared" si="9"/>
        <v>478.16666666666879</v>
      </c>
      <c r="AT47" s="7">
        <f t="shared" si="9"/>
        <v>439.66666666666856</v>
      </c>
      <c r="AU47" s="7">
        <f t="shared" si="25"/>
        <v>516.66666666666902</v>
      </c>
      <c r="AV47" s="7">
        <f t="shared" si="26"/>
        <v>11.000000000000066</v>
      </c>
      <c r="AW47" s="7">
        <f t="shared" si="27"/>
        <v>516.66666666666924</v>
      </c>
      <c r="AX47" s="7">
        <f t="shared" si="28"/>
        <v>0</v>
      </c>
      <c r="AY47" s="7">
        <f t="shared" si="29"/>
        <v>0</v>
      </c>
      <c r="BE47" s="7">
        <v>46</v>
      </c>
      <c r="BF47" s="52">
        <f>'הזנת נתונים'!A46</f>
        <v>516.66666666666902</v>
      </c>
      <c r="BG47" s="7">
        <f t="shared" si="11"/>
        <v>472.66666666666879</v>
      </c>
      <c r="BH47" s="7">
        <f t="shared" si="11"/>
        <v>428.6666666666685</v>
      </c>
      <c r="BI47" s="7">
        <f t="shared" si="30"/>
        <v>516.66666666666902</v>
      </c>
      <c r="BJ47" s="7">
        <f t="shared" si="31"/>
        <v>11.000000000000071</v>
      </c>
      <c r="BK47" s="7">
        <f t="shared" si="32"/>
        <v>516.66666666666902</v>
      </c>
      <c r="BL47" s="7">
        <f t="shared" si="33"/>
        <v>0</v>
      </c>
      <c r="BM47" s="7">
        <f t="shared" si="34"/>
        <v>0</v>
      </c>
    </row>
    <row r="48" spans="1:65" x14ac:dyDescent="0.25">
      <c r="A48" s="7">
        <v>47</v>
      </c>
      <c r="B48" s="52">
        <f>'הזנת נתונים'!A47</f>
        <v>527.66666666666902</v>
      </c>
      <c r="C48" s="7">
        <f t="shared" si="5"/>
        <v>505.66666666666879</v>
      </c>
      <c r="D48" s="7">
        <f t="shared" si="5"/>
        <v>483.6666666666689</v>
      </c>
      <c r="E48" s="7">
        <f t="shared" si="10"/>
        <v>527.66666666666868</v>
      </c>
      <c r="F48" s="7">
        <f t="shared" si="35"/>
        <v>10.999999999999943</v>
      </c>
      <c r="G48" s="7">
        <f t="shared" si="12"/>
        <v>527.66666666666856</v>
      </c>
      <c r="H48" s="7">
        <f t="shared" si="13"/>
        <v>0</v>
      </c>
      <c r="I48" s="7">
        <f t="shared" si="14"/>
        <v>0</v>
      </c>
      <c r="O48" s="7">
        <v>47</v>
      </c>
      <c r="P48" s="52">
        <f>'הזנת נתונים'!A47</f>
        <v>527.66666666666902</v>
      </c>
      <c r="Q48" s="7">
        <f t="shared" si="6"/>
        <v>500.16666666666879</v>
      </c>
      <c r="R48" s="7">
        <f t="shared" si="6"/>
        <v>472.66666666666885</v>
      </c>
      <c r="S48" s="7">
        <f t="shared" si="15"/>
        <v>527.66666666666879</v>
      </c>
      <c r="T48" s="7">
        <f t="shared" si="16"/>
        <v>10.999999999999977</v>
      </c>
      <c r="U48" s="7">
        <f t="shared" si="17"/>
        <v>527.66666666666879</v>
      </c>
      <c r="V48" s="7">
        <f t="shared" si="18"/>
        <v>0</v>
      </c>
      <c r="W48" s="7">
        <f t="shared" si="19"/>
        <v>0</v>
      </c>
      <c r="AC48" s="7">
        <v>47</v>
      </c>
      <c r="AD48" s="52">
        <f>'הזנת נתונים'!A47</f>
        <v>527.66666666666902</v>
      </c>
      <c r="AE48" s="7">
        <f t="shared" si="7"/>
        <v>494.66666666666879</v>
      </c>
      <c r="AF48" s="7">
        <f t="shared" si="7"/>
        <v>461.66666666666873</v>
      </c>
      <c r="AG48" s="7">
        <f t="shared" si="20"/>
        <v>527.66666666666879</v>
      </c>
      <c r="AH48" s="7">
        <f t="shared" si="21"/>
        <v>11.00000000000002</v>
      </c>
      <c r="AI48" s="7">
        <f t="shared" si="22"/>
        <v>527.6666666666689</v>
      </c>
      <c r="AJ48" s="7">
        <f t="shared" si="23"/>
        <v>0</v>
      </c>
      <c r="AK48" s="7">
        <f t="shared" si="24"/>
        <v>0</v>
      </c>
      <c r="AQ48" s="7">
        <v>47</v>
      </c>
      <c r="AR48" s="52">
        <f>'הזנת נתונים'!A47</f>
        <v>527.66666666666902</v>
      </c>
      <c r="AS48" s="7">
        <f t="shared" si="9"/>
        <v>489.16666666666879</v>
      </c>
      <c r="AT48" s="7">
        <f t="shared" si="9"/>
        <v>450.66666666666868</v>
      </c>
      <c r="AU48" s="7">
        <f t="shared" si="25"/>
        <v>527.6666666666689</v>
      </c>
      <c r="AV48" s="7">
        <f t="shared" si="26"/>
        <v>11.000000000000032</v>
      </c>
      <c r="AW48" s="7">
        <f t="shared" si="27"/>
        <v>527.66666666666913</v>
      </c>
      <c r="AX48" s="7">
        <f t="shared" si="28"/>
        <v>0</v>
      </c>
      <c r="AY48" s="7">
        <f t="shared" si="29"/>
        <v>0</v>
      </c>
      <c r="BE48" s="7">
        <v>47</v>
      </c>
      <c r="BF48" s="52">
        <f>'הזנת נתונים'!A47</f>
        <v>527.66666666666902</v>
      </c>
      <c r="BG48" s="7">
        <f t="shared" si="11"/>
        <v>483.66666666666879</v>
      </c>
      <c r="BH48" s="7">
        <f t="shared" si="11"/>
        <v>439.66666666666856</v>
      </c>
      <c r="BI48" s="7">
        <f t="shared" si="30"/>
        <v>527.66666666666902</v>
      </c>
      <c r="BJ48" s="7">
        <f t="shared" si="31"/>
        <v>11.000000000000057</v>
      </c>
      <c r="BK48" s="7">
        <f t="shared" si="32"/>
        <v>527.66666666666913</v>
      </c>
      <c r="BL48" s="7">
        <f t="shared" si="33"/>
        <v>0</v>
      </c>
      <c r="BM48" s="7">
        <f t="shared" si="34"/>
        <v>0</v>
      </c>
    </row>
    <row r="49" spans="1:69" x14ac:dyDescent="0.25">
      <c r="A49" s="7">
        <v>48</v>
      </c>
      <c r="B49" s="52">
        <f>'הזנת נתונים'!A48</f>
        <v>538.66666666666902</v>
      </c>
      <c r="C49" s="7">
        <f t="shared" si="5"/>
        <v>516.66666666666879</v>
      </c>
      <c r="D49" s="7">
        <f t="shared" si="5"/>
        <v>494.66666666666879</v>
      </c>
      <c r="E49" s="7">
        <f t="shared" si="10"/>
        <v>538.66666666666879</v>
      </c>
      <c r="F49" s="7">
        <f t="shared" si="35"/>
        <v>11</v>
      </c>
      <c r="G49" s="7">
        <f t="shared" si="12"/>
        <v>538.66666666666856</v>
      </c>
      <c r="H49" s="7">
        <f t="shared" si="13"/>
        <v>0</v>
      </c>
      <c r="I49" s="7">
        <f t="shared" si="14"/>
        <v>0</v>
      </c>
      <c r="O49" s="7">
        <v>48</v>
      </c>
      <c r="P49" s="52">
        <f>'הזנת נתונים'!A48</f>
        <v>538.66666666666902</v>
      </c>
      <c r="Q49" s="7">
        <f t="shared" si="6"/>
        <v>511.16666666666879</v>
      </c>
      <c r="R49" s="7">
        <f t="shared" si="6"/>
        <v>483.66666666666885</v>
      </c>
      <c r="S49" s="7">
        <f t="shared" si="15"/>
        <v>538.66666666666879</v>
      </c>
      <c r="T49" s="7">
        <f t="shared" si="16"/>
        <v>10.999999999999977</v>
      </c>
      <c r="U49" s="7">
        <f t="shared" si="17"/>
        <v>538.66666666666879</v>
      </c>
      <c r="V49" s="7">
        <f t="shared" si="18"/>
        <v>0</v>
      </c>
      <c r="W49" s="7">
        <f t="shared" si="19"/>
        <v>0</v>
      </c>
      <c r="AC49" s="7">
        <v>48</v>
      </c>
      <c r="AD49" s="52">
        <f>'הזנת נתונים'!A48</f>
        <v>538.66666666666902</v>
      </c>
      <c r="AE49" s="7">
        <f t="shared" si="7"/>
        <v>505.66666666666879</v>
      </c>
      <c r="AF49" s="7">
        <f t="shared" si="7"/>
        <v>472.66666666666879</v>
      </c>
      <c r="AG49" s="7">
        <f t="shared" si="20"/>
        <v>538.66666666666879</v>
      </c>
      <c r="AH49" s="7">
        <f t="shared" si="21"/>
        <v>11</v>
      </c>
      <c r="AI49" s="7">
        <f t="shared" si="22"/>
        <v>538.66666666666879</v>
      </c>
      <c r="AJ49" s="7">
        <f t="shared" si="23"/>
        <v>0</v>
      </c>
      <c r="AK49" s="7">
        <f t="shared" si="24"/>
        <v>0</v>
      </c>
      <c r="AQ49" s="7">
        <v>48</v>
      </c>
      <c r="AR49" s="52">
        <f>'הזנת נתונים'!A48</f>
        <v>538.66666666666902</v>
      </c>
      <c r="AS49" s="7">
        <f t="shared" si="9"/>
        <v>500.16666666666879</v>
      </c>
      <c r="AT49" s="7">
        <f t="shared" si="9"/>
        <v>461.66666666666868</v>
      </c>
      <c r="AU49" s="7">
        <f t="shared" si="25"/>
        <v>538.6666666666689</v>
      </c>
      <c r="AV49" s="7">
        <f t="shared" si="26"/>
        <v>11.000000000000032</v>
      </c>
      <c r="AW49" s="7">
        <f t="shared" si="27"/>
        <v>538.6666666666689</v>
      </c>
      <c r="AX49" s="7">
        <f t="shared" si="28"/>
        <v>0</v>
      </c>
      <c r="AY49" s="7">
        <f t="shared" si="29"/>
        <v>0</v>
      </c>
      <c r="BE49" s="7">
        <v>48</v>
      </c>
      <c r="BF49" s="52">
        <f>'הזנת נתונים'!A48</f>
        <v>538.66666666666902</v>
      </c>
      <c r="BG49" s="7">
        <f t="shared" si="11"/>
        <v>494.66666666666879</v>
      </c>
      <c r="BH49" s="7">
        <f t="shared" si="11"/>
        <v>450.66666666666862</v>
      </c>
      <c r="BI49" s="7">
        <f t="shared" si="30"/>
        <v>538.66666666666902</v>
      </c>
      <c r="BJ49" s="7">
        <f t="shared" si="31"/>
        <v>11.000000000000043</v>
      </c>
      <c r="BK49" s="7">
        <f t="shared" si="32"/>
        <v>538.66666666666902</v>
      </c>
      <c r="BL49" s="7">
        <f t="shared" si="33"/>
        <v>0</v>
      </c>
      <c r="BM49" s="7">
        <f t="shared" si="34"/>
        <v>0</v>
      </c>
    </row>
    <row r="50" spans="1:69" x14ac:dyDescent="0.25">
      <c r="A50" s="7">
        <v>49</v>
      </c>
      <c r="B50" s="52">
        <f>'הזנת נתונים'!A49</f>
        <v>549.66666666666902</v>
      </c>
      <c r="C50" s="7">
        <f t="shared" si="5"/>
        <v>527.66666666666879</v>
      </c>
      <c r="D50" s="7">
        <f t="shared" si="5"/>
        <v>505.66666666666879</v>
      </c>
      <c r="E50" s="7">
        <f t="shared" si="10"/>
        <v>549.66666666666879</v>
      </c>
      <c r="F50" s="7">
        <f t="shared" si="35"/>
        <v>11</v>
      </c>
      <c r="G50" s="7">
        <f t="shared" si="12"/>
        <v>549.66666666666879</v>
      </c>
      <c r="H50" s="7">
        <f t="shared" si="13"/>
        <v>0</v>
      </c>
      <c r="I50" s="7">
        <f t="shared" si="14"/>
        <v>0</v>
      </c>
      <c r="O50" s="7">
        <v>49</v>
      </c>
      <c r="P50" s="52">
        <f>'הזנת נתונים'!A49</f>
        <v>549.66666666666902</v>
      </c>
      <c r="Q50" s="7">
        <f t="shared" si="6"/>
        <v>522.16666666666879</v>
      </c>
      <c r="R50" s="7">
        <f t="shared" si="6"/>
        <v>494.66666666666879</v>
      </c>
      <c r="S50" s="7">
        <f t="shared" si="15"/>
        <v>549.66666666666879</v>
      </c>
      <c r="T50" s="7">
        <f t="shared" si="16"/>
        <v>11</v>
      </c>
      <c r="U50" s="7">
        <f t="shared" si="17"/>
        <v>549.66666666666879</v>
      </c>
      <c r="V50" s="7">
        <f t="shared" si="18"/>
        <v>0</v>
      </c>
      <c r="W50" s="7">
        <f t="shared" si="19"/>
        <v>0</v>
      </c>
      <c r="AC50" s="7">
        <v>49</v>
      </c>
      <c r="AD50" s="52">
        <f>'הזנת נתונים'!A49</f>
        <v>549.66666666666902</v>
      </c>
      <c r="AE50" s="7">
        <f t="shared" si="7"/>
        <v>516.66666666666879</v>
      </c>
      <c r="AF50" s="7">
        <f t="shared" si="7"/>
        <v>483.66666666666879</v>
      </c>
      <c r="AG50" s="7">
        <f t="shared" si="20"/>
        <v>549.66666666666879</v>
      </c>
      <c r="AH50" s="7">
        <f t="shared" si="21"/>
        <v>11</v>
      </c>
      <c r="AI50" s="7">
        <f t="shared" si="22"/>
        <v>549.66666666666879</v>
      </c>
      <c r="AJ50" s="7">
        <f t="shared" si="23"/>
        <v>0</v>
      </c>
      <c r="AK50" s="7">
        <f t="shared" si="24"/>
        <v>0</v>
      </c>
      <c r="AQ50" s="7">
        <v>49</v>
      </c>
      <c r="AR50" s="52">
        <f>'הזנת נתונים'!A49</f>
        <v>549.66666666666902</v>
      </c>
      <c r="AS50" s="7">
        <f t="shared" si="9"/>
        <v>511.16666666666879</v>
      </c>
      <c r="AT50" s="7">
        <f t="shared" si="9"/>
        <v>472.66666666666873</v>
      </c>
      <c r="AU50" s="7">
        <f t="shared" si="25"/>
        <v>549.66666666666879</v>
      </c>
      <c r="AV50" s="7">
        <f t="shared" si="26"/>
        <v>11.000000000000016</v>
      </c>
      <c r="AW50" s="7">
        <f t="shared" si="27"/>
        <v>549.6666666666689</v>
      </c>
      <c r="AX50" s="7">
        <f t="shared" si="28"/>
        <v>0</v>
      </c>
      <c r="AY50" s="7">
        <f t="shared" si="29"/>
        <v>0</v>
      </c>
      <c r="BE50" s="7">
        <v>49</v>
      </c>
      <c r="BF50" s="52">
        <f>'הזנת נתונים'!A49</f>
        <v>549.66666666666902</v>
      </c>
      <c r="BG50" s="7">
        <f t="shared" si="11"/>
        <v>505.66666666666879</v>
      </c>
      <c r="BH50" s="7">
        <f t="shared" si="11"/>
        <v>461.66666666666868</v>
      </c>
      <c r="BI50" s="7">
        <f t="shared" si="30"/>
        <v>549.6666666666689</v>
      </c>
      <c r="BJ50" s="7">
        <f t="shared" si="31"/>
        <v>11.000000000000028</v>
      </c>
      <c r="BK50" s="7">
        <f t="shared" si="32"/>
        <v>549.66666666666902</v>
      </c>
      <c r="BL50" s="7">
        <f t="shared" si="33"/>
        <v>0</v>
      </c>
      <c r="BM50" s="7">
        <f t="shared" si="34"/>
        <v>0</v>
      </c>
    </row>
    <row r="51" spans="1:69" x14ac:dyDescent="0.25">
      <c r="A51" s="7">
        <v>50</v>
      </c>
      <c r="B51" s="52">
        <f>'הזנת נתונים'!A50</f>
        <v>560.66666666666902</v>
      </c>
      <c r="C51" s="7">
        <f t="shared" si="5"/>
        <v>538.66666666666902</v>
      </c>
      <c r="D51" s="7">
        <f t="shared" si="5"/>
        <v>516.66666666666879</v>
      </c>
      <c r="E51" s="7">
        <f t="shared" si="10"/>
        <v>560.66666666666924</v>
      </c>
      <c r="F51" s="7">
        <f t="shared" si="35"/>
        <v>11.000000000000114</v>
      </c>
      <c r="G51" s="7">
        <f t="shared" si="12"/>
        <v>560.66666666666879</v>
      </c>
      <c r="H51" s="7">
        <f t="shared" si="13"/>
        <v>0</v>
      </c>
      <c r="I51" s="7">
        <f t="shared" si="14"/>
        <v>0</v>
      </c>
      <c r="O51" s="7">
        <v>50</v>
      </c>
      <c r="P51" s="52">
        <f>'הזנת נתונים'!A50</f>
        <v>560.66666666666902</v>
      </c>
      <c r="Q51" s="7">
        <f t="shared" si="6"/>
        <v>533.16666666666879</v>
      </c>
      <c r="R51" s="7">
        <f t="shared" si="6"/>
        <v>505.66666666666879</v>
      </c>
      <c r="S51" s="7">
        <f t="shared" si="15"/>
        <v>560.66666666666879</v>
      </c>
      <c r="T51" s="7">
        <f t="shared" si="16"/>
        <v>11</v>
      </c>
      <c r="U51" s="7">
        <f t="shared" si="17"/>
        <v>560.66666666666879</v>
      </c>
      <c r="V51" s="7">
        <f t="shared" si="18"/>
        <v>0</v>
      </c>
      <c r="W51" s="7">
        <f t="shared" si="19"/>
        <v>0</v>
      </c>
      <c r="AC51" s="7">
        <v>50</v>
      </c>
      <c r="AD51" s="52">
        <f>'הזנת נתונים'!A50</f>
        <v>560.66666666666902</v>
      </c>
      <c r="AE51" s="7">
        <f t="shared" si="7"/>
        <v>527.66666666666879</v>
      </c>
      <c r="AF51" s="7">
        <f t="shared" si="7"/>
        <v>494.66666666666879</v>
      </c>
      <c r="AG51" s="7">
        <f t="shared" si="20"/>
        <v>560.66666666666879</v>
      </c>
      <c r="AH51" s="7">
        <f t="shared" si="21"/>
        <v>11</v>
      </c>
      <c r="AI51" s="7">
        <f t="shared" si="22"/>
        <v>560.66666666666879</v>
      </c>
      <c r="AJ51" s="7">
        <f t="shared" si="23"/>
        <v>0</v>
      </c>
      <c r="AK51" s="7">
        <f t="shared" si="24"/>
        <v>0</v>
      </c>
      <c r="AQ51" s="7">
        <v>50</v>
      </c>
      <c r="AR51" s="52">
        <f>'הזנת נתונים'!A50</f>
        <v>560.66666666666902</v>
      </c>
      <c r="AS51" s="7">
        <f t="shared" si="9"/>
        <v>522.16666666666879</v>
      </c>
      <c r="AT51" s="7">
        <f t="shared" si="9"/>
        <v>483.66666666666879</v>
      </c>
      <c r="AU51" s="7">
        <f t="shared" si="25"/>
        <v>560.66666666666879</v>
      </c>
      <c r="AV51" s="7">
        <f t="shared" si="26"/>
        <v>11</v>
      </c>
      <c r="AW51" s="7">
        <f t="shared" si="27"/>
        <v>560.66666666666879</v>
      </c>
      <c r="AX51" s="7">
        <f t="shared" si="28"/>
        <v>0</v>
      </c>
      <c r="AY51" s="7">
        <f t="shared" si="29"/>
        <v>0</v>
      </c>
      <c r="BE51" s="7">
        <v>50</v>
      </c>
      <c r="BF51" s="52">
        <f>'הזנת נתונים'!A50</f>
        <v>560.66666666666902</v>
      </c>
      <c r="BG51" s="7">
        <f t="shared" si="11"/>
        <v>516.66666666666879</v>
      </c>
      <c r="BH51" s="7">
        <f t="shared" si="11"/>
        <v>472.66666666666868</v>
      </c>
      <c r="BI51" s="7">
        <f t="shared" si="30"/>
        <v>560.6666666666689</v>
      </c>
      <c r="BJ51" s="7">
        <f t="shared" si="31"/>
        <v>11.000000000000028</v>
      </c>
      <c r="BK51" s="7">
        <f t="shared" si="32"/>
        <v>560.6666666666689</v>
      </c>
      <c r="BL51" s="7">
        <f t="shared" si="33"/>
        <v>0</v>
      </c>
      <c r="BM51" s="7">
        <f t="shared" si="34"/>
        <v>0</v>
      </c>
    </row>
    <row r="52" spans="1:69" x14ac:dyDescent="0.25">
      <c r="A52" s="7">
        <v>51</v>
      </c>
      <c r="B52" s="52">
        <f>'הזנת נתונים'!A51</f>
        <v>571.66666666666902</v>
      </c>
      <c r="C52" s="7">
        <f t="shared" si="5"/>
        <v>549.66666666666902</v>
      </c>
      <c r="D52" s="7">
        <f t="shared" si="5"/>
        <v>527.66666666666879</v>
      </c>
      <c r="E52" s="7">
        <f t="shared" si="10"/>
        <v>571.66666666666924</v>
      </c>
      <c r="F52" s="7">
        <f t="shared" si="35"/>
        <v>11.000000000000114</v>
      </c>
      <c r="G52" s="7">
        <f t="shared" si="12"/>
        <v>571.66666666666936</v>
      </c>
      <c r="H52" s="7">
        <f t="shared" si="13"/>
        <v>0</v>
      </c>
      <c r="I52" s="7">
        <f t="shared" si="14"/>
        <v>0</v>
      </c>
      <c r="O52" s="7">
        <v>51</v>
      </c>
      <c r="P52" s="52">
        <f>'הזנת נתונים'!A51</f>
        <v>571.66666666666902</v>
      </c>
      <c r="Q52" s="7">
        <f t="shared" si="6"/>
        <v>544.1666666666689</v>
      </c>
      <c r="R52" s="7">
        <f t="shared" si="6"/>
        <v>516.66666666666879</v>
      </c>
      <c r="S52" s="7">
        <f t="shared" si="15"/>
        <v>571.66666666666902</v>
      </c>
      <c r="T52" s="7">
        <f t="shared" si="16"/>
        <v>11.000000000000046</v>
      </c>
      <c r="U52" s="7">
        <f t="shared" si="17"/>
        <v>571.66666666666879</v>
      </c>
      <c r="V52" s="7">
        <f t="shared" si="18"/>
        <v>0</v>
      </c>
      <c r="W52" s="7">
        <f t="shared" si="19"/>
        <v>0</v>
      </c>
      <c r="AC52" s="7">
        <v>51</v>
      </c>
      <c r="AD52" s="52">
        <f>'הזנת נתונים'!A51</f>
        <v>571.66666666666902</v>
      </c>
      <c r="AE52" s="7">
        <f t="shared" si="7"/>
        <v>538.66666666666879</v>
      </c>
      <c r="AF52" s="7">
        <f t="shared" si="7"/>
        <v>505.66666666666879</v>
      </c>
      <c r="AG52" s="7">
        <f t="shared" si="20"/>
        <v>571.66666666666879</v>
      </c>
      <c r="AH52" s="7">
        <f t="shared" si="21"/>
        <v>11</v>
      </c>
      <c r="AI52" s="7">
        <f t="shared" si="22"/>
        <v>571.66666666666879</v>
      </c>
      <c r="AJ52" s="7">
        <f t="shared" si="23"/>
        <v>0</v>
      </c>
      <c r="AK52" s="7">
        <f t="shared" si="24"/>
        <v>0</v>
      </c>
      <c r="AQ52" s="7">
        <v>51</v>
      </c>
      <c r="AR52" s="52">
        <f>'הזנת נתונים'!A51</f>
        <v>571.66666666666902</v>
      </c>
      <c r="AS52" s="7">
        <f t="shared" si="9"/>
        <v>533.16666666666879</v>
      </c>
      <c r="AT52" s="7">
        <f t="shared" si="9"/>
        <v>494.66666666666879</v>
      </c>
      <c r="AU52" s="7">
        <f t="shared" si="25"/>
        <v>571.66666666666879</v>
      </c>
      <c r="AV52" s="7">
        <f t="shared" si="26"/>
        <v>11</v>
      </c>
      <c r="AW52" s="7">
        <f t="shared" si="27"/>
        <v>571.66666666666879</v>
      </c>
      <c r="AX52" s="7">
        <f t="shared" si="28"/>
        <v>0</v>
      </c>
      <c r="AY52" s="7">
        <f t="shared" si="29"/>
        <v>0</v>
      </c>
      <c r="BE52" s="7">
        <v>51</v>
      </c>
      <c r="BF52" s="52">
        <f>'הזנת נתונים'!A51</f>
        <v>571.66666666666902</v>
      </c>
      <c r="BG52" s="7">
        <f t="shared" si="11"/>
        <v>527.66666666666879</v>
      </c>
      <c r="BH52" s="7">
        <f t="shared" si="11"/>
        <v>483.66666666666868</v>
      </c>
      <c r="BI52" s="7">
        <f t="shared" si="30"/>
        <v>571.6666666666689</v>
      </c>
      <c r="BJ52" s="7">
        <f t="shared" si="31"/>
        <v>11.000000000000028</v>
      </c>
      <c r="BK52" s="7">
        <f t="shared" si="32"/>
        <v>571.6666666666689</v>
      </c>
      <c r="BL52" s="7">
        <f t="shared" si="33"/>
        <v>0</v>
      </c>
      <c r="BM52" s="7">
        <f t="shared" si="34"/>
        <v>0</v>
      </c>
    </row>
    <row r="53" spans="1:69" x14ac:dyDescent="0.25">
      <c r="A53" s="7">
        <v>52</v>
      </c>
      <c r="B53" s="52">
        <f>'הזנת נתונים'!A52</f>
        <v>582.66666666666902</v>
      </c>
      <c r="C53" s="7">
        <f t="shared" si="5"/>
        <v>560.66666666666902</v>
      </c>
      <c r="D53" s="7">
        <f t="shared" si="5"/>
        <v>538.66666666666902</v>
      </c>
      <c r="E53" s="7">
        <f t="shared" si="10"/>
        <v>582.66666666666902</v>
      </c>
      <c r="F53" s="7">
        <f t="shared" si="35"/>
        <v>11</v>
      </c>
      <c r="G53" s="7">
        <f t="shared" si="12"/>
        <v>582.66666666666936</v>
      </c>
      <c r="H53" s="7">
        <f t="shared" si="13"/>
        <v>0</v>
      </c>
      <c r="I53" s="7">
        <f t="shared" si="14"/>
        <v>0</v>
      </c>
      <c r="O53" s="7">
        <v>52</v>
      </c>
      <c r="P53" s="52">
        <f>'הזנת נתונים'!A52</f>
        <v>582.66666666666902</v>
      </c>
      <c r="Q53" s="7">
        <f t="shared" si="6"/>
        <v>555.1666666666689</v>
      </c>
      <c r="R53" s="7">
        <f t="shared" si="6"/>
        <v>527.66666666666879</v>
      </c>
      <c r="S53" s="7">
        <f t="shared" si="15"/>
        <v>582.66666666666902</v>
      </c>
      <c r="T53" s="7">
        <f t="shared" si="16"/>
        <v>11.000000000000046</v>
      </c>
      <c r="U53" s="7">
        <f t="shared" si="17"/>
        <v>582.66666666666902</v>
      </c>
      <c r="V53" s="7">
        <f t="shared" si="18"/>
        <v>0</v>
      </c>
      <c r="W53" s="7">
        <f t="shared" si="19"/>
        <v>0</v>
      </c>
      <c r="AC53" s="7">
        <v>52</v>
      </c>
      <c r="AD53" s="52">
        <f>'הזנת נתונים'!A52</f>
        <v>582.66666666666902</v>
      </c>
      <c r="AE53" s="7">
        <f t="shared" si="7"/>
        <v>549.6666666666689</v>
      </c>
      <c r="AF53" s="7">
        <f t="shared" si="7"/>
        <v>516.66666666666879</v>
      </c>
      <c r="AG53" s="7">
        <f t="shared" si="20"/>
        <v>582.66666666666902</v>
      </c>
      <c r="AH53" s="7">
        <f t="shared" si="21"/>
        <v>11.000000000000037</v>
      </c>
      <c r="AI53" s="7">
        <f t="shared" si="22"/>
        <v>582.66666666666879</v>
      </c>
      <c r="AJ53" s="7">
        <f t="shared" si="23"/>
        <v>0</v>
      </c>
      <c r="AK53" s="7">
        <f t="shared" si="24"/>
        <v>0</v>
      </c>
      <c r="AQ53" s="7">
        <v>52</v>
      </c>
      <c r="AR53" s="52">
        <f>'הזנת נתונים'!A52</f>
        <v>582.66666666666902</v>
      </c>
      <c r="AS53" s="7">
        <f t="shared" si="9"/>
        <v>544.16666666666879</v>
      </c>
      <c r="AT53" s="7">
        <f t="shared" si="9"/>
        <v>505.66666666666879</v>
      </c>
      <c r="AU53" s="7">
        <f t="shared" si="25"/>
        <v>582.66666666666879</v>
      </c>
      <c r="AV53" s="7">
        <f t="shared" si="26"/>
        <v>11</v>
      </c>
      <c r="AW53" s="7">
        <f t="shared" si="27"/>
        <v>582.66666666666879</v>
      </c>
      <c r="AX53" s="7">
        <f t="shared" si="28"/>
        <v>0</v>
      </c>
      <c r="AY53" s="7">
        <f t="shared" si="29"/>
        <v>0</v>
      </c>
      <c r="BE53" s="7">
        <v>52</v>
      </c>
      <c r="BF53" s="52">
        <f>'הזנת נתונים'!A52</f>
        <v>582.66666666666902</v>
      </c>
      <c r="BG53" s="7">
        <f t="shared" si="11"/>
        <v>538.66666666666879</v>
      </c>
      <c r="BH53" s="7">
        <f t="shared" si="11"/>
        <v>494.66666666666879</v>
      </c>
      <c r="BI53" s="7">
        <f t="shared" si="30"/>
        <v>582.66666666666879</v>
      </c>
      <c r="BJ53" s="7">
        <f t="shared" si="31"/>
        <v>11</v>
      </c>
      <c r="BK53" s="7">
        <f t="shared" si="32"/>
        <v>582.6666666666689</v>
      </c>
      <c r="BL53" s="7">
        <f t="shared" si="33"/>
        <v>0</v>
      </c>
      <c r="BM53" s="7">
        <f t="shared" si="34"/>
        <v>0</v>
      </c>
    </row>
    <row r="54" spans="1:69" x14ac:dyDescent="0.25">
      <c r="A54" s="7">
        <v>53</v>
      </c>
      <c r="B54" s="52">
        <f>'הזנת נתונים'!A53</f>
        <v>593.66666666666902</v>
      </c>
      <c r="C54" s="7">
        <f t="shared" si="5"/>
        <v>571.66666666666902</v>
      </c>
      <c r="D54" s="7">
        <f t="shared" si="5"/>
        <v>549.66666666666902</v>
      </c>
      <c r="E54" s="7">
        <f t="shared" si="10"/>
        <v>593.66666666666902</v>
      </c>
      <c r="F54" s="7">
        <f t="shared" si="35"/>
        <v>11</v>
      </c>
      <c r="G54" s="7">
        <f t="shared" si="12"/>
        <v>593.66666666666902</v>
      </c>
      <c r="H54" s="7">
        <f t="shared" si="13"/>
        <v>0</v>
      </c>
      <c r="I54" s="7">
        <f t="shared" si="14"/>
        <v>0</v>
      </c>
      <c r="O54" s="7">
        <v>53</v>
      </c>
      <c r="P54" s="52">
        <f>'הזנת נתונים'!A53</f>
        <v>593.66666666666902</v>
      </c>
      <c r="Q54" s="7">
        <f t="shared" si="6"/>
        <v>566.1666666666689</v>
      </c>
      <c r="R54" s="7">
        <f t="shared" si="6"/>
        <v>538.66666666666879</v>
      </c>
      <c r="S54" s="7">
        <f t="shared" si="15"/>
        <v>593.66666666666902</v>
      </c>
      <c r="T54" s="7">
        <f t="shared" si="16"/>
        <v>11.000000000000046</v>
      </c>
      <c r="U54" s="7">
        <f t="shared" si="17"/>
        <v>593.66666666666902</v>
      </c>
      <c r="V54" s="7">
        <f t="shared" si="18"/>
        <v>0</v>
      </c>
      <c r="W54" s="7">
        <f t="shared" si="19"/>
        <v>0</v>
      </c>
      <c r="AC54" s="7">
        <v>53</v>
      </c>
      <c r="AD54" s="52">
        <f>'הזנת נתונים'!A53</f>
        <v>593.66666666666902</v>
      </c>
      <c r="AE54" s="7">
        <f t="shared" si="7"/>
        <v>560.6666666666689</v>
      </c>
      <c r="AF54" s="7">
        <f t="shared" si="7"/>
        <v>527.66666666666879</v>
      </c>
      <c r="AG54" s="7">
        <f t="shared" si="20"/>
        <v>593.66666666666902</v>
      </c>
      <c r="AH54" s="7">
        <f t="shared" si="21"/>
        <v>11.000000000000037</v>
      </c>
      <c r="AI54" s="7">
        <f t="shared" si="22"/>
        <v>593.66666666666902</v>
      </c>
      <c r="AJ54" s="7">
        <f t="shared" si="23"/>
        <v>0</v>
      </c>
      <c r="AK54" s="7">
        <f t="shared" si="24"/>
        <v>0</v>
      </c>
      <c r="AQ54" s="7">
        <v>53</v>
      </c>
      <c r="AR54" s="52">
        <f>'הזנת נתונים'!A53</f>
        <v>593.66666666666902</v>
      </c>
      <c r="AS54" s="7">
        <f t="shared" si="9"/>
        <v>555.1666666666689</v>
      </c>
      <c r="AT54" s="7">
        <f t="shared" si="9"/>
        <v>516.66666666666879</v>
      </c>
      <c r="AU54" s="7">
        <f t="shared" si="25"/>
        <v>593.66666666666902</v>
      </c>
      <c r="AV54" s="7">
        <f t="shared" si="26"/>
        <v>11.000000000000032</v>
      </c>
      <c r="AW54" s="7">
        <f t="shared" si="27"/>
        <v>593.66666666666879</v>
      </c>
      <c r="AX54" s="7">
        <f t="shared" si="28"/>
        <v>0</v>
      </c>
      <c r="AY54" s="7">
        <f t="shared" si="29"/>
        <v>0</v>
      </c>
      <c r="BE54" s="7">
        <v>53</v>
      </c>
      <c r="BF54" s="52">
        <f>'הזנת נתונים'!A53</f>
        <v>593.66666666666902</v>
      </c>
      <c r="BG54" s="7">
        <f t="shared" si="11"/>
        <v>549.66666666666879</v>
      </c>
      <c r="BH54" s="7">
        <f t="shared" si="11"/>
        <v>505.66666666666879</v>
      </c>
      <c r="BI54" s="7">
        <f t="shared" si="30"/>
        <v>593.66666666666879</v>
      </c>
      <c r="BJ54" s="7">
        <f t="shared" si="31"/>
        <v>11</v>
      </c>
      <c r="BK54" s="7">
        <f t="shared" si="32"/>
        <v>593.66666666666879</v>
      </c>
      <c r="BL54" s="7">
        <f t="shared" si="33"/>
        <v>0</v>
      </c>
      <c r="BM54" s="7">
        <f t="shared" si="34"/>
        <v>0</v>
      </c>
    </row>
    <row r="55" spans="1:69" x14ac:dyDescent="0.25">
      <c r="A55" s="7">
        <v>54</v>
      </c>
      <c r="B55" s="52">
        <f>'הזנת נתונים'!A54</f>
        <v>604.66666666666902</v>
      </c>
      <c r="C55" s="7">
        <f t="shared" si="5"/>
        <v>582.66666666666902</v>
      </c>
      <c r="D55" s="7">
        <f t="shared" si="5"/>
        <v>560.66666666666902</v>
      </c>
      <c r="E55" s="7">
        <f t="shared" si="10"/>
        <v>604.66666666666902</v>
      </c>
      <c r="F55" s="7">
        <f t="shared" si="35"/>
        <v>11</v>
      </c>
      <c r="G55" s="7">
        <f t="shared" si="12"/>
        <v>604.66666666666902</v>
      </c>
      <c r="H55" s="7">
        <f t="shared" si="13"/>
        <v>0</v>
      </c>
      <c r="I55" s="7">
        <f t="shared" si="14"/>
        <v>0</v>
      </c>
      <c r="O55" s="7">
        <v>54</v>
      </c>
      <c r="P55" s="52">
        <f>'הזנת נתונים'!A54</f>
        <v>604.66666666666902</v>
      </c>
      <c r="Q55" s="7">
        <f t="shared" si="6"/>
        <v>577.1666666666689</v>
      </c>
      <c r="R55" s="7">
        <f t="shared" si="6"/>
        <v>549.66666666666879</v>
      </c>
      <c r="S55" s="7">
        <f t="shared" si="15"/>
        <v>604.66666666666902</v>
      </c>
      <c r="T55" s="7">
        <f t="shared" si="16"/>
        <v>11.000000000000046</v>
      </c>
      <c r="U55" s="7">
        <f t="shared" si="17"/>
        <v>604.66666666666902</v>
      </c>
      <c r="V55" s="7">
        <f t="shared" si="18"/>
        <v>0</v>
      </c>
      <c r="W55" s="7">
        <f t="shared" si="19"/>
        <v>0</v>
      </c>
      <c r="AC55" s="7">
        <v>54</v>
      </c>
      <c r="AD55" s="52">
        <f>'הזנת נתונים'!A54</f>
        <v>604.66666666666902</v>
      </c>
      <c r="AE55" s="7">
        <f t="shared" si="7"/>
        <v>571.6666666666689</v>
      </c>
      <c r="AF55" s="7">
        <f t="shared" si="7"/>
        <v>538.66666666666879</v>
      </c>
      <c r="AG55" s="7">
        <f t="shared" si="20"/>
        <v>604.66666666666902</v>
      </c>
      <c r="AH55" s="7">
        <f t="shared" si="21"/>
        <v>11.000000000000037</v>
      </c>
      <c r="AI55" s="7">
        <f t="shared" si="22"/>
        <v>604.66666666666902</v>
      </c>
      <c r="AJ55" s="7">
        <f t="shared" si="23"/>
        <v>0</v>
      </c>
      <c r="AK55" s="7">
        <f t="shared" si="24"/>
        <v>0</v>
      </c>
      <c r="AQ55" s="7">
        <v>54</v>
      </c>
      <c r="AR55" s="52">
        <f>'הזנת נתונים'!A54</f>
        <v>604.66666666666902</v>
      </c>
      <c r="AS55" s="7">
        <f t="shared" si="9"/>
        <v>566.1666666666689</v>
      </c>
      <c r="AT55" s="7">
        <f t="shared" si="9"/>
        <v>527.66666666666879</v>
      </c>
      <c r="AU55" s="7">
        <f t="shared" si="25"/>
        <v>604.66666666666902</v>
      </c>
      <c r="AV55" s="7">
        <f t="shared" si="26"/>
        <v>11.000000000000032</v>
      </c>
      <c r="AW55" s="7">
        <f t="shared" si="27"/>
        <v>604.66666666666902</v>
      </c>
      <c r="AX55" s="7">
        <f t="shared" si="28"/>
        <v>0</v>
      </c>
      <c r="AY55" s="7">
        <f t="shared" si="29"/>
        <v>0</v>
      </c>
      <c r="BE55" s="7">
        <v>54</v>
      </c>
      <c r="BF55" s="52">
        <f>'הזנת נתונים'!A54</f>
        <v>604.66666666666902</v>
      </c>
      <c r="BG55" s="7">
        <f t="shared" si="11"/>
        <v>560.6666666666689</v>
      </c>
      <c r="BH55" s="7">
        <f t="shared" si="11"/>
        <v>516.66666666666879</v>
      </c>
      <c r="BI55" s="7">
        <f t="shared" si="30"/>
        <v>604.66666666666902</v>
      </c>
      <c r="BJ55" s="7">
        <f t="shared" si="31"/>
        <v>11.000000000000028</v>
      </c>
      <c r="BK55" s="7">
        <f t="shared" si="32"/>
        <v>604.66666666666879</v>
      </c>
      <c r="BL55" s="7">
        <f t="shared" si="33"/>
        <v>0</v>
      </c>
      <c r="BM55" s="7">
        <f t="shared" si="34"/>
        <v>0</v>
      </c>
    </row>
    <row r="56" spans="1:69" x14ac:dyDescent="0.25">
      <c r="A56" s="7">
        <v>55</v>
      </c>
      <c r="B56" s="52">
        <f>'הזנת נתונים'!A55</f>
        <v>615.66666666666902</v>
      </c>
      <c r="C56" s="7">
        <f t="shared" si="5"/>
        <v>593.66666666666902</v>
      </c>
      <c r="D56" s="7">
        <f t="shared" si="5"/>
        <v>571.66666666666902</v>
      </c>
      <c r="E56" s="7">
        <f t="shared" si="10"/>
        <v>615.66666666666902</v>
      </c>
      <c r="F56" s="7">
        <f t="shared" si="35"/>
        <v>11</v>
      </c>
      <c r="G56" s="7">
        <f t="shared" si="12"/>
        <v>615.66666666666902</v>
      </c>
      <c r="H56" s="7">
        <f t="shared" si="13"/>
        <v>0</v>
      </c>
      <c r="I56" s="7">
        <f t="shared" si="14"/>
        <v>0</v>
      </c>
      <c r="O56" s="7">
        <v>55</v>
      </c>
      <c r="P56" s="52">
        <f>'הזנת נתונים'!A55</f>
        <v>615.66666666666902</v>
      </c>
      <c r="Q56" s="7">
        <f t="shared" si="6"/>
        <v>588.1666666666689</v>
      </c>
      <c r="R56" s="7">
        <f t="shared" si="6"/>
        <v>560.66666666666879</v>
      </c>
      <c r="S56" s="7">
        <f t="shared" si="15"/>
        <v>615.66666666666902</v>
      </c>
      <c r="T56" s="7">
        <f t="shared" si="16"/>
        <v>11.000000000000046</v>
      </c>
      <c r="U56" s="7">
        <f t="shared" si="17"/>
        <v>615.66666666666902</v>
      </c>
      <c r="V56" s="7">
        <f t="shared" si="18"/>
        <v>0</v>
      </c>
      <c r="W56" s="7">
        <f t="shared" si="19"/>
        <v>0</v>
      </c>
      <c r="AC56" s="7">
        <v>55</v>
      </c>
      <c r="AD56" s="52">
        <f>'הזנת נתונים'!A55</f>
        <v>615.66666666666902</v>
      </c>
      <c r="AE56" s="7">
        <f t="shared" si="7"/>
        <v>582.6666666666689</v>
      </c>
      <c r="AF56" s="7">
        <f t="shared" si="7"/>
        <v>549.66666666666879</v>
      </c>
      <c r="AG56" s="7">
        <f t="shared" si="20"/>
        <v>615.66666666666902</v>
      </c>
      <c r="AH56" s="7">
        <f t="shared" si="21"/>
        <v>11.000000000000037</v>
      </c>
      <c r="AI56" s="7">
        <f t="shared" si="22"/>
        <v>615.66666666666902</v>
      </c>
      <c r="AJ56" s="7">
        <f t="shared" si="23"/>
        <v>0</v>
      </c>
      <c r="AK56" s="7">
        <f t="shared" si="24"/>
        <v>0</v>
      </c>
      <c r="AQ56" s="7">
        <v>55</v>
      </c>
      <c r="AR56" s="52">
        <f>'הזנת נתונים'!A55</f>
        <v>615.66666666666902</v>
      </c>
      <c r="AS56" s="7">
        <f t="shared" si="9"/>
        <v>577.1666666666689</v>
      </c>
      <c r="AT56" s="7">
        <f t="shared" si="9"/>
        <v>538.66666666666879</v>
      </c>
      <c r="AU56" s="7">
        <f t="shared" si="25"/>
        <v>615.66666666666902</v>
      </c>
      <c r="AV56" s="7">
        <f t="shared" si="26"/>
        <v>11.000000000000032</v>
      </c>
      <c r="AW56" s="7">
        <f t="shared" si="27"/>
        <v>615.66666666666902</v>
      </c>
      <c r="AX56" s="7">
        <f t="shared" si="28"/>
        <v>0</v>
      </c>
      <c r="AY56" s="7">
        <f t="shared" si="29"/>
        <v>0</v>
      </c>
      <c r="BE56" s="7">
        <v>55</v>
      </c>
      <c r="BF56" s="52">
        <f>'הזנת נתונים'!A55</f>
        <v>615.66666666666902</v>
      </c>
      <c r="BG56" s="7">
        <f t="shared" si="11"/>
        <v>571.6666666666689</v>
      </c>
      <c r="BH56" s="7">
        <f t="shared" si="11"/>
        <v>527.66666666666879</v>
      </c>
      <c r="BI56" s="7">
        <f t="shared" si="30"/>
        <v>615.66666666666902</v>
      </c>
      <c r="BJ56" s="7">
        <f t="shared" si="31"/>
        <v>11.000000000000028</v>
      </c>
      <c r="BK56" s="7">
        <f t="shared" si="32"/>
        <v>615.66666666666902</v>
      </c>
      <c r="BL56" s="7">
        <f t="shared" si="33"/>
        <v>0</v>
      </c>
      <c r="BM56" s="7">
        <f t="shared" si="34"/>
        <v>0</v>
      </c>
    </row>
    <row r="57" spans="1:69" x14ac:dyDescent="0.25">
      <c r="A57" s="7">
        <v>56</v>
      </c>
      <c r="B57" s="52">
        <f>'הזנת נתונים'!A56</f>
        <v>626.66666666666902</v>
      </c>
      <c r="C57" s="7">
        <f t="shared" si="5"/>
        <v>604.66666666666902</v>
      </c>
      <c r="D57" s="7">
        <f t="shared" si="5"/>
        <v>582.66666666666902</v>
      </c>
      <c r="E57" s="7">
        <f t="shared" si="10"/>
        <v>626.66666666666902</v>
      </c>
      <c r="F57" s="7">
        <f t="shared" si="35"/>
        <v>11</v>
      </c>
      <c r="G57" s="7">
        <f t="shared" si="12"/>
        <v>626.66666666666902</v>
      </c>
      <c r="H57" s="7">
        <f t="shared" si="13"/>
        <v>0</v>
      </c>
      <c r="I57" s="7">
        <f t="shared" si="14"/>
        <v>0</v>
      </c>
      <c r="O57" s="7">
        <v>56</v>
      </c>
      <c r="P57" s="52">
        <f>'הזנת נתונים'!A56</f>
        <v>626.66666666666902</v>
      </c>
      <c r="Q57" s="7">
        <f t="shared" si="6"/>
        <v>599.1666666666689</v>
      </c>
      <c r="R57" s="7">
        <f t="shared" si="6"/>
        <v>571.6666666666689</v>
      </c>
      <c r="S57" s="7">
        <f t="shared" si="15"/>
        <v>626.6666666666689</v>
      </c>
      <c r="T57" s="7">
        <f t="shared" si="16"/>
        <v>11</v>
      </c>
      <c r="U57" s="7">
        <f t="shared" si="17"/>
        <v>626.66666666666902</v>
      </c>
      <c r="V57" s="7">
        <f t="shared" si="18"/>
        <v>0</v>
      </c>
      <c r="W57" s="7">
        <f t="shared" si="19"/>
        <v>0</v>
      </c>
      <c r="AC57" s="7">
        <v>56</v>
      </c>
      <c r="AD57" s="52">
        <f>'הזנת נתונים'!A56</f>
        <v>626.66666666666902</v>
      </c>
      <c r="AE57" s="7">
        <f t="shared" si="7"/>
        <v>593.6666666666689</v>
      </c>
      <c r="AF57" s="7">
        <f t="shared" si="7"/>
        <v>560.66666666666879</v>
      </c>
      <c r="AG57" s="7">
        <f t="shared" si="20"/>
        <v>626.66666666666902</v>
      </c>
      <c r="AH57" s="7">
        <f t="shared" si="21"/>
        <v>11.000000000000037</v>
      </c>
      <c r="AI57" s="7">
        <f t="shared" si="22"/>
        <v>626.66666666666902</v>
      </c>
      <c r="AJ57" s="7">
        <f t="shared" si="23"/>
        <v>0</v>
      </c>
      <c r="AK57" s="7">
        <f t="shared" si="24"/>
        <v>0</v>
      </c>
      <c r="AQ57" s="7">
        <v>56</v>
      </c>
      <c r="AR57" s="52">
        <f>'הזנת נתונים'!A56</f>
        <v>626.66666666666902</v>
      </c>
      <c r="AS57" s="7">
        <f t="shared" si="9"/>
        <v>588.1666666666689</v>
      </c>
      <c r="AT57" s="7">
        <f t="shared" si="9"/>
        <v>549.66666666666879</v>
      </c>
      <c r="AU57" s="7">
        <f t="shared" si="25"/>
        <v>626.66666666666902</v>
      </c>
      <c r="AV57" s="7">
        <f t="shared" si="26"/>
        <v>11.000000000000032</v>
      </c>
      <c r="AW57" s="7">
        <f t="shared" si="27"/>
        <v>626.66666666666902</v>
      </c>
      <c r="AX57" s="7">
        <f t="shared" si="28"/>
        <v>0</v>
      </c>
      <c r="AY57" s="7">
        <f t="shared" si="29"/>
        <v>0</v>
      </c>
      <c r="BE57" s="7">
        <v>56</v>
      </c>
      <c r="BF57" s="52">
        <f>'הזנת נתונים'!A56</f>
        <v>626.66666666666902</v>
      </c>
      <c r="BG57" s="7">
        <f t="shared" si="11"/>
        <v>582.6666666666689</v>
      </c>
      <c r="BH57" s="7">
        <f t="shared" si="11"/>
        <v>538.66666666666879</v>
      </c>
      <c r="BI57" s="7">
        <f t="shared" si="30"/>
        <v>626.66666666666902</v>
      </c>
      <c r="BJ57" s="7">
        <f t="shared" si="31"/>
        <v>11.000000000000028</v>
      </c>
      <c r="BK57" s="7">
        <f t="shared" si="32"/>
        <v>626.66666666666902</v>
      </c>
      <c r="BL57" s="7">
        <f t="shared" si="33"/>
        <v>0</v>
      </c>
      <c r="BM57" s="7">
        <f t="shared" si="34"/>
        <v>0</v>
      </c>
    </row>
    <row r="58" spans="1:69" x14ac:dyDescent="0.25">
      <c r="A58" s="7">
        <v>57</v>
      </c>
      <c r="B58" s="52">
        <f>'הזנת נתונים'!A57</f>
        <v>637.66666666666902</v>
      </c>
      <c r="C58" s="7">
        <f t="shared" si="5"/>
        <v>615.66666666666902</v>
      </c>
      <c r="D58" s="7">
        <f t="shared" si="5"/>
        <v>593.66666666666902</v>
      </c>
      <c r="E58" s="7">
        <f t="shared" si="10"/>
        <v>637.66666666666902</v>
      </c>
      <c r="F58" s="7">
        <f t="shared" si="35"/>
        <v>11</v>
      </c>
      <c r="G58" s="7">
        <f t="shared" si="12"/>
        <v>637.66666666666902</v>
      </c>
      <c r="H58" s="7">
        <f t="shared" si="13"/>
        <v>0</v>
      </c>
      <c r="I58" s="7">
        <f t="shared" si="14"/>
        <v>0</v>
      </c>
      <c r="O58" s="7">
        <v>57</v>
      </c>
      <c r="P58" s="52">
        <f>'הזנת נתונים'!A57</f>
        <v>637.66666666666902</v>
      </c>
      <c r="Q58" s="7">
        <f t="shared" si="6"/>
        <v>610.1666666666689</v>
      </c>
      <c r="R58" s="7">
        <f t="shared" si="6"/>
        <v>582.6666666666689</v>
      </c>
      <c r="S58" s="7">
        <f t="shared" si="15"/>
        <v>637.6666666666689</v>
      </c>
      <c r="T58" s="7">
        <f t="shared" si="16"/>
        <v>11</v>
      </c>
      <c r="U58" s="7">
        <f t="shared" si="17"/>
        <v>637.6666666666689</v>
      </c>
      <c r="V58" s="7">
        <f t="shared" si="18"/>
        <v>0</v>
      </c>
      <c r="W58" s="7">
        <f t="shared" si="19"/>
        <v>0</v>
      </c>
      <c r="AC58" s="7">
        <v>57</v>
      </c>
      <c r="AD58" s="52">
        <f>'הזנת נתונים'!A57</f>
        <v>637.66666666666902</v>
      </c>
      <c r="AE58" s="7">
        <f t="shared" si="7"/>
        <v>604.6666666666689</v>
      </c>
      <c r="AF58" s="7">
        <f t="shared" si="7"/>
        <v>571.66666666666879</v>
      </c>
      <c r="AG58" s="7">
        <f t="shared" si="20"/>
        <v>637.66666666666902</v>
      </c>
      <c r="AH58" s="7">
        <f t="shared" si="21"/>
        <v>11.000000000000037</v>
      </c>
      <c r="AI58" s="7">
        <f t="shared" si="22"/>
        <v>637.66666666666902</v>
      </c>
      <c r="AJ58" s="7">
        <f t="shared" si="23"/>
        <v>0</v>
      </c>
      <c r="AK58" s="7">
        <f t="shared" si="24"/>
        <v>0</v>
      </c>
      <c r="AQ58" s="7">
        <v>57</v>
      </c>
      <c r="AR58" s="52">
        <f>'הזנת נתונים'!A57</f>
        <v>637.66666666666902</v>
      </c>
      <c r="AS58" s="7">
        <f t="shared" si="9"/>
        <v>599.1666666666689</v>
      </c>
      <c r="AT58" s="7">
        <f t="shared" si="9"/>
        <v>560.66666666666879</v>
      </c>
      <c r="AU58" s="7">
        <f t="shared" si="25"/>
        <v>637.66666666666902</v>
      </c>
      <c r="AV58" s="7">
        <f t="shared" si="26"/>
        <v>11.000000000000032</v>
      </c>
      <c r="AW58" s="7">
        <f t="shared" si="27"/>
        <v>637.66666666666902</v>
      </c>
      <c r="AX58" s="7">
        <f t="shared" si="28"/>
        <v>0</v>
      </c>
      <c r="AY58" s="7">
        <f t="shared" si="29"/>
        <v>0</v>
      </c>
      <c r="BE58" s="7">
        <v>57</v>
      </c>
      <c r="BF58" s="52">
        <f>'הזנת נתונים'!A57</f>
        <v>637.66666666666902</v>
      </c>
      <c r="BG58" s="7">
        <f t="shared" si="11"/>
        <v>593.6666666666689</v>
      </c>
      <c r="BH58" s="7">
        <f t="shared" si="11"/>
        <v>549.66666666666879</v>
      </c>
      <c r="BI58" s="7">
        <f t="shared" si="30"/>
        <v>637.66666666666902</v>
      </c>
      <c r="BJ58" s="7">
        <f t="shared" si="31"/>
        <v>11.000000000000028</v>
      </c>
      <c r="BK58" s="7">
        <f t="shared" si="32"/>
        <v>637.66666666666902</v>
      </c>
      <c r="BL58" s="7">
        <f t="shared" si="33"/>
        <v>0</v>
      </c>
      <c r="BM58" s="7">
        <f t="shared" si="34"/>
        <v>0</v>
      </c>
    </row>
    <row r="59" spans="1:69" x14ac:dyDescent="0.25">
      <c r="A59" s="7">
        <v>58</v>
      </c>
      <c r="B59" s="52">
        <f>'הזנת נתונים'!A58</f>
        <v>648.66666666666902</v>
      </c>
      <c r="C59" s="7">
        <f t="shared" si="5"/>
        <v>626.66666666666902</v>
      </c>
      <c r="D59" s="7">
        <f t="shared" si="5"/>
        <v>604.66666666666902</v>
      </c>
      <c r="E59" s="7">
        <f t="shared" si="10"/>
        <v>648.66666666666902</v>
      </c>
      <c r="F59" s="7">
        <f t="shared" si="35"/>
        <v>11</v>
      </c>
      <c r="G59" s="7">
        <f t="shared" si="12"/>
        <v>648.66666666666902</v>
      </c>
      <c r="H59" s="7">
        <f t="shared" si="13"/>
        <v>0</v>
      </c>
      <c r="I59" s="7">
        <f t="shared" si="14"/>
        <v>0</v>
      </c>
      <c r="O59" s="7">
        <v>58</v>
      </c>
      <c r="P59" s="52">
        <f>'הזנת נתונים'!A58</f>
        <v>648.66666666666902</v>
      </c>
      <c r="Q59" s="7">
        <f t="shared" si="6"/>
        <v>621.1666666666689</v>
      </c>
      <c r="R59" s="7">
        <f t="shared" si="6"/>
        <v>593.6666666666689</v>
      </c>
      <c r="S59" s="7">
        <f t="shared" si="15"/>
        <v>648.6666666666689</v>
      </c>
      <c r="T59" s="7">
        <f t="shared" si="16"/>
        <v>11</v>
      </c>
      <c r="U59" s="7">
        <f t="shared" si="17"/>
        <v>648.6666666666689</v>
      </c>
      <c r="V59" s="7">
        <f t="shared" si="18"/>
        <v>0</v>
      </c>
      <c r="W59" s="7">
        <f t="shared" si="19"/>
        <v>0</v>
      </c>
      <c r="AC59" s="7">
        <v>58</v>
      </c>
      <c r="AD59" s="52">
        <f>'הזנת נתונים'!A58</f>
        <v>648.66666666666902</v>
      </c>
      <c r="AE59" s="7">
        <f t="shared" si="7"/>
        <v>615.6666666666689</v>
      </c>
      <c r="AF59" s="7">
        <f t="shared" si="7"/>
        <v>582.6666666666689</v>
      </c>
      <c r="AG59" s="7">
        <f t="shared" si="20"/>
        <v>648.6666666666689</v>
      </c>
      <c r="AH59" s="7">
        <f t="shared" si="21"/>
        <v>11</v>
      </c>
      <c r="AI59" s="7">
        <f t="shared" si="22"/>
        <v>648.66666666666902</v>
      </c>
      <c r="AJ59" s="7">
        <f t="shared" si="23"/>
        <v>0</v>
      </c>
      <c r="AK59" s="7">
        <f t="shared" si="24"/>
        <v>0</v>
      </c>
      <c r="AQ59" s="7">
        <v>58</v>
      </c>
      <c r="AR59" s="52">
        <f>'הזנת נתונים'!A58</f>
        <v>648.66666666666902</v>
      </c>
      <c r="AS59" s="7">
        <f t="shared" si="9"/>
        <v>610.1666666666689</v>
      </c>
      <c r="AT59" s="7">
        <f t="shared" si="9"/>
        <v>571.66666666666879</v>
      </c>
      <c r="AU59" s="7">
        <f t="shared" si="25"/>
        <v>648.66666666666902</v>
      </c>
      <c r="AV59" s="7">
        <f t="shared" si="26"/>
        <v>11.000000000000032</v>
      </c>
      <c r="AW59" s="7">
        <f t="shared" si="27"/>
        <v>648.66666666666902</v>
      </c>
      <c r="AX59" s="7">
        <f t="shared" si="28"/>
        <v>0</v>
      </c>
      <c r="AY59" s="7">
        <f t="shared" si="29"/>
        <v>0</v>
      </c>
      <c r="BE59" s="7">
        <v>58</v>
      </c>
      <c r="BF59" s="52">
        <f>'הזנת נתונים'!A58</f>
        <v>648.66666666666902</v>
      </c>
      <c r="BG59" s="7">
        <f t="shared" si="11"/>
        <v>604.6666666666689</v>
      </c>
      <c r="BH59" s="7">
        <f t="shared" si="11"/>
        <v>560.66666666666879</v>
      </c>
      <c r="BI59" s="7">
        <f t="shared" si="30"/>
        <v>648.66666666666902</v>
      </c>
      <c r="BJ59" s="7">
        <f t="shared" si="31"/>
        <v>11.000000000000028</v>
      </c>
      <c r="BK59" s="7">
        <f t="shared" si="32"/>
        <v>648.66666666666902</v>
      </c>
      <c r="BL59" s="7">
        <f t="shared" si="33"/>
        <v>0</v>
      </c>
      <c r="BM59" s="7">
        <f t="shared" si="34"/>
        <v>0</v>
      </c>
    </row>
    <row r="60" spans="1:69" x14ac:dyDescent="0.25">
      <c r="A60" s="7">
        <v>59</v>
      </c>
      <c r="B60" s="52">
        <f>'הזנת נתונים'!A59</f>
        <v>659.66666666666902</v>
      </c>
      <c r="C60" s="7">
        <f t="shared" si="5"/>
        <v>637.66666666666902</v>
      </c>
      <c r="D60" s="7">
        <f t="shared" si="5"/>
        <v>615.66666666666902</v>
      </c>
      <c r="E60" s="7">
        <f t="shared" si="10"/>
        <v>659.66666666666902</v>
      </c>
      <c r="F60" s="7">
        <f t="shared" si="35"/>
        <v>11</v>
      </c>
      <c r="G60" s="7">
        <f t="shared" si="12"/>
        <v>659.66666666666902</v>
      </c>
      <c r="H60" s="7">
        <f t="shared" si="13"/>
        <v>0</v>
      </c>
      <c r="I60" s="7">
        <f t="shared" si="14"/>
        <v>0</v>
      </c>
      <c r="O60" s="7">
        <v>59</v>
      </c>
      <c r="P60" s="52">
        <f>'הזנת נתונים'!A59</f>
        <v>659.66666666666902</v>
      </c>
      <c r="Q60" s="7">
        <f t="shared" si="6"/>
        <v>632.1666666666689</v>
      </c>
      <c r="R60" s="7">
        <f t="shared" si="6"/>
        <v>604.6666666666689</v>
      </c>
      <c r="S60" s="7">
        <f t="shared" si="15"/>
        <v>659.6666666666689</v>
      </c>
      <c r="T60" s="7">
        <f t="shared" si="16"/>
        <v>11</v>
      </c>
      <c r="U60" s="7">
        <f t="shared" si="17"/>
        <v>659.6666666666689</v>
      </c>
      <c r="V60" s="7">
        <f t="shared" si="18"/>
        <v>0</v>
      </c>
      <c r="W60" s="7">
        <f t="shared" si="19"/>
        <v>0</v>
      </c>
      <c r="AC60" s="7">
        <v>59</v>
      </c>
      <c r="AD60" s="52">
        <f>'הזנת נתונים'!A59</f>
        <v>659.66666666666902</v>
      </c>
      <c r="AE60" s="7">
        <f t="shared" si="7"/>
        <v>626.6666666666689</v>
      </c>
      <c r="AF60" s="7">
        <f t="shared" si="7"/>
        <v>593.6666666666689</v>
      </c>
      <c r="AG60" s="7">
        <f t="shared" si="20"/>
        <v>659.6666666666689</v>
      </c>
      <c r="AH60" s="7">
        <f t="shared" si="21"/>
        <v>11</v>
      </c>
      <c r="AI60" s="7">
        <f t="shared" si="22"/>
        <v>659.6666666666689</v>
      </c>
      <c r="AJ60" s="7">
        <f t="shared" si="23"/>
        <v>0</v>
      </c>
      <c r="AK60" s="7">
        <f t="shared" si="24"/>
        <v>0</v>
      </c>
      <c r="AQ60" s="7">
        <v>59</v>
      </c>
      <c r="AR60" s="52">
        <f>'הזנת נתונים'!A59</f>
        <v>659.66666666666902</v>
      </c>
      <c r="AS60" s="7">
        <f t="shared" si="9"/>
        <v>621.1666666666689</v>
      </c>
      <c r="AT60" s="7">
        <f t="shared" si="9"/>
        <v>582.66666666666879</v>
      </c>
      <c r="AU60" s="7">
        <f t="shared" si="25"/>
        <v>659.66666666666902</v>
      </c>
      <c r="AV60" s="7">
        <f t="shared" si="26"/>
        <v>11.000000000000032</v>
      </c>
      <c r="AW60" s="7">
        <f t="shared" si="27"/>
        <v>659.66666666666902</v>
      </c>
      <c r="AX60" s="7">
        <f t="shared" si="28"/>
        <v>0</v>
      </c>
      <c r="AY60" s="7">
        <f t="shared" si="29"/>
        <v>0</v>
      </c>
      <c r="BE60" s="7">
        <v>59</v>
      </c>
      <c r="BF60" s="52">
        <f>'הזנת נתונים'!A59</f>
        <v>659.66666666666902</v>
      </c>
      <c r="BG60" s="7">
        <f t="shared" si="11"/>
        <v>615.6666666666689</v>
      </c>
      <c r="BH60" s="7">
        <f t="shared" si="11"/>
        <v>571.66666666666879</v>
      </c>
      <c r="BI60" s="7">
        <f t="shared" si="30"/>
        <v>659.66666666666902</v>
      </c>
      <c r="BJ60" s="7">
        <f t="shared" si="31"/>
        <v>11.000000000000028</v>
      </c>
      <c r="BK60" s="7">
        <f t="shared" si="32"/>
        <v>659.66666666666902</v>
      </c>
      <c r="BL60" s="7">
        <f t="shared" si="33"/>
        <v>0</v>
      </c>
      <c r="BM60" s="7">
        <f t="shared" si="34"/>
        <v>0</v>
      </c>
    </row>
    <row r="61" spans="1:69" x14ac:dyDescent="0.25">
      <c r="A61" s="7">
        <v>60</v>
      </c>
      <c r="B61" s="52">
        <f>'הזנת נתונים'!A60</f>
        <v>670.66666666666902</v>
      </c>
      <c r="C61" s="7">
        <f t="shared" si="5"/>
        <v>648.66666666666902</v>
      </c>
      <c r="D61" s="7">
        <f t="shared" si="5"/>
        <v>626.66666666666902</v>
      </c>
      <c r="E61" s="7">
        <f t="shared" si="10"/>
        <v>670.66666666666902</v>
      </c>
      <c r="F61" s="7">
        <f t="shared" si="35"/>
        <v>11</v>
      </c>
      <c r="G61" s="7">
        <f t="shared" si="12"/>
        <v>670.66666666666902</v>
      </c>
      <c r="H61" s="7">
        <f t="shared" si="13"/>
        <v>0</v>
      </c>
      <c r="I61" s="7">
        <f t="shared" si="14"/>
        <v>0</v>
      </c>
      <c r="O61" s="7">
        <v>60</v>
      </c>
      <c r="P61" s="52">
        <f>'הזנת נתונים'!A60</f>
        <v>670.66666666666902</v>
      </c>
      <c r="Q61" s="7">
        <f t="shared" si="6"/>
        <v>643.1666666666689</v>
      </c>
      <c r="R61" s="7">
        <f t="shared" si="6"/>
        <v>615.6666666666689</v>
      </c>
      <c r="S61" s="7">
        <f t="shared" si="15"/>
        <v>670.6666666666689</v>
      </c>
      <c r="T61" s="7">
        <f t="shared" si="16"/>
        <v>11</v>
      </c>
      <c r="U61" s="7">
        <f t="shared" si="17"/>
        <v>670.6666666666689</v>
      </c>
      <c r="V61" s="7">
        <f t="shared" si="18"/>
        <v>0</v>
      </c>
      <c r="W61" s="7">
        <f t="shared" si="19"/>
        <v>0</v>
      </c>
      <c r="AC61" s="7">
        <v>60</v>
      </c>
      <c r="AD61" s="52">
        <f>'הזנת נתונים'!A60</f>
        <v>670.66666666666902</v>
      </c>
      <c r="AE61" s="7">
        <f t="shared" si="7"/>
        <v>637.6666666666689</v>
      </c>
      <c r="AF61" s="7">
        <f t="shared" si="7"/>
        <v>604.6666666666689</v>
      </c>
      <c r="AG61" s="7">
        <f t="shared" si="20"/>
        <v>670.6666666666689</v>
      </c>
      <c r="AH61" s="7">
        <f t="shared" si="21"/>
        <v>11</v>
      </c>
      <c r="AI61" s="7">
        <f t="shared" si="22"/>
        <v>670.6666666666689</v>
      </c>
      <c r="AJ61" s="7">
        <f t="shared" si="23"/>
        <v>0</v>
      </c>
      <c r="AK61" s="7">
        <f t="shared" si="24"/>
        <v>0</v>
      </c>
      <c r="AQ61" s="7">
        <v>60</v>
      </c>
      <c r="AR61" s="52">
        <f>'הזנת נתונים'!A60</f>
        <v>670.66666666666902</v>
      </c>
      <c r="AS61" s="7">
        <f t="shared" si="9"/>
        <v>632.1666666666689</v>
      </c>
      <c r="AT61" s="7">
        <f t="shared" si="9"/>
        <v>593.6666666666689</v>
      </c>
      <c r="AU61" s="7">
        <f t="shared" si="25"/>
        <v>670.6666666666689</v>
      </c>
      <c r="AV61" s="7">
        <f t="shared" si="26"/>
        <v>11</v>
      </c>
      <c r="AW61" s="7">
        <f t="shared" si="27"/>
        <v>670.66666666666902</v>
      </c>
      <c r="AX61" s="7">
        <f t="shared" si="28"/>
        <v>0</v>
      </c>
      <c r="AY61" s="7">
        <f t="shared" si="29"/>
        <v>0</v>
      </c>
      <c r="BE61" s="7">
        <v>60</v>
      </c>
      <c r="BF61" s="52">
        <f>'הזנת נתונים'!A60</f>
        <v>670.66666666666902</v>
      </c>
      <c r="BG61" s="7">
        <f t="shared" si="11"/>
        <v>626.6666666666689</v>
      </c>
      <c r="BH61" s="7">
        <f t="shared" si="11"/>
        <v>582.66666666666879</v>
      </c>
      <c r="BI61" s="7">
        <f t="shared" si="30"/>
        <v>670.66666666666902</v>
      </c>
      <c r="BJ61" s="7">
        <f t="shared" si="31"/>
        <v>11.000000000000028</v>
      </c>
      <c r="BK61" s="7">
        <f t="shared" si="32"/>
        <v>670.66666666666902</v>
      </c>
      <c r="BL61" s="7">
        <f t="shared" si="33"/>
        <v>0</v>
      </c>
      <c r="BM61" s="7">
        <f t="shared" si="34"/>
        <v>0</v>
      </c>
    </row>
    <row r="63" spans="1:69" x14ac:dyDescent="0.25">
      <c r="A63" s="7" t="s">
        <v>1</v>
      </c>
      <c r="B63" s="52" t="s">
        <v>0</v>
      </c>
      <c r="C63" s="7" t="s">
        <v>30</v>
      </c>
      <c r="D63" s="7" t="s">
        <v>31</v>
      </c>
      <c r="E63" s="7" t="s">
        <v>32</v>
      </c>
      <c r="F63" s="7" t="s">
        <v>33</v>
      </c>
      <c r="G63" s="7" t="s">
        <v>34</v>
      </c>
      <c r="H63" s="7" t="s">
        <v>35</v>
      </c>
      <c r="I63" s="7" t="s">
        <v>8</v>
      </c>
      <c r="J63" s="5" t="s">
        <v>22</v>
      </c>
      <c r="M63" s="22">
        <v>10</v>
      </c>
      <c r="O63" s="7" t="s">
        <v>1</v>
      </c>
      <c r="P63" s="52" t="s">
        <v>0</v>
      </c>
      <c r="Q63" s="7" t="s">
        <v>30</v>
      </c>
      <c r="R63" s="7" t="s">
        <v>31</v>
      </c>
      <c r="S63" s="7" t="s">
        <v>32</v>
      </c>
      <c r="T63" s="7" t="s">
        <v>33</v>
      </c>
      <c r="U63" s="7" t="s">
        <v>34</v>
      </c>
      <c r="V63" s="7" t="s">
        <v>35</v>
      </c>
      <c r="W63" s="7" t="s">
        <v>8</v>
      </c>
      <c r="X63" s="5" t="s">
        <v>22</v>
      </c>
      <c r="AA63" s="22">
        <v>11</v>
      </c>
      <c r="AC63" s="7" t="s">
        <v>1</v>
      </c>
      <c r="AD63" s="52" t="s">
        <v>0</v>
      </c>
      <c r="AE63" s="7" t="s">
        <v>30</v>
      </c>
      <c r="AF63" s="7" t="s">
        <v>31</v>
      </c>
      <c r="AG63" s="7" t="s">
        <v>32</v>
      </c>
      <c r="AH63" s="7" t="s">
        <v>33</v>
      </c>
      <c r="AI63" s="7" t="s">
        <v>34</v>
      </c>
      <c r="AJ63" s="7" t="s">
        <v>35</v>
      </c>
      <c r="AK63" s="7" t="s">
        <v>8</v>
      </c>
      <c r="AL63" s="5" t="s">
        <v>22</v>
      </c>
      <c r="AO63" s="22">
        <v>12</v>
      </c>
      <c r="AQ63" s="7" t="s">
        <v>1</v>
      </c>
      <c r="AR63" s="52" t="s">
        <v>0</v>
      </c>
      <c r="AS63" s="7" t="s">
        <v>30</v>
      </c>
      <c r="AT63" s="7" t="s">
        <v>31</v>
      </c>
      <c r="AU63" s="7" t="s">
        <v>32</v>
      </c>
      <c r="AV63" s="7" t="s">
        <v>33</v>
      </c>
      <c r="AW63" s="7" t="s">
        <v>34</v>
      </c>
      <c r="AX63" s="7" t="s">
        <v>35</v>
      </c>
      <c r="AY63" s="7" t="s">
        <v>8</v>
      </c>
      <c r="AZ63" s="5" t="s">
        <v>22</v>
      </c>
      <c r="BC63" s="22">
        <v>13</v>
      </c>
      <c r="BE63" s="7" t="s">
        <v>1</v>
      </c>
      <c r="BF63" s="52" t="s">
        <v>0</v>
      </c>
      <c r="BG63" s="7" t="s">
        <v>30</v>
      </c>
      <c r="BH63" s="7" t="s">
        <v>31</v>
      </c>
      <c r="BI63" s="7" t="s">
        <v>32</v>
      </c>
      <c r="BJ63" s="7" t="s">
        <v>33</v>
      </c>
      <c r="BK63" s="7" t="s">
        <v>34</v>
      </c>
      <c r="BL63" s="7" t="s">
        <v>35</v>
      </c>
      <c r="BM63" s="7" t="s">
        <v>8</v>
      </c>
      <c r="BN63" s="5" t="s">
        <v>22</v>
      </c>
      <c r="BQ63" s="22">
        <v>14</v>
      </c>
    </row>
    <row r="64" spans="1:69" x14ac:dyDescent="0.25">
      <c r="A64" s="7">
        <v>1</v>
      </c>
      <c r="B64" s="52">
        <f>'הזנת נתונים'!A1</f>
        <v>28</v>
      </c>
      <c r="C64" s="7"/>
      <c r="D64" s="7"/>
      <c r="E64" s="7"/>
      <c r="F64" s="7"/>
      <c r="G64" s="7"/>
      <c r="H64" s="7"/>
      <c r="I64" s="7"/>
      <c r="J64" s="5">
        <f>AVERAGE(I83:I123)</f>
        <v>8.1937836662042559E-4</v>
      </c>
      <c r="K64" s="6" t="s">
        <v>36</v>
      </c>
      <c r="O64" s="7">
        <v>1</v>
      </c>
      <c r="P64" s="52">
        <f>'הזנת נתונים'!A1</f>
        <v>28</v>
      </c>
      <c r="Q64" s="7"/>
      <c r="R64" s="7"/>
      <c r="S64" s="7"/>
      <c r="T64" s="7"/>
      <c r="U64" s="7"/>
      <c r="V64" s="7"/>
      <c r="W64" s="7"/>
      <c r="X64" s="5">
        <f>AVERAGE(W85:W123)</f>
        <v>5.6714635227094986E-4</v>
      </c>
      <c r="Y64" s="6" t="s">
        <v>36</v>
      </c>
      <c r="AC64" s="7">
        <v>1</v>
      </c>
      <c r="AD64" s="52">
        <f>'הזנת נתונים'!A1</f>
        <v>28</v>
      </c>
      <c r="AE64" s="7"/>
      <c r="AF64" s="7"/>
      <c r="AG64" s="7"/>
      <c r="AH64" s="7"/>
      <c r="AI64" s="7"/>
      <c r="AJ64" s="7"/>
      <c r="AK64" s="7"/>
      <c r="AL64" s="5">
        <f>AVERAGE(AK87:AK123)</f>
        <v>4.0939508532479818E-4</v>
      </c>
      <c r="AM64" s="6" t="s">
        <v>36</v>
      </c>
      <c r="AQ64" s="7">
        <v>1</v>
      </c>
      <c r="AR64" s="52">
        <f>'הזנת נתונים'!A1</f>
        <v>28</v>
      </c>
      <c r="AS64" s="7"/>
      <c r="AT64" s="7"/>
      <c r="AU64" s="7"/>
      <c r="AV64" s="7"/>
      <c r="AW64" s="7"/>
      <c r="AX64" s="7"/>
      <c r="AY64" s="7"/>
      <c r="AZ64" s="5">
        <f>AVERAGE(AY73:AY123)</f>
        <v>3.0621053228278063E-4</v>
      </c>
      <c r="BA64" s="6" t="s">
        <v>36</v>
      </c>
      <c r="BE64" s="7">
        <v>1</v>
      </c>
      <c r="BF64" s="52">
        <f>'הזנת נתונים'!A1</f>
        <v>28</v>
      </c>
      <c r="BG64" s="7"/>
      <c r="BH64" s="7"/>
      <c r="BI64" s="7"/>
      <c r="BJ64" s="7"/>
      <c r="BK64" s="7"/>
      <c r="BL64" s="7"/>
      <c r="BM64" s="7"/>
      <c r="BN64" s="5">
        <f>AVERAGE(BM73:BM123)</f>
        <v>2.3617706955159201E-4</v>
      </c>
      <c r="BO64" s="6" t="s">
        <v>36</v>
      </c>
    </row>
    <row r="65" spans="1:68" x14ac:dyDescent="0.25">
      <c r="A65" s="7">
        <v>2</v>
      </c>
      <c r="B65" s="52">
        <f>'הזנת נתונים'!A2</f>
        <v>35</v>
      </c>
      <c r="C65" s="7"/>
      <c r="D65" s="7"/>
      <c r="E65" s="7"/>
      <c r="F65" s="7"/>
      <c r="G65" s="7"/>
      <c r="H65" s="7"/>
      <c r="I65" s="7"/>
      <c r="K65">
        <v>1</v>
      </c>
      <c r="L65" s="4">
        <f>$E$123+$F$123*K65</f>
        <v>681.66666666666902</v>
      </c>
      <c r="O65" s="7">
        <v>2</v>
      </c>
      <c r="P65" s="52">
        <f>'הזנת נתונים'!A2</f>
        <v>35</v>
      </c>
      <c r="Q65" s="7"/>
      <c r="R65" s="7"/>
      <c r="S65" s="7"/>
      <c r="T65" s="7"/>
      <c r="U65" s="7"/>
      <c r="V65" s="7"/>
      <c r="W65" s="7"/>
      <c r="Y65">
        <v>1</v>
      </c>
      <c r="Z65" s="4">
        <f>$S$123+$T$123*Y65</f>
        <v>681.66666666666902</v>
      </c>
      <c r="AC65" s="7">
        <v>2</v>
      </c>
      <c r="AD65" s="52">
        <f>'הזנת נתונים'!A2</f>
        <v>35</v>
      </c>
      <c r="AE65" s="7"/>
      <c r="AF65" s="7"/>
      <c r="AG65" s="7"/>
      <c r="AH65" s="7"/>
      <c r="AI65" s="7"/>
      <c r="AJ65" s="7"/>
      <c r="AK65" s="7"/>
      <c r="AM65">
        <v>1</v>
      </c>
      <c r="AN65" s="4">
        <f>$AG$123+$AH$123*AM65</f>
        <v>681.66666666666902</v>
      </c>
      <c r="AQ65" s="7">
        <v>2</v>
      </c>
      <c r="AR65" s="52">
        <f>'הזנת נתונים'!A2</f>
        <v>35</v>
      </c>
      <c r="AS65" s="7"/>
      <c r="AT65" s="7"/>
      <c r="AU65" s="7"/>
      <c r="AV65" s="7"/>
      <c r="AW65" s="7"/>
      <c r="AX65" s="7"/>
      <c r="AY65" s="7"/>
      <c r="BA65">
        <v>1</v>
      </c>
      <c r="BB65" s="4">
        <f>$AU$123+$AV$123*BA65</f>
        <v>681.66666666666902</v>
      </c>
      <c r="BE65" s="7">
        <v>2</v>
      </c>
      <c r="BF65" s="52">
        <f>'הזנת נתונים'!A2</f>
        <v>35</v>
      </c>
      <c r="BG65" s="7"/>
      <c r="BH65" s="7"/>
      <c r="BI65" s="7"/>
      <c r="BJ65" s="7"/>
      <c r="BK65" s="7"/>
      <c r="BL65" s="7"/>
      <c r="BM65" s="7"/>
      <c r="BO65">
        <v>1</v>
      </c>
      <c r="BP65" s="4">
        <f>$BI$123+$BJ$123*BO65</f>
        <v>681.66666666666913</v>
      </c>
    </row>
    <row r="66" spans="1:68" x14ac:dyDescent="0.25">
      <c r="A66" s="7">
        <v>3</v>
      </c>
      <c r="B66" s="52">
        <f>'הזנת נתונים'!A3</f>
        <v>40</v>
      </c>
      <c r="C66" s="7"/>
      <c r="D66" s="7"/>
      <c r="E66" s="7"/>
      <c r="F66" s="7"/>
      <c r="G66" s="7"/>
      <c r="H66" s="7"/>
      <c r="I66" s="7"/>
      <c r="K66">
        <v>2</v>
      </c>
      <c r="L66" s="4">
        <f t="shared" ref="L66:L76" si="36">$E$123+$F$123*K66</f>
        <v>692.66666666666902</v>
      </c>
      <c r="O66" s="7">
        <v>3</v>
      </c>
      <c r="P66" s="52">
        <f>'הזנת נתונים'!A3</f>
        <v>40</v>
      </c>
      <c r="Q66" s="7"/>
      <c r="R66" s="7"/>
      <c r="S66" s="7"/>
      <c r="T66" s="7"/>
      <c r="U66" s="7"/>
      <c r="V66" s="7"/>
      <c r="W66" s="7"/>
      <c r="Y66">
        <v>2</v>
      </c>
      <c r="Z66" s="4">
        <f t="shared" ref="Z66:Z76" si="37">$S$123+$T$123*Y66</f>
        <v>692.66666666666902</v>
      </c>
      <c r="AC66" s="7">
        <v>3</v>
      </c>
      <c r="AD66" s="52">
        <f>'הזנת נתונים'!A3</f>
        <v>40</v>
      </c>
      <c r="AE66" s="7"/>
      <c r="AF66" s="7"/>
      <c r="AG66" s="7"/>
      <c r="AH66" s="7"/>
      <c r="AI66" s="7"/>
      <c r="AJ66" s="7"/>
      <c r="AK66" s="7"/>
      <c r="AM66">
        <v>2</v>
      </c>
      <c r="AN66" s="4">
        <f t="shared" ref="AN66:AN76" si="38">$AG$123+$AH$123*AM66</f>
        <v>692.66666666666902</v>
      </c>
      <c r="AQ66" s="7">
        <v>3</v>
      </c>
      <c r="AR66" s="52">
        <f>'הזנת נתונים'!A3</f>
        <v>40</v>
      </c>
      <c r="AS66" s="7"/>
      <c r="AT66" s="7"/>
      <c r="AU66" s="7"/>
      <c r="AV66" s="7"/>
      <c r="AW66" s="7"/>
      <c r="AX66" s="7"/>
      <c r="AY66" s="7"/>
      <c r="BA66">
        <v>2</v>
      </c>
      <c r="BB66" s="4">
        <f t="shared" ref="BB66:BB76" si="39">$AU$123+$AV$123*BA66</f>
        <v>692.66666666666902</v>
      </c>
      <c r="BE66" s="7">
        <v>3</v>
      </c>
      <c r="BF66" s="52">
        <f>'הזנת נתונים'!A3</f>
        <v>40</v>
      </c>
      <c r="BG66" s="7"/>
      <c r="BH66" s="7"/>
      <c r="BI66" s="7"/>
      <c r="BJ66" s="7"/>
      <c r="BK66" s="7"/>
      <c r="BL66" s="7"/>
      <c r="BM66" s="7"/>
      <c r="BO66">
        <v>2</v>
      </c>
      <c r="BP66" s="4">
        <f t="shared" ref="BP66:BP76" si="40">$BI$123+$BJ$123*BO66</f>
        <v>692.66666666666924</v>
      </c>
    </row>
    <row r="67" spans="1:68" x14ac:dyDescent="0.25">
      <c r="A67" s="7">
        <v>4</v>
      </c>
      <c r="B67" s="52">
        <f>'הזנת נתונים'!A4</f>
        <v>55</v>
      </c>
      <c r="C67" s="7"/>
      <c r="D67" s="7"/>
      <c r="E67" s="7"/>
      <c r="F67" s="7"/>
      <c r="G67" s="7"/>
      <c r="H67" s="7"/>
      <c r="I67" s="7"/>
      <c r="K67">
        <v>3</v>
      </c>
      <c r="L67" s="4">
        <f t="shared" si="36"/>
        <v>703.66666666666913</v>
      </c>
      <c r="O67" s="7">
        <v>4</v>
      </c>
      <c r="P67" s="52">
        <f>'הזנת נתונים'!A4</f>
        <v>55</v>
      </c>
      <c r="Q67" s="7"/>
      <c r="R67" s="7"/>
      <c r="S67" s="7"/>
      <c r="T67" s="7"/>
      <c r="U67" s="7"/>
      <c r="V67" s="7"/>
      <c r="W67" s="7"/>
      <c r="Y67">
        <v>3</v>
      </c>
      <c r="Z67" s="4">
        <f t="shared" si="37"/>
        <v>703.66666666666913</v>
      </c>
      <c r="AC67" s="7">
        <v>4</v>
      </c>
      <c r="AD67" s="52">
        <f>'הזנת נתונים'!A4</f>
        <v>55</v>
      </c>
      <c r="AE67" s="7"/>
      <c r="AF67" s="7"/>
      <c r="AG67" s="7"/>
      <c r="AH67" s="7"/>
      <c r="AI67" s="7"/>
      <c r="AJ67" s="7"/>
      <c r="AK67" s="7"/>
      <c r="AM67">
        <v>3</v>
      </c>
      <c r="AN67" s="4">
        <f t="shared" si="38"/>
        <v>703.66666666666913</v>
      </c>
      <c r="AQ67" s="7">
        <v>4</v>
      </c>
      <c r="AR67" s="52">
        <f>'הזנת נתונים'!A4</f>
        <v>55</v>
      </c>
      <c r="AS67" s="7"/>
      <c r="AT67" s="7"/>
      <c r="AU67" s="7"/>
      <c r="AV67" s="7"/>
      <c r="AW67" s="7"/>
      <c r="AX67" s="7"/>
      <c r="AY67" s="7"/>
      <c r="BA67">
        <v>3</v>
      </c>
      <c r="BB67" s="4">
        <f t="shared" si="39"/>
        <v>703.66666666666902</v>
      </c>
      <c r="BE67" s="7">
        <v>4</v>
      </c>
      <c r="BF67" s="52">
        <f>'הזנת נתונים'!A4</f>
        <v>55</v>
      </c>
      <c r="BG67" s="7"/>
      <c r="BH67" s="7"/>
      <c r="BI67" s="7"/>
      <c r="BJ67" s="7"/>
      <c r="BK67" s="7"/>
      <c r="BL67" s="7"/>
      <c r="BM67" s="7"/>
      <c r="BO67">
        <v>3</v>
      </c>
      <c r="BP67" s="4">
        <f t="shared" si="40"/>
        <v>703.66666666666924</v>
      </c>
    </row>
    <row r="68" spans="1:68" x14ac:dyDescent="0.25">
      <c r="A68" s="7">
        <v>5</v>
      </c>
      <c r="B68" s="52">
        <f>'הזנת נתונים'!A5</f>
        <v>70</v>
      </c>
      <c r="C68" s="7"/>
      <c r="D68" s="7"/>
      <c r="E68" s="7"/>
      <c r="F68" s="7"/>
      <c r="G68" s="7"/>
      <c r="H68" s="7"/>
      <c r="I68" s="7"/>
      <c r="K68">
        <v>4</v>
      </c>
      <c r="L68" s="4">
        <f t="shared" si="36"/>
        <v>714.66666666666913</v>
      </c>
      <c r="O68" s="7">
        <v>5</v>
      </c>
      <c r="P68" s="52">
        <f>'הזנת נתונים'!A5</f>
        <v>70</v>
      </c>
      <c r="Q68" s="7"/>
      <c r="R68" s="7"/>
      <c r="S68" s="7"/>
      <c r="T68" s="7"/>
      <c r="U68" s="7"/>
      <c r="V68" s="7"/>
      <c r="W68" s="7"/>
      <c r="Y68">
        <v>4</v>
      </c>
      <c r="Z68" s="4">
        <f t="shared" si="37"/>
        <v>714.66666666666913</v>
      </c>
      <c r="AC68" s="7">
        <v>5</v>
      </c>
      <c r="AD68" s="52">
        <f>'הזנת נתונים'!A5</f>
        <v>70</v>
      </c>
      <c r="AE68" s="7"/>
      <c r="AF68" s="7"/>
      <c r="AG68" s="7"/>
      <c r="AH68" s="7"/>
      <c r="AI68" s="7"/>
      <c r="AJ68" s="7"/>
      <c r="AK68" s="7"/>
      <c r="AM68">
        <v>4</v>
      </c>
      <c r="AN68" s="4">
        <f t="shared" si="38"/>
        <v>714.66666666666913</v>
      </c>
      <c r="AQ68" s="7">
        <v>5</v>
      </c>
      <c r="AR68" s="52">
        <f>'הזנת נתונים'!A5</f>
        <v>70</v>
      </c>
      <c r="AS68" s="7"/>
      <c r="AT68" s="7"/>
      <c r="AU68" s="7"/>
      <c r="AV68" s="7"/>
      <c r="AW68" s="7"/>
      <c r="AX68" s="7"/>
      <c r="AY68" s="7"/>
      <c r="BA68">
        <v>4</v>
      </c>
      <c r="BB68" s="4">
        <f t="shared" si="39"/>
        <v>714.66666666666913</v>
      </c>
      <c r="BE68" s="7">
        <v>5</v>
      </c>
      <c r="BF68" s="52">
        <f>'הזנת נתונים'!A5</f>
        <v>70</v>
      </c>
      <c r="BG68" s="7"/>
      <c r="BH68" s="7"/>
      <c r="BI68" s="7"/>
      <c r="BJ68" s="7"/>
      <c r="BK68" s="7"/>
      <c r="BL68" s="7"/>
      <c r="BM68" s="7"/>
      <c r="BO68">
        <v>4</v>
      </c>
      <c r="BP68" s="4">
        <f t="shared" si="40"/>
        <v>714.66666666666924</v>
      </c>
    </row>
    <row r="69" spans="1:68" x14ac:dyDescent="0.25">
      <c r="A69" s="7">
        <v>6</v>
      </c>
      <c r="B69" s="52">
        <f>'הזנת נתונים'!A6</f>
        <v>75</v>
      </c>
      <c r="C69" s="7"/>
      <c r="D69" s="7"/>
      <c r="E69" s="7"/>
      <c r="F69" s="7"/>
      <c r="G69" s="7"/>
      <c r="H69" s="7"/>
      <c r="I69" s="7"/>
      <c r="K69">
        <v>5</v>
      </c>
      <c r="L69" s="4">
        <f t="shared" si="36"/>
        <v>725.66666666666913</v>
      </c>
      <c r="O69" s="7">
        <v>6</v>
      </c>
      <c r="P69" s="52">
        <f>'הזנת נתונים'!A6</f>
        <v>75</v>
      </c>
      <c r="Q69" s="7"/>
      <c r="R69" s="7"/>
      <c r="S69" s="7"/>
      <c r="T69" s="7"/>
      <c r="U69" s="7"/>
      <c r="V69" s="7"/>
      <c r="W69" s="7"/>
      <c r="Y69">
        <v>5</v>
      </c>
      <c r="Z69" s="4">
        <f t="shared" si="37"/>
        <v>725.66666666666913</v>
      </c>
      <c r="AC69" s="7">
        <v>6</v>
      </c>
      <c r="AD69" s="52">
        <f>'הזנת נתונים'!A6</f>
        <v>75</v>
      </c>
      <c r="AE69" s="7"/>
      <c r="AF69" s="7"/>
      <c r="AG69" s="7"/>
      <c r="AH69" s="7"/>
      <c r="AI69" s="7"/>
      <c r="AJ69" s="7"/>
      <c r="AK69" s="7"/>
      <c r="AM69">
        <v>5</v>
      </c>
      <c r="AN69" s="4">
        <f t="shared" si="38"/>
        <v>725.66666666666913</v>
      </c>
      <c r="AQ69" s="7">
        <v>6</v>
      </c>
      <c r="AR69" s="52">
        <f>'הזנת נתונים'!A6</f>
        <v>75</v>
      </c>
      <c r="AS69" s="7"/>
      <c r="AT69" s="7"/>
      <c r="AU69" s="7"/>
      <c r="AV69" s="7"/>
      <c r="AW69" s="7"/>
      <c r="AX69" s="7"/>
      <c r="AY69" s="7"/>
      <c r="BA69">
        <v>5</v>
      </c>
      <c r="BB69" s="4">
        <f t="shared" si="39"/>
        <v>725.66666666666913</v>
      </c>
      <c r="BE69" s="7">
        <v>6</v>
      </c>
      <c r="BF69" s="52">
        <f>'הזנת נתונים'!A6</f>
        <v>75</v>
      </c>
      <c r="BG69" s="7"/>
      <c r="BH69" s="7"/>
      <c r="BI69" s="7"/>
      <c r="BJ69" s="7"/>
      <c r="BK69" s="7"/>
      <c r="BL69" s="7"/>
      <c r="BM69" s="7"/>
      <c r="BO69">
        <v>5</v>
      </c>
      <c r="BP69" s="4">
        <f t="shared" si="40"/>
        <v>725.66666666666936</v>
      </c>
    </row>
    <row r="70" spans="1:68" x14ac:dyDescent="0.25">
      <c r="A70" s="7">
        <v>7</v>
      </c>
      <c r="B70" s="52">
        <f>'הזנת נתונים'!A7</f>
        <v>87.6666666666667</v>
      </c>
      <c r="C70" s="7"/>
      <c r="D70" s="7"/>
      <c r="E70" s="7"/>
      <c r="F70" s="7"/>
      <c r="G70" s="7"/>
      <c r="H70" s="7"/>
      <c r="I70" s="7"/>
      <c r="K70">
        <v>6</v>
      </c>
      <c r="L70" s="4">
        <f t="shared" si="36"/>
        <v>736.66666666666913</v>
      </c>
      <c r="O70" s="7">
        <v>7</v>
      </c>
      <c r="P70" s="52">
        <f>'הזנת נתונים'!A7</f>
        <v>87.6666666666667</v>
      </c>
      <c r="Q70" s="7"/>
      <c r="R70" s="7"/>
      <c r="S70" s="7"/>
      <c r="T70" s="7"/>
      <c r="U70" s="7"/>
      <c r="V70" s="7"/>
      <c r="W70" s="7"/>
      <c r="Y70">
        <v>6</v>
      </c>
      <c r="Z70" s="4">
        <f t="shared" si="37"/>
        <v>736.66666666666913</v>
      </c>
      <c r="AC70" s="7">
        <v>7</v>
      </c>
      <c r="AD70" s="52">
        <f>'הזנת נתונים'!A7</f>
        <v>87.6666666666667</v>
      </c>
      <c r="AE70" s="7"/>
      <c r="AF70" s="7"/>
      <c r="AG70" s="7"/>
      <c r="AH70" s="7"/>
      <c r="AI70" s="7"/>
      <c r="AJ70" s="7"/>
      <c r="AK70" s="7"/>
      <c r="AM70">
        <v>6</v>
      </c>
      <c r="AN70" s="4">
        <f t="shared" si="38"/>
        <v>736.66666666666913</v>
      </c>
      <c r="AQ70" s="7">
        <v>7</v>
      </c>
      <c r="AR70" s="52">
        <f>'הזנת נתונים'!A7</f>
        <v>87.6666666666667</v>
      </c>
      <c r="AS70" s="7"/>
      <c r="AT70" s="7"/>
      <c r="AU70" s="7"/>
      <c r="AV70" s="7"/>
      <c r="AW70" s="7"/>
      <c r="AX70" s="7"/>
      <c r="AY70" s="7"/>
      <c r="BA70">
        <v>6</v>
      </c>
      <c r="BB70" s="4">
        <f t="shared" si="39"/>
        <v>736.66666666666913</v>
      </c>
      <c r="BE70" s="7">
        <v>7</v>
      </c>
      <c r="BF70" s="52">
        <f>'הזנת נתונים'!A7</f>
        <v>87.6666666666667</v>
      </c>
      <c r="BG70" s="7"/>
      <c r="BH70" s="7"/>
      <c r="BI70" s="7"/>
      <c r="BJ70" s="7"/>
      <c r="BK70" s="7"/>
      <c r="BL70" s="7"/>
      <c r="BM70" s="7"/>
      <c r="BO70">
        <v>6</v>
      </c>
      <c r="BP70" s="4">
        <f t="shared" si="40"/>
        <v>736.66666666666936</v>
      </c>
    </row>
    <row r="71" spans="1:68" x14ac:dyDescent="0.25">
      <c r="A71" s="7">
        <v>8</v>
      </c>
      <c r="B71" s="52">
        <f>'הזנת נתונים'!A8</f>
        <v>98.6666666666667</v>
      </c>
      <c r="C71" s="7"/>
      <c r="D71" s="7"/>
      <c r="E71" s="7"/>
      <c r="F71" s="7"/>
      <c r="G71" s="7"/>
      <c r="H71" s="7"/>
      <c r="I71" s="7"/>
      <c r="K71">
        <v>7</v>
      </c>
      <c r="L71" s="4">
        <f t="shared" si="36"/>
        <v>747.66666666666924</v>
      </c>
      <c r="O71" s="7">
        <v>8</v>
      </c>
      <c r="P71" s="52">
        <f>'הזנת נתונים'!A8</f>
        <v>98.6666666666667</v>
      </c>
      <c r="Q71" s="7"/>
      <c r="R71" s="7"/>
      <c r="S71" s="7"/>
      <c r="T71" s="7"/>
      <c r="U71" s="7"/>
      <c r="V71" s="7"/>
      <c r="W71" s="7"/>
      <c r="Y71">
        <v>7</v>
      </c>
      <c r="Z71" s="4">
        <f t="shared" si="37"/>
        <v>747.66666666666913</v>
      </c>
      <c r="AC71" s="7">
        <v>8</v>
      </c>
      <c r="AD71" s="52">
        <f>'הזנת נתונים'!A8</f>
        <v>98.6666666666667</v>
      </c>
      <c r="AE71" s="7"/>
      <c r="AF71" s="7"/>
      <c r="AG71" s="7"/>
      <c r="AH71" s="7"/>
      <c r="AI71" s="7"/>
      <c r="AJ71" s="7"/>
      <c r="AK71" s="7"/>
      <c r="AM71">
        <v>7</v>
      </c>
      <c r="AN71" s="4">
        <f t="shared" si="38"/>
        <v>747.66666666666913</v>
      </c>
      <c r="AQ71" s="7">
        <v>8</v>
      </c>
      <c r="AR71" s="52">
        <f>'הזנת נתונים'!A8</f>
        <v>98.6666666666667</v>
      </c>
      <c r="AS71" s="7"/>
      <c r="AT71" s="7"/>
      <c r="AU71" s="7"/>
      <c r="AV71" s="7"/>
      <c r="AW71" s="7"/>
      <c r="AX71" s="7"/>
      <c r="AY71" s="7"/>
      <c r="BA71">
        <v>7</v>
      </c>
      <c r="BB71" s="4">
        <f t="shared" si="39"/>
        <v>747.66666666666913</v>
      </c>
      <c r="BE71" s="7">
        <v>8</v>
      </c>
      <c r="BF71" s="52">
        <f>'הזנת נתונים'!A8</f>
        <v>98.6666666666667</v>
      </c>
      <c r="BG71" s="7"/>
      <c r="BH71" s="7"/>
      <c r="BI71" s="7"/>
      <c r="BJ71" s="7"/>
      <c r="BK71" s="7"/>
      <c r="BL71" s="7"/>
      <c r="BM71" s="7"/>
      <c r="BO71">
        <v>7</v>
      </c>
      <c r="BP71" s="4">
        <f t="shared" si="40"/>
        <v>747.66666666666936</v>
      </c>
    </row>
    <row r="72" spans="1:68" x14ac:dyDescent="0.25">
      <c r="A72" s="7">
        <v>9</v>
      </c>
      <c r="B72" s="52">
        <f>'הזנת נתונים'!A9</f>
        <v>109.666666666667</v>
      </c>
      <c r="C72" s="7"/>
      <c r="D72" s="7"/>
      <c r="E72" s="7"/>
      <c r="F72" s="7"/>
      <c r="G72" s="7"/>
      <c r="H72" s="7"/>
      <c r="I72" s="7"/>
      <c r="K72">
        <v>8</v>
      </c>
      <c r="L72" s="4">
        <f t="shared" si="36"/>
        <v>758.66666666666924</v>
      </c>
      <c r="O72" s="7">
        <v>9</v>
      </c>
      <c r="P72" s="52">
        <f>'הזנת נתונים'!A9</f>
        <v>109.666666666667</v>
      </c>
      <c r="Q72" s="7"/>
      <c r="R72" s="7"/>
      <c r="S72" s="7"/>
      <c r="T72" s="7"/>
      <c r="U72" s="7"/>
      <c r="V72" s="7"/>
      <c r="W72" s="7"/>
      <c r="Y72">
        <v>8</v>
      </c>
      <c r="Z72" s="4">
        <f t="shared" si="37"/>
        <v>758.66666666666924</v>
      </c>
      <c r="AC72" s="7">
        <v>9</v>
      </c>
      <c r="AD72" s="52">
        <f>'הזנת נתונים'!A9</f>
        <v>109.666666666667</v>
      </c>
      <c r="AE72" s="7"/>
      <c r="AF72" s="7"/>
      <c r="AG72" s="7"/>
      <c r="AH72" s="7"/>
      <c r="AI72" s="7"/>
      <c r="AJ72" s="7"/>
      <c r="AK72" s="7"/>
      <c r="AM72">
        <v>8</v>
      </c>
      <c r="AN72" s="4">
        <f t="shared" si="38"/>
        <v>758.66666666666924</v>
      </c>
      <c r="AQ72" s="7">
        <v>9</v>
      </c>
      <c r="AR72" s="52">
        <f>'הזנת נתונים'!A9</f>
        <v>109.666666666667</v>
      </c>
      <c r="AS72" s="7"/>
      <c r="AT72" s="7"/>
      <c r="AU72" s="7"/>
      <c r="AV72" s="7"/>
      <c r="AW72" s="7"/>
      <c r="AX72" s="7"/>
      <c r="AY72" s="7"/>
      <c r="BA72">
        <v>8</v>
      </c>
      <c r="BB72" s="4">
        <f t="shared" si="39"/>
        <v>758.66666666666913</v>
      </c>
      <c r="BE72" s="7">
        <v>9</v>
      </c>
      <c r="BF72" s="52">
        <f>'הזנת נתונים'!A9</f>
        <v>109.666666666667</v>
      </c>
      <c r="BG72" s="7"/>
      <c r="BH72" s="7"/>
      <c r="BI72" s="7"/>
      <c r="BJ72" s="7"/>
      <c r="BK72" s="7"/>
      <c r="BL72" s="7"/>
      <c r="BM72" s="7"/>
      <c r="BO72">
        <v>8</v>
      </c>
      <c r="BP72" s="4">
        <f t="shared" si="40"/>
        <v>758.66666666666947</v>
      </c>
    </row>
    <row r="73" spans="1:68" x14ac:dyDescent="0.25">
      <c r="A73" s="7">
        <v>10</v>
      </c>
      <c r="B73" s="52">
        <f>'הזנת נתונים'!A10</f>
        <v>120.666666666667</v>
      </c>
      <c r="C73" s="7">
        <f>AVERAGE(B64:B73)</f>
        <v>71.966666666666725</v>
      </c>
      <c r="D73" s="7"/>
      <c r="E73" s="7"/>
      <c r="F73" s="7"/>
      <c r="G73" s="7"/>
      <c r="H73" s="7"/>
      <c r="I73" s="7"/>
      <c r="K73">
        <v>9</v>
      </c>
      <c r="L73" s="4">
        <f t="shared" si="36"/>
        <v>769.66666666666924</v>
      </c>
      <c r="O73" s="7">
        <v>10</v>
      </c>
      <c r="P73" s="52">
        <f>'הזנת נתונים'!A10</f>
        <v>120.666666666667</v>
      </c>
      <c r="Q73" s="7"/>
      <c r="R73" s="7"/>
      <c r="S73" s="7"/>
      <c r="T73" s="7"/>
      <c r="U73" s="7"/>
      <c r="V73" s="7"/>
      <c r="W73" s="7"/>
      <c r="Y73">
        <v>9</v>
      </c>
      <c r="Z73" s="4">
        <f t="shared" si="37"/>
        <v>769.66666666666924</v>
      </c>
      <c r="AC73" s="7">
        <v>10</v>
      </c>
      <c r="AD73" s="52">
        <f>'הזנת נתונים'!A10</f>
        <v>120.666666666667</v>
      </c>
      <c r="AE73" s="7"/>
      <c r="AF73" s="7"/>
      <c r="AG73" s="7"/>
      <c r="AH73" s="7"/>
      <c r="AI73" s="7"/>
      <c r="AJ73" s="7"/>
      <c r="AK73" s="7"/>
      <c r="AM73">
        <v>9</v>
      </c>
      <c r="AN73" s="4">
        <f t="shared" si="38"/>
        <v>769.66666666666924</v>
      </c>
      <c r="AQ73" s="7">
        <v>10</v>
      </c>
      <c r="AR73" s="52">
        <f>'הזנת נתונים'!A10</f>
        <v>120.666666666667</v>
      </c>
      <c r="AS73" s="7"/>
      <c r="AT73" s="7"/>
      <c r="AU73" s="7"/>
      <c r="AV73" s="7"/>
      <c r="AW73" s="7"/>
      <c r="AX73" s="7"/>
      <c r="AY73" s="7"/>
      <c r="BA73">
        <v>9</v>
      </c>
      <c r="BB73" s="4">
        <f t="shared" si="39"/>
        <v>769.66666666666924</v>
      </c>
      <c r="BE73" s="7">
        <v>10</v>
      </c>
      <c r="BF73" s="52">
        <f>'הזנת נתונים'!A10</f>
        <v>120.666666666667</v>
      </c>
      <c r="BG73" s="7"/>
      <c r="BH73" s="7"/>
      <c r="BI73" s="7"/>
      <c r="BJ73" s="7"/>
      <c r="BK73" s="7"/>
      <c r="BL73" s="7"/>
      <c r="BM73" s="7"/>
      <c r="BO73">
        <v>9</v>
      </c>
      <c r="BP73" s="4">
        <f t="shared" si="40"/>
        <v>769.66666666666947</v>
      </c>
    </row>
    <row r="74" spans="1:68" x14ac:dyDescent="0.25">
      <c r="A74" s="7">
        <v>11</v>
      </c>
      <c r="B74" s="52">
        <f>'הזנת נתונים'!A11</f>
        <v>131.666666666667</v>
      </c>
      <c r="C74" s="7">
        <f t="shared" ref="C74:D123" si="41">AVERAGE(B65:B74)</f>
        <v>82.333333333333428</v>
      </c>
      <c r="D74" s="7"/>
      <c r="E74" s="7"/>
      <c r="F74" s="7"/>
      <c r="G74" s="7"/>
      <c r="H74" s="7"/>
      <c r="I74" s="7"/>
      <c r="K74">
        <v>10</v>
      </c>
      <c r="L74" s="4">
        <f t="shared" si="36"/>
        <v>780.66666666666924</v>
      </c>
      <c r="O74" s="7">
        <v>11</v>
      </c>
      <c r="P74" s="52">
        <f>'הזנת נתונים'!A11</f>
        <v>131.666666666667</v>
      </c>
      <c r="Q74" s="7">
        <f>AVERAGE(P64:P74)</f>
        <v>77.393939393939476</v>
      </c>
      <c r="R74" s="7"/>
      <c r="S74" s="7"/>
      <c r="T74" s="7"/>
      <c r="U74" s="7"/>
      <c r="V74" s="7"/>
      <c r="W74" s="7"/>
      <c r="Y74">
        <v>10</v>
      </c>
      <c r="Z74" s="4">
        <f t="shared" si="37"/>
        <v>780.66666666666924</v>
      </c>
      <c r="AC74" s="7">
        <v>11</v>
      </c>
      <c r="AD74" s="52">
        <f>'הזנת נתונים'!A11</f>
        <v>131.666666666667</v>
      </c>
      <c r="AE74" s="7"/>
      <c r="AF74" s="7"/>
      <c r="AG74" s="7"/>
      <c r="AH74" s="7"/>
      <c r="AI74" s="7"/>
      <c r="AJ74" s="7"/>
      <c r="AK74" s="7"/>
      <c r="AM74">
        <v>10</v>
      </c>
      <c r="AN74" s="4">
        <f t="shared" si="38"/>
        <v>780.66666666666924</v>
      </c>
      <c r="AQ74" s="7">
        <v>11</v>
      </c>
      <c r="AR74" s="52">
        <f>'הזנת נתונים'!A11</f>
        <v>131.666666666667</v>
      </c>
      <c r="AS74" s="7"/>
      <c r="AT74" s="7"/>
      <c r="AU74" s="7"/>
      <c r="AV74" s="7"/>
      <c r="AW74" s="7"/>
      <c r="AX74" s="7"/>
      <c r="AY74" s="7"/>
      <c r="BA74">
        <v>10</v>
      </c>
      <c r="BB74" s="4">
        <f t="shared" si="39"/>
        <v>780.66666666666924</v>
      </c>
      <c r="BE74" s="7">
        <v>11</v>
      </c>
      <c r="BF74" s="52">
        <f>'הזנת נתונים'!A11</f>
        <v>131.666666666667</v>
      </c>
      <c r="BG74" s="7"/>
      <c r="BH74" s="7"/>
      <c r="BI74" s="7"/>
      <c r="BJ74" s="7"/>
      <c r="BK74" s="7"/>
      <c r="BL74" s="7"/>
      <c r="BM74" s="7"/>
      <c r="BO74">
        <v>10</v>
      </c>
      <c r="BP74" s="4">
        <f t="shared" si="40"/>
        <v>780.66666666666947</v>
      </c>
    </row>
    <row r="75" spans="1:68" x14ac:dyDescent="0.25">
      <c r="A75" s="7">
        <v>12</v>
      </c>
      <c r="B75" s="52">
        <f>'הזנת נתונים'!A12</f>
        <v>142.666666666667</v>
      </c>
      <c r="C75" s="7">
        <f t="shared" si="41"/>
        <v>93.100000000000122</v>
      </c>
      <c r="D75" s="7"/>
      <c r="E75" s="7"/>
      <c r="F75" s="7"/>
      <c r="G75" s="7"/>
      <c r="H75" s="7"/>
      <c r="I75" s="7"/>
      <c r="K75">
        <v>11</v>
      </c>
      <c r="L75" s="4">
        <f t="shared" si="36"/>
        <v>791.66666666666924</v>
      </c>
      <c r="O75" s="7">
        <v>12</v>
      </c>
      <c r="P75" s="52">
        <f>'הזנת נתונים'!A12</f>
        <v>142.666666666667</v>
      </c>
      <c r="Q75" s="7">
        <f t="shared" ref="Q75:R123" si="42">AVERAGE(P65:P75)</f>
        <v>87.818181818181927</v>
      </c>
      <c r="R75" s="7"/>
      <c r="S75" s="7"/>
      <c r="T75" s="7"/>
      <c r="U75" s="7"/>
      <c r="V75" s="7"/>
      <c r="W75" s="7"/>
      <c r="Y75">
        <v>11</v>
      </c>
      <c r="Z75" s="4">
        <f t="shared" si="37"/>
        <v>791.66666666666924</v>
      </c>
      <c r="AC75" s="7">
        <v>12</v>
      </c>
      <c r="AD75" s="52">
        <f>'הזנת נתונים'!A12</f>
        <v>142.666666666667</v>
      </c>
      <c r="AE75" s="7">
        <f>AVERAGE(AD64:AD75)</f>
        <v>82.833333333333442</v>
      </c>
      <c r="AF75" s="7"/>
      <c r="AG75" s="7"/>
      <c r="AH75" s="7"/>
      <c r="AI75" s="7"/>
      <c r="AJ75" s="7"/>
      <c r="AK75" s="7"/>
      <c r="AM75">
        <v>11</v>
      </c>
      <c r="AN75" s="4">
        <f t="shared" si="38"/>
        <v>791.66666666666924</v>
      </c>
      <c r="AQ75" s="7">
        <v>12</v>
      </c>
      <c r="AR75" s="52">
        <f>'הזנת נתונים'!A12</f>
        <v>142.666666666667</v>
      </c>
      <c r="AS75" s="7"/>
      <c r="AT75" s="7"/>
      <c r="AU75" s="7"/>
      <c r="AV75" s="7"/>
      <c r="AW75" s="7"/>
      <c r="AX75" s="7"/>
      <c r="AY75" s="7"/>
      <c r="BA75">
        <v>11</v>
      </c>
      <c r="BB75" s="4">
        <f t="shared" si="39"/>
        <v>791.66666666666924</v>
      </c>
      <c r="BE75" s="7">
        <v>12</v>
      </c>
      <c r="BF75" s="52">
        <f>'הזנת נתונים'!A12</f>
        <v>142.666666666667</v>
      </c>
      <c r="BG75" s="7"/>
      <c r="BH75" s="7"/>
      <c r="BI75" s="7"/>
      <c r="BJ75" s="7"/>
      <c r="BK75" s="7"/>
      <c r="BL75" s="7"/>
      <c r="BM75" s="7"/>
      <c r="BO75">
        <v>11</v>
      </c>
      <c r="BP75" s="4">
        <f t="shared" si="40"/>
        <v>791.66666666666947</v>
      </c>
    </row>
    <row r="76" spans="1:68" x14ac:dyDescent="0.25">
      <c r="A76" s="7">
        <v>13</v>
      </c>
      <c r="B76" s="52">
        <f>'הזנת נתונים'!A13</f>
        <v>153.666666666667</v>
      </c>
      <c r="C76" s="7">
        <f t="shared" si="41"/>
        <v>104.46666666666684</v>
      </c>
      <c r="D76" s="7"/>
      <c r="E76" s="7"/>
      <c r="F76" s="7"/>
      <c r="G76" s="7"/>
      <c r="H76" s="7"/>
      <c r="I76" s="7"/>
      <c r="K76">
        <v>12</v>
      </c>
      <c r="L76" s="4">
        <f t="shared" si="36"/>
        <v>802.66666666666924</v>
      </c>
      <c r="O76" s="7">
        <v>13</v>
      </c>
      <c r="P76" s="52">
        <f>'הזנת נתונים'!A13</f>
        <v>153.666666666667</v>
      </c>
      <c r="Q76" s="7">
        <f t="shared" si="42"/>
        <v>98.606060606060751</v>
      </c>
      <c r="R76" s="7"/>
      <c r="S76" s="7"/>
      <c r="T76" s="7"/>
      <c r="U76" s="7"/>
      <c r="V76" s="7"/>
      <c r="W76" s="7"/>
      <c r="Y76">
        <v>12</v>
      </c>
      <c r="Z76" s="4">
        <f t="shared" si="37"/>
        <v>802.66666666666924</v>
      </c>
      <c r="AC76" s="7">
        <v>13</v>
      </c>
      <c r="AD76" s="52">
        <f>'הזנת נתונים'!A13</f>
        <v>153.666666666667</v>
      </c>
      <c r="AE76" s="7">
        <f t="shared" ref="AE76:AF123" si="43">AVERAGE(AD65:AD76)</f>
        <v>93.305555555555699</v>
      </c>
      <c r="AF76" s="7"/>
      <c r="AG76" s="7"/>
      <c r="AH76" s="7"/>
      <c r="AI76" s="7"/>
      <c r="AJ76" s="7"/>
      <c r="AK76" s="7"/>
      <c r="AM76">
        <v>12</v>
      </c>
      <c r="AN76" s="4">
        <f t="shared" si="38"/>
        <v>802.66666666666924</v>
      </c>
      <c r="AQ76" s="7">
        <v>13</v>
      </c>
      <c r="AR76" s="52">
        <f>'הזנת נתונים'!A13</f>
        <v>153.666666666667</v>
      </c>
      <c r="AS76" s="7">
        <f>AVERAGE(AR64:AR76)</f>
        <v>88.282051282051412</v>
      </c>
      <c r="AT76" s="7"/>
      <c r="AU76" s="7"/>
      <c r="AV76" s="7"/>
      <c r="AW76" s="7"/>
      <c r="AX76" s="7"/>
      <c r="AY76" s="7"/>
      <c r="BA76">
        <v>12</v>
      </c>
      <c r="BB76" s="4">
        <f t="shared" si="39"/>
        <v>802.66666666666924</v>
      </c>
      <c r="BE76" s="7">
        <v>13</v>
      </c>
      <c r="BF76" s="52">
        <f>'הזנת נתונים'!A13</f>
        <v>153.666666666667</v>
      </c>
      <c r="BG76" s="7"/>
      <c r="BH76" s="7"/>
      <c r="BI76" s="7"/>
      <c r="BJ76" s="7"/>
      <c r="BK76" s="7"/>
      <c r="BL76" s="7"/>
      <c r="BM76" s="7"/>
      <c r="BO76">
        <v>12</v>
      </c>
      <c r="BP76" s="4">
        <f t="shared" si="40"/>
        <v>802.66666666666958</v>
      </c>
    </row>
    <row r="77" spans="1:68" x14ac:dyDescent="0.25">
      <c r="A77" s="7">
        <v>14</v>
      </c>
      <c r="B77" s="52">
        <f>'הזנת נתונים'!A14</f>
        <v>164.666666666667</v>
      </c>
      <c r="C77" s="7">
        <f t="shared" si="41"/>
        <v>115.43333333333354</v>
      </c>
      <c r="D77" s="7"/>
      <c r="E77" s="7"/>
      <c r="F77" s="7"/>
      <c r="G77" s="7"/>
      <c r="H77" s="7"/>
      <c r="I77" s="7"/>
      <c r="O77" s="7">
        <v>14</v>
      </c>
      <c r="P77" s="52">
        <f>'הזנת נתונים'!A14</f>
        <v>164.666666666667</v>
      </c>
      <c r="Q77" s="7">
        <f t="shared" si="42"/>
        <v>109.93939393939412</v>
      </c>
      <c r="R77" s="7"/>
      <c r="S77" s="7"/>
      <c r="T77" s="7"/>
      <c r="U77" s="7"/>
      <c r="V77" s="7"/>
      <c r="W77" s="7"/>
      <c r="AC77" s="7">
        <v>14</v>
      </c>
      <c r="AD77" s="52">
        <f>'הזנת נתונים'!A14</f>
        <v>164.666666666667</v>
      </c>
      <c r="AE77" s="7">
        <f t="shared" si="43"/>
        <v>104.11111111111127</v>
      </c>
      <c r="AF77" s="7"/>
      <c r="AG77" s="7"/>
      <c r="AH77" s="7"/>
      <c r="AI77" s="7"/>
      <c r="AJ77" s="7"/>
      <c r="AK77" s="7"/>
      <c r="AQ77" s="7">
        <v>14</v>
      </c>
      <c r="AR77" s="52">
        <f>'הזנת נתונים'!A14</f>
        <v>164.666666666667</v>
      </c>
      <c r="AS77" s="7">
        <f t="shared" ref="AS77:AT123" si="44">AVERAGE(AR65:AR77)</f>
        <v>98.794871794871952</v>
      </c>
      <c r="AT77" s="7"/>
      <c r="AU77" s="7"/>
      <c r="AV77" s="7"/>
      <c r="AW77" s="7"/>
      <c r="AX77" s="7"/>
      <c r="AY77" s="7"/>
      <c r="BE77" s="7">
        <v>14</v>
      </c>
      <c r="BF77" s="52">
        <f>'הזנת נתונים'!A14</f>
        <v>164.666666666667</v>
      </c>
      <c r="BG77" s="7">
        <f>AVERAGE(BF64:BF77)</f>
        <v>93.738095238095383</v>
      </c>
      <c r="BH77" s="7"/>
      <c r="BI77" s="7"/>
      <c r="BJ77" s="7"/>
      <c r="BK77" s="7"/>
      <c r="BL77" s="7"/>
      <c r="BM77" s="7"/>
    </row>
    <row r="78" spans="1:68" x14ac:dyDescent="0.25">
      <c r="A78" s="7">
        <v>15</v>
      </c>
      <c r="B78" s="52">
        <f>'הזנת נתונים'!A15</f>
        <v>175.666666666667</v>
      </c>
      <c r="C78" s="7">
        <f t="shared" si="41"/>
        <v>126.00000000000023</v>
      </c>
      <c r="D78" s="7"/>
      <c r="E78" s="7"/>
      <c r="F78" s="7"/>
      <c r="G78" s="7"/>
      <c r="H78" s="7"/>
      <c r="I78" s="7"/>
      <c r="O78" s="7">
        <v>15</v>
      </c>
      <c r="P78" s="52">
        <f>'הזנת נתונים'!A15</f>
        <v>175.666666666667</v>
      </c>
      <c r="Q78" s="7">
        <f t="shared" si="42"/>
        <v>120.90909090909112</v>
      </c>
      <c r="R78" s="7"/>
      <c r="S78" s="7"/>
      <c r="T78" s="7"/>
      <c r="U78" s="7"/>
      <c r="V78" s="7"/>
      <c r="W78" s="7"/>
      <c r="AC78" s="7">
        <v>15</v>
      </c>
      <c r="AD78" s="52">
        <f>'הזנת נתונים'!A15</f>
        <v>175.666666666667</v>
      </c>
      <c r="AE78" s="7">
        <f t="shared" si="43"/>
        <v>115.41666666666686</v>
      </c>
      <c r="AF78" s="7"/>
      <c r="AG78" s="7"/>
      <c r="AH78" s="7"/>
      <c r="AI78" s="7"/>
      <c r="AJ78" s="7"/>
      <c r="AK78" s="7"/>
      <c r="AQ78" s="7">
        <v>15</v>
      </c>
      <c r="AR78" s="52">
        <f>'הזנת נתונים'!A15</f>
        <v>175.666666666667</v>
      </c>
      <c r="AS78" s="7">
        <f t="shared" si="44"/>
        <v>109.61538461538478</v>
      </c>
      <c r="AT78" s="7"/>
      <c r="AU78" s="7"/>
      <c r="AV78" s="7"/>
      <c r="AW78" s="7"/>
      <c r="AX78" s="7"/>
      <c r="AY78" s="7"/>
      <c r="BE78" s="7">
        <v>15</v>
      </c>
      <c r="BF78" s="52">
        <f>'הזנת נתונים'!A15</f>
        <v>175.666666666667</v>
      </c>
      <c r="BG78" s="7">
        <f t="shared" ref="BG78:BH123" si="45">AVERAGE(BF65:BF78)</f>
        <v>104.28571428571445</v>
      </c>
      <c r="BH78" s="7"/>
      <c r="BI78" s="7"/>
      <c r="BJ78" s="7"/>
      <c r="BK78" s="7"/>
      <c r="BL78" s="7"/>
      <c r="BM78" s="7"/>
    </row>
    <row r="79" spans="1:68" x14ac:dyDescent="0.25">
      <c r="A79" s="7">
        <v>16</v>
      </c>
      <c r="B79" s="52">
        <f>'הזנת נתונים'!A16</f>
        <v>186.666666666667</v>
      </c>
      <c r="C79" s="7">
        <f t="shared" si="41"/>
        <v>137.16666666666691</v>
      </c>
      <c r="D79" s="7"/>
      <c r="E79" s="7"/>
      <c r="F79" s="7"/>
      <c r="G79" s="7"/>
      <c r="H79" s="7"/>
      <c r="I79" s="7"/>
      <c r="O79" s="7">
        <v>16</v>
      </c>
      <c r="P79" s="52">
        <f>'הזנת נתונים'!A16</f>
        <v>186.666666666667</v>
      </c>
      <c r="Q79" s="7">
        <f t="shared" si="42"/>
        <v>131.51515151515176</v>
      </c>
      <c r="R79" s="7"/>
      <c r="S79" s="7"/>
      <c r="T79" s="7"/>
      <c r="U79" s="7"/>
      <c r="V79" s="7"/>
      <c r="W79" s="7"/>
      <c r="AC79" s="7">
        <v>16</v>
      </c>
      <c r="AD79" s="52">
        <f>'הזנת נתונים'!A16</f>
        <v>186.666666666667</v>
      </c>
      <c r="AE79" s="7">
        <f t="shared" si="43"/>
        <v>126.3888888888891</v>
      </c>
      <c r="AF79" s="7"/>
      <c r="AG79" s="7"/>
      <c r="AH79" s="7"/>
      <c r="AI79" s="7"/>
      <c r="AJ79" s="7"/>
      <c r="AK79" s="7"/>
      <c r="AQ79" s="7">
        <v>16</v>
      </c>
      <c r="AR79" s="52">
        <f>'הזנת נתונים'!A16</f>
        <v>186.666666666667</v>
      </c>
      <c r="AS79" s="7">
        <f t="shared" si="44"/>
        <v>120.8974358974361</v>
      </c>
      <c r="AT79" s="7"/>
      <c r="AU79" s="7"/>
      <c r="AV79" s="7"/>
      <c r="AW79" s="7"/>
      <c r="AX79" s="7"/>
      <c r="AY79" s="7"/>
      <c r="BE79" s="7">
        <v>16</v>
      </c>
      <c r="BF79" s="52">
        <f>'הזנת נתונים'!A16</f>
        <v>186.666666666667</v>
      </c>
      <c r="BG79" s="7">
        <f t="shared" si="45"/>
        <v>115.11904761904781</v>
      </c>
      <c r="BH79" s="7"/>
      <c r="BI79" s="7"/>
      <c r="BJ79" s="7"/>
      <c r="BK79" s="7"/>
      <c r="BL79" s="7"/>
      <c r="BM79" s="7"/>
    </row>
    <row r="80" spans="1:68" x14ac:dyDescent="0.25">
      <c r="A80" s="7">
        <v>17</v>
      </c>
      <c r="B80" s="52">
        <f>'הזנת נתונים'!A17</f>
        <v>197.666666666667</v>
      </c>
      <c r="C80" s="7">
        <f t="shared" si="41"/>
        <v>148.16666666666694</v>
      </c>
      <c r="D80" s="7"/>
      <c r="E80" s="7"/>
      <c r="F80" s="7"/>
      <c r="G80" s="7"/>
      <c r="H80" s="7"/>
      <c r="I80" s="7"/>
      <c r="O80" s="7">
        <v>17</v>
      </c>
      <c r="P80" s="52">
        <f>'הזנת נתונים'!A17</f>
        <v>197.666666666667</v>
      </c>
      <c r="Q80" s="7">
        <f t="shared" si="42"/>
        <v>142.66666666666694</v>
      </c>
      <c r="R80" s="7"/>
      <c r="S80" s="7"/>
      <c r="T80" s="7"/>
      <c r="U80" s="7"/>
      <c r="V80" s="7"/>
      <c r="W80" s="7"/>
      <c r="AC80" s="7">
        <v>17</v>
      </c>
      <c r="AD80" s="52">
        <f>'הזנת נתונים'!A17</f>
        <v>197.666666666667</v>
      </c>
      <c r="AE80" s="7">
        <f t="shared" si="43"/>
        <v>137.02777777777803</v>
      </c>
      <c r="AF80" s="7"/>
      <c r="AG80" s="7"/>
      <c r="AH80" s="7"/>
      <c r="AI80" s="7"/>
      <c r="AJ80" s="7"/>
      <c r="AK80" s="7"/>
      <c r="AQ80" s="7">
        <v>17</v>
      </c>
      <c r="AR80" s="52">
        <f>'הזנת נתונים'!A17</f>
        <v>197.666666666667</v>
      </c>
      <c r="AS80" s="7">
        <f t="shared" si="44"/>
        <v>131.87179487179509</v>
      </c>
      <c r="AT80" s="7"/>
      <c r="AU80" s="7"/>
      <c r="AV80" s="7"/>
      <c r="AW80" s="7"/>
      <c r="AX80" s="7"/>
      <c r="AY80" s="7"/>
      <c r="BE80" s="7">
        <v>17</v>
      </c>
      <c r="BF80" s="52">
        <f>'הזנת נתונים'!A17</f>
        <v>197.666666666667</v>
      </c>
      <c r="BG80" s="7">
        <f t="shared" si="45"/>
        <v>126.38095238095259</v>
      </c>
      <c r="BH80" s="7"/>
      <c r="BI80" s="7"/>
      <c r="BJ80" s="7"/>
      <c r="BK80" s="7"/>
      <c r="BL80" s="7"/>
      <c r="BM80" s="7"/>
    </row>
    <row r="81" spans="1:65" x14ac:dyDescent="0.25">
      <c r="A81" s="7">
        <v>18</v>
      </c>
      <c r="B81" s="52">
        <f>'הזנת נתונים'!A18</f>
        <v>208.666666666667</v>
      </c>
      <c r="C81" s="7">
        <f t="shared" si="41"/>
        <v>159.166666666667</v>
      </c>
      <c r="D81" s="7"/>
      <c r="E81" s="7"/>
      <c r="F81" s="7"/>
      <c r="G81" s="7"/>
      <c r="H81" s="7"/>
      <c r="I81" s="7"/>
      <c r="O81" s="7">
        <v>18</v>
      </c>
      <c r="P81" s="52">
        <f>'הזנת נתונים'!A18</f>
        <v>208.666666666667</v>
      </c>
      <c r="Q81" s="7">
        <f t="shared" si="42"/>
        <v>153.66666666666694</v>
      </c>
      <c r="R81" s="7"/>
      <c r="S81" s="7"/>
      <c r="T81" s="7"/>
      <c r="U81" s="7"/>
      <c r="V81" s="7"/>
      <c r="W81" s="7"/>
      <c r="AC81" s="7">
        <v>18</v>
      </c>
      <c r="AD81" s="52">
        <f>'הזנת נתונים'!A18</f>
        <v>208.666666666667</v>
      </c>
      <c r="AE81" s="7">
        <f t="shared" si="43"/>
        <v>148.16666666666694</v>
      </c>
      <c r="AF81" s="7"/>
      <c r="AG81" s="7"/>
      <c r="AH81" s="7"/>
      <c r="AI81" s="7"/>
      <c r="AJ81" s="7"/>
      <c r="AK81" s="7"/>
      <c r="AQ81" s="7">
        <v>18</v>
      </c>
      <c r="AR81" s="52">
        <f>'הזנת נתונים'!A18</f>
        <v>208.666666666667</v>
      </c>
      <c r="AS81" s="7">
        <f t="shared" si="44"/>
        <v>142.53846153846177</v>
      </c>
      <c r="AT81" s="7"/>
      <c r="AU81" s="7"/>
      <c r="AV81" s="7"/>
      <c r="AW81" s="7"/>
      <c r="AX81" s="7"/>
      <c r="AY81" s="7"/>
      <c r="BE81" s="7">
        <v>18</v>
      </c>
      <c r="BF81" s="52">
        <f>'הזנת נתונים'!A18</f>
        <v>208.666666666667</v>
      </c>
      <c r="BG81" s="7">
        <f t="shared" si="45"/>
        <v>137.35714285714309</v>
      </c>
      <c r="BH81" s="7"/>
      <c r="BI81" s="7"/>
      <c r="BJ81" s="7"/>
      <c r="BK81" s="7"/>
      <c r="BL81" s="7"/>
      <c r="BM81" s="7"/>
    </row>
    <row r="82" spans="1:65" x14ac:dyDescent="0.25">
      <c r="A82" s="7">
        <v>19</v>
      </c>
      <c r="B82" s="52">
        <f>'הזנת נתונים'!A19</f>
        <v>219.666666666667</v>
      </c>
      <c r="C82" s="7">
        <f t="shared" si="41"/>
        <v>170.166666666667</v>
      </c>
      <c r="D82" s="7">
        <f>AVERAGE(C73:C82)</f>
        <v>120.79666666666688</v>
      </c>
      <c r="E82" s="7">
        <f>2*C82-D82</f>
        <v>219.53666666666712</v>
      </c>
      <c r="F82" s="7">
        <f>2*(C82-D82)/(10-1)</f>
        <v>10.971111111111137</v>
      </c>
      <c r="G82" s="7"/>
      <c r="H82" s="7"/>
      <c r="I82" s="7"/>
      <c r="O82" s="7">
        <v>19</v>
      </c>
      <c r="P82" s="52">
        <f>'הזנת נתונים'!A19</f>
        <v>219.666666666667</v>
      </c>
      <c r="Q82" s="7">
        <f t="shared" si="42"/>
        <v>164.666666666667</v>
      </c>
      <c r="R82" s="7"/>
      <c r="S82" s="7"/>
      <c r="T82" s="7"/>
      <c r="U82" s="7"/>
      <c r="V82" s="7"/>
      <c r="W82" s="7"/>
      <c r="AC82" s="7">
        <v>19</v>
      </c>
      <c r="AD82" s="52">
        <f>'הזנת נתונים'!A19</f>
        <v>219.666666666667</v>
      </c>
      <c r="AE82" s="7">
        <f t="shared" si="43"/>
        <v>159.16666666666694</v>
      </c>
      <c r="AF82" s="7"/>
      <c r="AG82" s="7"/>
      <c r="AH82" s="7"/>
      <c r="AI82" s="7"/>
      <c r="AJ82" s="7"/>
      <c r="AK82" s="7"/>
      <c r="AQ82" s="7">
        <v>19</v>
      </c>
      <c r="AR82" s="52">
        <f>'הזנת נתונים'!A19</f>
        <v>219.666666666667</v>
      </c>
      <c r="AS82" s="7">
        <f t="shared" si="44"/>
        <v>153.66666666666694</v>
      </c>
      <c r="AT82" s="7"/>
      <c r="AU82" s="7"/>
      <c r="AV82" s="7"/>
      <c r="AW82" s="7"/>
      <c r="AX82" s="7"/>
      <c r="AY82" s="7"/>
      <c r="BE82" s="7">
        <v>19</v>
      </c>
      <c r="BF82" s="52">
        <f>'הזנת נתונים'!A19</f>
        <v>219.666666666667</v>
      </c>
      <c r="BG82" s="7">
        <f t="shared" si="45"/>
        <v>148.04761904761929</v>
      </c>
      <c r="BH82" s="7"/>
      <c r="BI82" s="7"/>
      <c r="BJ82" s="7"/>
      <c r="BK82" s="7"/>
      <c r="BL82" s="7"/>
      <c r="BM82" s="7"/>
    </row>
    <row r="83" spans="1:65" x14ac:dyDescent="0.25">
      <c r="A83" s="7">
        <v>20</v>
      </c>
      <c r="B83" s="52">
        <f>'הזנת נתונים'!A20</f>
        <v>230.666666666667</v>
      </c>
      <c r="C83" s="7">
        <f t="shared" si="41"/>
        <v>181.166666666667</v>
      </c>
      <c r="D83" s="7">
        <f t="shared" si="41"/>
        <v>131.7166666666669</v>
      </c>
      <c r="E83" s="7">
        <f t="shared" ref="E83:E123" si="46">2*C83-D83</f>
        <v>230.6166666666671</v>
      </c>
      <c r="F83" s="7">
        <f t="shared" ref="F83:F123" si="47">2*(C83-D83)/(10-1)</f>
        <v>10.988888888888912</v>
      </c>
      <c r="G83" s="7">
        <f>E82+F82</f>
        <v>230.50777777777824</v>
      </c>
      <c r="H83" s="7">
        <f>G83-B83</f>
        <v>-0.15888888888875385</v>
      </c>
      <c r="I83" s="7">
        <f>H83^2</f>
        <v>2.5245679012302766E-2</v>
      </c>
      <c r="O83" s="7">
        <v>20</v>
      </c>
      <c r="P83" s="52">
        <f>'הזנת נתונים'!A20</f>
        <v>230.666666666667</v>
      </c>
      <c r="Q83" s="7">
        <f t="shared" si="42"/>
        <v>175.666666666667</v>
      </c>
      <c r="R83" s="7"/>
      <c r="S83" s="7"/>
      <c r="T83" s="7"/>
      <c r="U83" s="7"/>
      <c r="V83" s="7"/>
      <c r="W83" s="7"/>
      <c r="AC83" s="7">
        <v>20</v>
      </c>
      <c r="AD83" s="52">
        <f>'הזנת נתונים'!A20</f>
        <v>230.666666666667</v>
      </c>
      <c r="AE83" s="7">
        <f t="shared" si="43"/>
        <v>170.166666666667</v>
      </c>
      <c r="AF83" s="7"/>
      <c r="AG83" s="7"/>
      <c r="AH83" s="7"/>
      <c r="AI83" s="7"/>
      <c r="AJ83" s="7"/>
      <c r="AK83" s="7"/>
      <c r="AQ83" s="7">
        <v>20</v>
      </c>
      <c r="AR83" s="52">
        <f>'הזנת נתונים'!A20</f>
        <v>230.666666666667</v>
      </c>
      <c r="AS83" s="7">
        <f t="shared" si="44"/>
        <v>164.66666666666697</v>
      </c>
      <c r="AT83" s="7"/>
      <c r="AU83" s="7"/>
      <c r="AV83" s="7"/>
      <c r="AW83" s="7"/>
      <c r="AX83" s="7"/>
      <c r="AY83" s="7"/>
      <c r="BE83" s="7">
        <v>20</v>
      </c>
      <c r="BF83" s="52">
        <f>'הזנת נתונים'!A20</f>
        <v>230.666666666667</v>
      </c>
      <c r="BG83" s="7">
        <f t="shared" si="45"/>
        <v>159.16666666666694</v>
      </c>
      <c r="BH83" s="7"/>
      <c r="BI83" s="7"/>
      <c r="BJ83" s="7"/>
      <c r="BK83" s="7"/>
      <c r="BL83" s="7"/>
      <c r="BM83" s="7"/>
    </row>
    <row r="84" spans="1:65" x14ac:dyDescent="0.25">
      <c r="A84" s="7">
        <v>21</v>
      </c>
      <c r="B84" s="52">
        <f>'הזנת נתונים'!A21</f>
        <v>241.666666666667</v>
      </c>
      <c r="C84" s="7">
        <f t="shared" si="41"/>
        <v>192.166666666667</v>
      </c>
      <c r="D84" s="7">
        <f t="shared" si="41"/>
        <v>142.70000000000024</v>
      </c>
      <c r="E84" s="7">
        <f t="shared" si="46"/>
        <v>241.63333333333375</v>
      </c>
      <c r="F84" s="7">
        <f t="shared" si="47"/>
        <v>10.992592592592612</v>
      </c>
      <c r="G84" s="7">
        <f t="shared" ref="G84:G123" si="48">E83+F83</f>
        <v>241.60555555555601</v>
      </c>
      <c r="H84" s="7">
        <f t="shared" ref="H84:H123" si="49">G84-B84</f>
        <v>-6.1111111110989214E-2</v>
      </c>
      <c r="I84" s="7">
        <f t="shared" ref="I84:I123" si="50">H84^2</f>
        <v>3.7345679012196695E-3</v>
      </c>
      <c r="O84" s="7">
        <v>21</v>
      </c>
      <c r="P84" s="52">
        <f>'הזנת נתונים'!A21</f>
        <v>241.666666666667</v>
      </c>
      <c r="Q84" s="7">
        <f t="shared" si="42"/>
        <v>186.666666666667</v>
      </c>
      <c r="R84" s="7">
        <f>AVERAGE(Q74:Q84)</f>
        <v>131.77410468319582</v>
      </c>
      <c r="S84" s="7">
        <f>2*Q84-R84</f>
        <v>241.55922865013818</v>
      </c>
      <c r="T84" s="7">
        <f>2*(Q84-R84)/(11-1)</f>
        <v>10.978512396694237</v>
      </c>
      <c r="U84" s="7"/>
      <c r="V84" s="7"/>
      <c r="W84" s="7"/>
      <c r="AC84" s="7">
        <v>21</v>
      </c>
      <c r="AD84" s="52">
        <f>'הזנת נתונים'!A21</f>
        <v>241.666666666667</v>
      </c>
      <c r="AE84" s="7">
        <f t="shared" si="43"/>
        <v>181.166666666667</v>
      </c>
      <c r="AF84" s="7"/>
      <c r="AG84" s="7"/>
      <c r="AH84" s="7"/>
      <c r="AI84" s="7"/>
      <c r="AJ84" s="7"/>
      <c r="AK84" s="7"/>
      <c r="AQ84" s="7">
        <v>21</v>
      </c>
      <c r="AR84" s="52">
        <f>'הזנת נתונים'!A21</f>
        <v>241.666666666667</v>
      </c>
      <c r="AS84" s="7">
        <f t="shared" si="44"/>
        <v>175.666666666667</v>
      </c>
      <c r="AT84" s="7"/>
      <c r="AU84" s="7"/>
      <c r="AV84" s="7"/>
      <c r="AW84" s="7"/>
      <c r="AX84" s="7"/>
      <c r="AY84" s="7"/>
      <c r="BE84" s="7">
        <v>21</v>
      </c>
      <c r="BF84" s="52">
        <f>'הזנת נתונים'!A21</f>
        <v>241.666666666667</v>
      </c>
      <c r="BG84" s="7">
        <f t="shared" si="45"/>
        <v>170.16666666666697</v>
      </c>
      <c r="BH84" s="7"/>
      <c r="BI84" s="7"/>
      <c r="BJ84" s="7"/>
      <c r="BK84" s="7"/>
      <c r="BL84" s="7"/>
      <c r="BM84" s="7"/>
    </row>
    <row r="85" spans="1:65" x14ac:dyDescent="0.25">
      <c r="A85" s="7">
        <v>22</v>
      </c>
      <c r="B85" s="52">
        <f>'הזנת נתונים'!A22</f>
        <v>252.666666666667</v>
      </c>
      <c r="C85" s="7">
        <f t="shared" si="41"/>
        <v>203.166666666667</v>
      </c>
      <c r="D85" s="7">
        <f t="shared" si="41"/>
        <v>153.70666666666693</v>
      </c>
      <c r="E85" s="7">
        <f t="shared" si="46"/>
        <v>252.62666666666706</v>
      </c>
      <c r="F85" s="7">
        <f t="shared" si="47"/>
        <v>10.991111111111126</v>
      </c>
      <c r="G85" s="7">
        <f t="shared" si="48"/>
        <v>252.62592592592637</v>
      </c>
      <c r="H85" s="7">
        <f t="shared" si="49"/>
        <v>-4.0740740740631054E-2</v>
      </c>
      <c r="I85" s="7">
        <f t="shared" si="50"/>
        <v>1.659807956095315E-3</v>
      </c>
      <c r="O85" s="7">
        <v>22</v>
      </c>
      <c r="P85" s="52">
        <f>'הזנת נתונים'!A22</f>
        <v>252.666666666667</v>
      </c>
      <c r="Q85" s="7">
        <f t="shared" si="42"/>
        <v>197.666666666667</v>
      </c>
      <c r="R85" s="7">
        <f t="shared" si="42"/>
        <v>142.70798898071649</v>
      </c>
      <c r="S85" s="7">
        <f t="shared" ref="S85:S123" si="51">2*Q85-R85</f>
        <v>252.6253443526175</v>
      </c>
      <c r="T85" s="7">
        <f t="shared" ref="T85:T123" si="52">2*(Q85-R85)/(11-1)</f>
        <v>10.991735537190101</v>
      </c>
      <c r="U85" s="7">
        <f>S84+T84</f>
        <v>252.53774104683242</v>
      </c>
      <c r="V85" s="7">
        <f>U85-P85</f>
        <v>-0.1289256198345754</v>
      </c>
      <c r="W85" s="7">
        <f>V85^2</f>
        <v>1.662181544972946E-2</v>
      </c>
      <c r="AC85" s="7">
        <v>22</v>
      </c>
      <c r="AD85" s="52">
        <f>'הזנת נתונים'!A22</f>
        <v>252.666666666667</v>
      </c>
      <c r="AE85" s="7">
        <f t="shared" si="43"/>
        <v>192.166666666667</v>
      </c>
      <c r="AF85" s="7"/>
      <c r="AG85" s="7"/>
      <c r="AH85" s="7"/>
      <c r="AI85" s="7"/>
      <c r="AJ85" s="7"/>
      <c r="AK85" s="7"/>
      <c r="AQ85" s="7">
        <v>22</v>
      </c>
      <c r="AR85" s="52">
        <f>'הזנת נתונים'!A22</f>
        <v>252.666666666667</v>
      </c>
      <c r="AS85" s="7">
        <f t="shared" si="44"/>
        <v>186.666666666667</v>
      </c>
      <c r="AT85" s="7"/>
      <c r="AU85" s="7"/>
      <c r="AV85" s="7"/>
      <c r="AW85" s="7"/>
      <c r="AX85" s="7"/>
      <c r="AY85" s="7"/>
      <c r="BE85" s="7">
        <v>22</v>
      </c>
      <c r="BF85" s="52">
        <f>'הזנת נתונים'!A22</f>
        <v>252.666666666667</v>
      </c>
      <c r="BG85" s="7">
        <f t="shared" si="45"/>
        <v>181.166666666667</v>
      </c>
      <c r="BH85" s="7"/>
      <c r="BI85" s="7"/>
      <c r="BJ85" s="7"/>
      <c r="BK85" s="7"/>
      <c r="BL85" s="7"/>
      <c r="BM85" s="7"/>
    </row>
    <row r="86" spans="1:65" x14ac:dyDescent="0.25">
      <c r="A86" s="7">
        <v>23</v>
      </c>
      <c r="B86" s="52">
        <f>'הזנת נתונים'!A23</f>
        <v>263.66666666666703</v>
      </c>
      <c r="C86" s="7">
        <f t="shared" si="41"/>
        <v>214.16666666666703</v>
      </c>
      <c r="D86" s="7">
        <f t="shared" si="41"/>
        <v>164.67666666666696</v>
      </c>
      <c r="E86" s="7">
        <f t="shared" si="46"/>
        <v>263.65666666666709</v>
      </c>
      <c r="F86" s="7">
        <f t="shared" si="47"/>
        <v>10.997777777777792</v>
      </c>
      <c r="G86" s="7">
        <f t="shared" si="48"/>
        <v>263.6177777777782</v>
      </c>
      <c r="H86" s="7">
        <f t="shared" si="49"/>
        <v>-4.8888888888825477E-2</v>
      </c>
      <c r="I86" s="7">
        <f t="shared" si="50"/>
        <v>2.3901234567839233E-3</v>
      </c>
      <c r="O86" s="7">
        <v>23</v>
      </c>
      <c r="P86" s="52">
        <f>'הזנת נתונים'!A23</f>
        <v>263.66666666666703</v>
      </c>
      <c r="Q86" s="7">
        <f t="shared" si="42"/>
        <v>208.666666666667</v>
      </c>
      <c r="R86" s="7">
        <f t="shared" si="42"/>
        <v>153.69421487603333</v>
      </c>
      <c r="S86" s="7">
        <f t="shared" si="51"/>
        <v>263.6391184573007</v>
      </c>
      <c r="T86" s="7">
        <f t="shared" si="52"/>
        <v>10.994490358126734</v>
      </c>
      <c r="U86" s="7">
        <f t="shared" ref="U86:U123" si="53">S85+T85</f>
        <v>263.6170798898076</v>
      </c>
      <c r="V86" s="7">
        <f t="shared" ref="V86:V123" si="54">U86-P86</f>
        <v>-4.9586776859428028E-2</v>
      </c>
      <c r="W86" s="7">
        <f t="shared" ref="W86:W123" si="55">V86^2</f>
        <v>2.4588484393067069E-3</v>
      </c>
      <c r="AC86" s="7">
        <v>23</v>
      </c>
      <c r="AD86" s="52">
        <f>'הזנת נתונים'!A23</f>
        <v>263.66666666666703</v>
      </c>
      <c r="AE86" s="7">
        <f t="shared" si="43"/>
        <v>203.166666666667</v>
      </c>
      <c r="AF86" s="7">
        <f>AVERAGE(AE75:AE86)</f>
        <v>142.75694444444468</v>
      </c>
      <c r="AG86" s="7">
        <f>2*AE86-AF86</f>
        <v>263.57638888888931</v>
      </c>
      <c r="AH86" s="7">
        <f>2*(AE86-AF86)/(12-1)</f>
        <v>10.983585858585876</v>
      </c>
      <c r="AI86" s="7"/>
      <c r="AJ86" s="7"/>
      <c r="AK86" s="7"/>
      <c r="AQ86" s="7">
        <v>23</v>
      </c>
      <c r="AR86" s="52">
        <f>'הזנת נתונים'!A23</f>
        <v>263.66666666666703</v>
      </c>
      <c r="AS86" s="7">
        <f t="shared" si="44"/>
        <v>197.666666666667</v>
      </c>
      <c r="AT86" s="7"/>
      <c r="AU86" s="7"/>
      <c r="AV86" s="7"/>
      <c r="AW86" s="7"/>
      <c r="AX86" s="7"/>
      <c r="AY86" s="7"/>
      <c r="BE86" s="7">
        <v>23</v>
      </c>
      <c r="BF86" s="52">
        <f>'הזנת נתונים'!A23</f>
        <v>263.66666666666703</v>
      </c>
      <c r="BG86" s="7">
        <f t="shared" si="45"/>
        <v>192.166666666667</v>
      </c>
      <c r="BH86" s="7"/>
      <c r="BI86" s="7"/>
      <c r="BJ86" s="7"/>
      <c r="BK86" s="7"/>
      <c r="BL86" s="7"/>
      <c r="BM86" s="7"/>
    </row>
    <row r="87" spans="1:65" x14ac:dyDescent="0.25">
      <c r="A87" s="7">
        <v>24</v>
      </c>
      <c r="B87" s="52">
        <f>'הזנת נתונים'!A24</f>
        <v>274.66666666666703</v>
      </c>
      <c r="C87" s="7">
        <f t="shared" si="41"/>
        <v>225.16666666666703</v>
      </c>
      <c r="D87" s="7">
        <f t="shared" si="41"/>
        <v>175.65000000000029</v>
      </c>
      <c r="E87" s="7">
        <f t="shared" si="46"/>
        <v>274.68333333333374</v>
      </c>
      <c r="F87" s="7">
        <f t="shared" si="47"/>
        <v>11.003703703703719</v>
      </c>
      <c r="G87" s="7">
        <f t="shared" si="48"/>
        <v>274.65444444444489</v>
      </c>
      <c r="H87" s="7">
        <f t="shared" si="49"/>
        <v>-1.2222222222135315E-2</v>
      </c>
      <c r="I87" s="7">
        <f t="shared" si="50"/>
        <v>1.4938271604725831E-4</v>
      </c>
      <c r="O87" s="7">
        <v>24</v>
      </c>
      <c r="P87" s="52">
        <f>'הזנת נתונים'!A24</f>
        <v>274.66666666666703</v>
      </c>
      <c r="Q87" s="7">
        <f t="shared" si="42"/>
        <v>219.666666666667</v>
      </c>
      <c r="R87" s="7">
        <f t="shared" si="42"/>
        <v>164.69972451790662</v>
      </c>
      <c r="S87" s="7">
        <f t="shared" si="51"/>
        <v>274.63360881542735</v>
      </c>
      <c r="T87" s="7">
        <f t="shared" si="52"/>
        <v>10.993388429752077</v>
      </c>
      <c r="U87" s="7">
        <f t="shared" si="53"/>
        <v>274.63360881542741</v>
      </c>
      <c r="V87" s="7">
        <f t="shared" si="54"/>
        <v>-3.3057851239618685E-2</v>
      </c>
      <c r="W87" s="7">
        <f t="shared" si="55"/>
        <v>1.0928215285807587E-3</v>
      </c>
      <c r="AC87" s="7">
        <v>24</v>
      </c>
      <c r="AD87" s="52">
        <f>'הזנת נתונים'!A24</f>
        <v>274.66666666666703</v>
      </c>
      <c r="AE87" s="7">
        <f t="shared" si="43"/>
        <v>214.166666666667</v>
      </c>
      <c r="AF87" s="7">
        <f t="shared" si="43"/>
        <v>153.70138888888914</v>
      </c>
      <c r="AG87" s="7">
        <f t="shared" ref="AG87:AG123" si="56">2*AE87-AF87</f>
        <v>274.63194444444485</v>
      </c>
      <c r="AH87" s="7">
        <f t="shared" ref="AH87:AH123" si="57">2*(AE87-AF87)/(12-1)</f>
        <v>10.993686868686883</v>
      </c>
      <c r="AI87" s="7">
        <f>AG86+AH86</f>
        <v>274.55997474747517</v>
      </c>
      <c r="AJ87" s="7">
        <f>AI87-AD87</f>
        <v>-0.10669191919186005</v>
      </c>
      <c r="AK87" s="7">
        <f>AJ87^2</f>
        <v>1.1383165620842395E-2</v>
      </c>
      <c r="AQ87" s="7">
        <v>24</v>
      </c>
      <c r="AR87" s="52">
        <f>'הזנת נתונים'!A24</f>
        <v>274.66666666666703</v>
      </c>
      <c r="AS87" s="7">
        <f t="shared" si="44"/>
        <v>208.666666666667</v>
      </c>
      <c r="AT87" s="7"/>
      <c r="AU87" s="7"/>
      <c r="AV87" s="7"/>
      <c r="AW87" s="7"/>
      <c r="AX87" s="7"/>
      <c r="AY87" s="7"/>
      <c r="BE87" s="7">
        <v>24</v>
      </c>
      <c r="BF87" s="52">
        <f>'הזנת נתונים'!A24</f>
        <v>274.66666666666703</v>
      </c>
      <c r="BG87" s="7">
        <f t="shared" si="45"/>
        <v>203.166666666667</v>
      </c>
      <c r="BH87" s="7"/>
      <c r="BI87" s="7"/>
      <c r="BJ87" s="7"/>
      <c r="BK87" s="7"/>
      <c r="BL87" s="7"/>
      <c r="BM87" s="7"/>
    </row>
    <row r="88" spans="1:65" x14ac:dyDescent="0.25">
      <c r="A88" s="7">
        <v>25</v>
      </c>
      <c r="B88" s="52">
        <f>'הזנת נתונים'!A25</f>
        <v>285.66666666666799</v>
      </c>
      <c r="C88" s="7">
        <f t="shared" si="41"/>
        <v>236.16666666666711</v>
      </c>
      <c r="D88" s="7">
        <f t="shared" si="41"/>
        <v>186.666666666667</v>
      </c>
      <c r="E88" s="7">
        <f t="shared" si="46"/>
        <v>285.6666666666672</v>
      </c>
      <c r="F88" s="7">
        <f t="shared" si="47"/>
        <v>11.000000000000025</v>
      </c>
      <c r="G88" s="7">
        <f t="shared" si="48"/>
        <v>285.68703703703744</v>
      </c>
      <c r="H88" s="7">
        <f t="shared" si="49"/>
        <v>2.0370370369448665E-2</v>
      </c>
      <c r="I88" s="7">
        <f t="shared" si="50"/>
        <v>4.1495198898851212E-4</v>
      </c>
      <c r="O88" s="7">
        <v>25</v>
      </c>
      <c r="P88" s="52">
        <f>'הזנת נתונים'!A25</f>
        <v>285.66666666666799</v>
      </c>
      <c r="Q88" s="7">
        <f t="shared" si="42"/>
        <v>230.66666666666708</v>
      </c>
      <c r="R88" s="7">
        <f t="shared" si="42"/>
        <v>175.67493112947687</v>
      </c>
      <c r="S88" s="7">
        <f t="shared" si="51"/>
        <v>285.65840220385729</v>
      </c>
      <c r="T88" s="7">
        <f t="shared" si="52"/>
        <v>10.998347107438041</v>
      </c>
      <c r="U88" s="7">
        <f t="shared" si="53"/>
        <v>285.62699724517944</v>
      </c>
      <c r="V88" s="7">
        <f t="shared" si="54"/>
        <v>-3.9669421488554235E-2</v>
      </c>
      <c r="W88" s="7">
        <f t="shared" si="55"/>
        <v>1.5736630012365685E-3</v>
      </c>
      <c r="AC88" s="7">
        <v>25</v>
      </c>
      <c r="AD88" s="52">
        <f>'הזנת נתונים'!A25</f>
        <v>285.66666666666799</v>
      </c>
      <c r="AE88" s="7">
        <f t="shared" si="43"/>
        <v>225.16666666666708</v>
      </c>
      <c r="AF88" s="7">
        <f t="shared" si="43"/>
        <v>164.68981481481509</v>
      </c>
      <c r="AG88" s="7">
        <f t="shared" si="56"/>
        <v>285.64351851851904</v>
      </c>
      <c r="AH88" s="7">
        <f t="shared" si="57"/>
        <v>10.995791245791271</v>
      </c>
      <c r="AI88" s="7">
        <f t="shared" ref="AI88:AI123" si="58">AG87+AH87</f>
        <v>285.62563131313175</v>
      </c>
      <c r="AJ88" s="7">
        <f t="shared" ref="AJ88:AJ123" si="59">AI88-AD88</f>
        <v>-4.1035353536244656E-2</v>
      </c>
      <c r="AK88" s="7">
        <f t="shared" ref="AK88:AK123" si="60">AJ88^2</f>
        <v>1.6839002398445868E-3</v>
      </c>
      <c r="AQ88" s="7">
        <v>25</v>
      </c>
      <c r="AR88" s="52">
        <f>'הזנת נתונים'!A25</f>
        <v>285.66666666666799</v>
      </c>
      <c r="AS88" s="7">
        <f t="shared" si="44"/>
        <v>219.66666666666708</v>
      </c>
      <c r="AT88" s="7">
        <f>AVERAGE(AS76:AS88)</f>
        <v>153.74358974359001</v>
      </c>
      <c r="AU88" s="7">
        <f>2*AS88-AT88</f>
        <v>285.58974358974416</v>
      </c>
      <c r="AV88" s="7">
        <f>2*(AS88-AT88)/(13-1)</f>
        <v>10.987179487179512</v>
      </c>
      <c r="AW88" s="7"/>
      <c r="AX88" s="7"/>
      <c r="AY88" s="7"/>
      <c r="BE88" s="7">
        <v>25</v>
      </c>
      <c r="BF88" s="52">
        <f>'הזנת נתונים'!A25</f>
        <v>285.66666666666799</v>
      </c>
      <c r="BG88" s="7">
        <f t="shared" si="45"/>
        <v>214.16666666666706</v>
      </c>
      <c r="BH88" s="7"/>
      <c r="BI88" s="7"/>
      <c r="BJ88" s="7"/>
      <c r="BK88" s="7"/>
      <c r="BL88" s="7"/>
      <c r="BM88" s="7"/>
    </row>
    <row r="89" spans="1:65" x14ac:dyDescent="0.25">
      <c r="A89" s="7">
        <v>26</v>
      </c>
      <c r="B89" s="52">
        <f>'הזנת נתונים'!A26</f>
        <v>296.66666666666799</v>
      </c>
      <c r="C89" s="7">
        <f t="shared" si="41"/>
        <v>247.1666666666672</v>
      </c>
      <c r="D89" s="7">
        <f t="shared" si="41"/>
        <v>197.66666666666703</v>
      </c>
      <c r="E89" s="7">
        <f t="shared" si="46"/>
        <v>296.66666666666737</v>
      </c>
      <c r="F89" s="7">
        <f t="shared" si="47"/>
        <v>11.000000000000037</v>
      </c>
      <c r="G89" s="7">
        <f t="shared" si="48"/>
        <v>296.6666666666672</v>
      </c>
      <c r="H89" s="7">
        <f t="shared" si="49"/>
        <v>-7.9580786405131221E-13</v>
      </c>
      <c r="I89" s="7">
        <f t="shared" si="50"/>
        <v>6.3331015648591181E-25</v>
      </c>
      <c r="O89" s="7">
        <v>26</v>
      </c>
      <c r="P89" s="52">
        <f>'הזנת נתונים'!A26</f>
        <v>296.66666666666799</v>
      </c>
      <c r="Q89" s="7">
        <f t="shared" si="42"/>
        <v>241.66666666666717</v>
      </c>
      <c r="R89" s="7">
        <f t="shared" si="42"/>
        <v>186.65289256198378</v>
      </c>
      <c r="S89" s="7">
        <f t="shared" si="51"/>
        <v>296.68044077135056</v>
      </c>
      <c r="T89" s="7">
        <f t="shared" si="52"/>
        <v>11.002754820936678</v>
      </c>
      <c r="U89" s="7">
        <f t="shared" si="53"/>
        <v>296.65674931129536</v>
      </c>
      <c r="V89" s="7">
        <f t="shared" si="54"/>
        <v>-9.9173553726359387E-3</v>
      </c>
      <c r="W89" s="7">
        <f t="shared" si="55"/>
        <v>9.8353937587150915E-5</v>
      </c>
      <c r="AC89" s="7">
        <v>26</v>
      </c>
      <c r="AD89" s="52">
        <f>'הזנת נתונים'!A26</f>
        <v>296.66666666666799</v>
      </c>
      <c r="AE89" s="7">
        <f t="shared" si="43"/>
        <v>236.16666666666717</v>
      </c>
      <c r="AF89" s="7">
        <f t="shared" si="43"/>
        <v>175.69444444444471</v>
      </c>
      <c r="AG89" s="7">
        <f t="shared" si="56"/>
        <v>296.6388888888896</v>
      </c>
      <c r="AH89" s="7">
        <f t="shared" si="57"/>
        <v>10.994949494949537</v>
      </c>
      <c r="AI89" s="7">
        <f t="shared" si="58"/>
        <v>296.63930976431033</v>
      </c>
      <c r="AJ89" s="7">
        <f t="shared" si="59"/>
        <v>-2.7356902357666968E-2</v>
      </c>
      <c r="AK89" s="7">
        <f t="shared" si="60"/>
        <v>7.4840010660692455E-4</v>
      </c>
      <c r="AQ89" s="7">
        <v>26</v>
      </c>
      <c r="AR89" s="52">
        <f>'הזנת נתונים'!A26</f>
        <v>296.66666666666799</v>
      </c>
      <c r="AS89" s="7">
        <f t="shared" si="44"/>
        <v>230.66666666666714</v>
      </c>
      <c r="AT89" s="7">
        <f t="shared" si="44"/>
        <v>164.6962524654835</v>
      </c>
      <c r="AU89" s="7">
        <f t="shared" ref="AU89:AU123" si="61">2*AS89-AT89</f>
        <v>296.63708086785078</v>
      </c>
      <c r="AV89" s="7">
        <f t="shared" ref="AV89:AV123" si="62">2*(AS89-AT89)/(13-1)</f>
        <v>10.995069033530607</v>
      </c>
      <c r="AW89" s="7">
        <f>AU88+AV88</f>
        <v>296.57692307692366</v>
      </c>
      <c r="AX89" s="7">
        <f>AW89-AR89</f>
        <v>-8.9743589744330166E-2</v>
      </c>
      <c r="AY89" s="7">
        <f>AX89^2</f>
        <v>8.0539119001986417E-3</v>
      </c>
      <c r="BE89" s="7">
        <v>26</v>
      </c>
      <c r="BF89" s="52">
        <f>'הזנת נתונים'!A26</f>
        <v>296.66666666666799</v>
      </c>
      <c r="BG89" s="7">
        <f t="shared" si="45"/>
        <v>225.16666666666714</v>
      </c>
      <c r="BH89" s="7"/>
      <c r="BI89" s="7"/>
      <c r="BJ89" s="7"/>
      <c r="BK89" s="7"/>
      <c r="BL89" s="7"/>
      <c r="BM89" s="7"/>
    </row>
    <row r="90" spans="1:65" x14ac:dyDescent="0.25">
      <c r="A90" s="7">
        <v>27</v>
      </c>
      <c r="B90" s="52">
        <f>'הזנת נתונים'!A27</f>
        <v>307.66666666666799</v>
      </c>
      <c r="C90" s="7">
        <f t="shared" si="41"/>
        <v>258.16666666666731</v>
      </c>
      <c r="D90" s="7">
        <f t="shared" si="41"/>
        <v>208.66666666666706</v>
      </c>
      <c r="E90" s="7">
        <f t="shared" si="46"/>
        <v>307.66666666666754</v>
      </c>
      <c r="F90" s="7">
        <f t="shared" si="47"/>
        <v>11.000000000000057</v>
      </c>
      <c r="G90" s="7">
        <f t="shared" si="48"/>
        <v>307.66666666666742</v>
      </c>
      <c r="H90" s="7">
        <f t="shared" si="49"/>
        <v>-5.6843418860808015E-13</v>
      </c>
      <c r="I90" s="7">
        <f t="shared" si="50"/>
        <v>3.2311742677852644E-25</v>
      </c>
      <c r="O90" s="7">
        <v>27</v>
      </c>
      <c r="P90" s="52">
        <f>'הזנת נתונים'!A27</f>
        <v>307.66666666666799</v>
      </c>
      <c r="Q90" s="7">
        <f t="shared" si="42"/>
        <v>252.66666666666725</v>
      </c>
      <c r="R90" s="7">
        <f t="shared" si="42"/>
        <v>197.666666666667</v>
      </c>
      <c r="S90" s="7">
        <f t="shared" si="51"/>
        <v>307.66666666666754</v>
      </c>
      <c r="T90" s="7">
        <f t="shared" si="52"/>
        <v>11.000000000000052</v>
      </c>
      <c r="U90" s="7">
        <f t="shared" si="53"/>
        <v>307.68319559228723</v>
      </c>
      <c r="V90" s="7">
        <f t="shared" si="54"/>
        <v>1.6528925619240908E-2</v>
      </c>
      <c r="W90" s="7">
        <f t="shared" si="55"/>
        <v>2.7320538212639845E-4</v>
      </c>
      <c r="AC90" s="7">
        <v>27</v>
      </c>
      <c r="AD90" s="52">
        <f>'הזנת נתונים'!A27</f>
        <v>307.66666666666799</v>
      </c>
      <c r="AE90" s="7">
        <f t="shared" si="43"/>
        <v>247.16666666666723</v>
      </c>
      <c r="AF90" s="7">
        <f t="shared" si="43"/>
        <v>186.67361111111146</v>
      </c>
      <c r="AG90" s="7">
        <f t="shared" si="56"/>
        <v>307.65972222222297</v>
      </c>
      <c r="AH90" s="7">
        <f t="shared" si="57"/>
        <v>10.998737373737413</v>
      </c>
      <c r="AI90" s="7">
        <f t="shared" si="58"/>
        <v>307.63383838383913</v>
      </c>
      <c r="AJ90" s="7">
        <f t="shared" si="59"/>
        <v>-3.2828282828859301E-2</v>
      </c>
      <c r="AK90" s="7">
        <f t="shared" si="60"/>
        <v>1.0776961534915783E-3</v>
      </c>
      <c r="AQ90" s="7">
        <v>27</v>
      </c>
      <c r="AR90" s="52">
        <f>'הזנת נתונים'!A27</f>
        <v>307.66666666666799</v>
      </c>
      <c r="AS90" s="7">
        <f t="shared" si="44"/>
        <v>241.66666666666723</v>
      </c>
      <c r="AT90" s="7">
        <f t="shared" si="44"/>
        <v>175.68639053254472</v>
      </c>
      <c r="AU90" s="7">
        <f t="shared" si="61"/>
        <v>307.6469428007897</v>
      </c>
      <c r="AV90" s="7">
        <f t="shared" si="62"/>
        <v>10.996712689020418</v>
      </c>
      <c r="AW90" s="7">
        <f t="shared" ref="AW90:AW123" si="63">AU89+AV89</f>
        <v>307.63214990138141</v>
      </c>
      <c r="AX90" s="7">
        <f t="shared" ref="AX90:AX123" si="64">AW90-AR90</f>
        <v>-3.451676528658254E-2</v>
      </c>
      <c r="AY90" s="7">
        <f t="shared" ref="AY90:AY123" si="65">AX90^2</f>
        <v>1.1914070858490295E-3</v>
      </c>
      <c r="BE90" s="7">
        <v>27</v>
      </c>
      <c r="BF90" s="52">
        <f>'הזנת נתונים'!A27</f>
        <v>307.66666666666799</v>
      </c>
      <c r="BG90" s="7">
        <f t="shared" si="45"/>
        <v>236.1666666666672</v>
      </c>
      <c r="BH90" s="7">
        <f>AVERAGE(BG77:BG90)</f>
        <v>164.73299319727917</v>
      </c>
      <c r="BI90" s="7">
        <f>2*BG90-BH90</f>
        <v>307.60034013605525</v>
      </c>
      <c r="BJ90" s="7">
        <f>2*(BG90-BH90)/(14-1)</f>
        <v>10.989795918367388</v>
      </c>
      <c r="BK90" s="7"/>
      <c r="BL90" s="7"/>
      <c r="BM90" s="7"/>
    </row>
    <row r="91" spans="1:65" x14ac:dyDescent="0.25">
      <c r="A91" s="7">
        <v>28</v>
      </c>
      <c r="B91" s="52">
        <f>'הזנת נתונים'!A28</f>
        <v>318.66666666666799</v>
      </c>
      <c r="C91" s="7">
        <f t="shared" si="41"/>
        <v>269.16666666666737</v>
      </c>
      <c r="D91" s="7">
        <f t="shared" si="41"/>
        <v>219.66666666666711</v>
      </c>
      <c r="E91" s="7">
        <f t="shared" si="46"/>
        <v>318.66666666666765</v>
      </c>
      <c r="F91" s="7">
        <f t="shared" si="47"/>
        <v>11.000000000000057</v>
      </c>
      <c r="G91" s="7">
        <f t="shared" si="48"/>
        <v>318.6666666666676</v>
      </c>
      <c r="H91" s="7">
        <f t="shared" si="49"/>
        <v>0</v>
      </c>
      <c r="I91" s="7">
        <f t="shared" si="50"/>
        <v>0</v>
      </c>
      <c r="O91" s="7">
        <v>28</v>
      </c>
      <c r="P91" s="52">
        <f>'הזנת נתונים'!A28</f>
        <v>318.66666666666799</v>
      </c>
      <c r="Q91" s="7">
        <f t="shared" si="42"/>
        <v>263.66666666666737</v>
      </c>
      <c r="R91" s="7">
        <f t="shared" si="42"/>
        <v>208.66666666666706</v>
      </c>
      <c r="S91" s="7">
        <f t="shared" si="51"/>
        <v>318.66666666666765</v>
      </c>
      <c r="T91" s="7">
        <f t="shared" si="52"/>
        <v>11.000000000000062</v>
      </c>
      <c r="U91" s="7">
        <f t="shared" si="53"/>
        <v>318.6666666666676</v>
      </c>
      <c r="V91" s="7">
        <f t="shared" si="54"/>
        <v>0</v>
      </c>
      <c r="W91" s="7">
        <f t="shared" si="55"/>
        <v>0</v>
      </c>
      <c r="AC91" s="7">
        <v>28</v>
      </c>
      <c r="AD91" s="52">
        <f>'הזנת נתונים'!A28</f>
        <v>318.66666666666799</v>
      </c>
      <c r="AE91" s="7">
        <f t="shared" si="43"/>
        <v>258.16666666666731</v>
      </c>
      <c r="AF91" s="7">
        <f t="shared" si="43"/>
        <v>197.65509259259298</v>
      </c>
      <c r="AG91" s="7">
        <f t="shared" si="56"/>
        <v>318.67824074074167</v>
      </c>
      <c r="AH91" s="7">
        <f t="shared" si="57"/>
        <v>11.002104377104423</v>
      </c>
      <c r="AI91" s="7">
        <f t="shared" si="58"/>
        <v>318.65845959596038</v>
      </c>
      <c r="AJ91" s="7">
        <f t="shared" si="59"/>
        <v>-8.2070707076127292E-3</v>
      </c>
      <c r="AK91" s="7">
        <f t="shared" si="60"/>
        <v>6.7356009599754907E-5</v>
      </c>
      <c r="AQ91" s="7">
        <v>28</v>
      </c>
      <c r="AR91" s="52">
        <f>'הזנת נתונים'!A28</f>
        <v>318.66666666666799</v>
      </c>
      <c r="AS91" s="7">
        <f t="shared" si="44"/>
        <v>252.66666666666728</v>
      </c>
      <c r="AT91" s="7">
        <f t="shared" si="44"/>
        <v>186.69033530572031</v>
      </c>
      <c r="AU91" s="7">
        <f t="shared" si="61"/>
        <v>318.64299802761423</v>
      </c>
      <c r="AV91" s="7">
        <f t="shared" si="62"/>
        <v>10.996055226824495</v>
      </c>
      <c r="AW91" s="7">
        <f t="shared" si="63"/>
        <v>318.6436554898101</v>
      </c>
      <c r="AX91" s="7">
        <f t="shared" si="64"/>
        <v>-2.3011176857892224E-2</v>
      </c>
      <c r="AY91" s="7">
        <f t="shared" si="65"/>
        <v>5.2951426038519466E-4</v>
      </c>
      <c r="BE91" s="7">
        <v>28</v>
      </c>
      <c r="BF91" s="52">
        <f>'הזנת נתונים'!A28</f>
        <v>318.66666666666799</v>
      </c>
      <c r="BG91" s="7">
        <f t="shared" si="45"/>
        <v>247.16666666666725</v>
      </c>
      <c r="BH91" s="7">
        <f t="shared" si="45"/>
        <v>175.69217687074865</v>
      </c>
      <c r="BI91" s="7">
        <f t="shared" ref="BI91:BI123" si="66">2*BG91-BH91</f>
        <v>318.64115646258585</v>
      </c>
      <c r="BJ91" s="7">
        <f t="shared" ref="BJ91:BJ123" si="67">2*(BG91-BH91)/(14-1)</f>
        <v>10.996075353218247</v>
      </c>
      <c r="BK91" s="7">
        <f>BI90+BJ90</f>
        <v>318.59013605442266</v>
      </c>
      <c r="BL91" s="7">
        <f>BK91-BF91</f>
        <v>-7.6530612245335305E-2</v>
      </c>
      <c r="BM91" s="7">
        <f>BL91^2</f>
        <v>5.8569346106458666E-3</v>
      </c>
    </row>
    <row r="92" spans="1:65" x14ac:dyDescent="0.25">
      <c r="A92" s="7">
        <v>29</v>
      </c>
      <c r="B92" s="52">
        <f>'הזנת נתונים'!A29</f>
        <v>329.66666666666799</v>
      </c>
      <c r="C92" s="7">
        <f t="shared" si="41"/>
        <v>280.16666666666748</v>
      </c>
      <c r="D92" s="7">
        <f t="shared" si="41"/>
        <v>230.66666666666714</v>
      </c>
      <c r="E92" s="7">
        <f t="shared" si="46"/>
        <v>329.66666666666782</v>
      </c>
      <c r="F92" s="7">
        <f t="shared" si="47"/>
        <v>11.000000000000076</v>
      </c>
      <c r="G92" s="7">
        <f t="shared" si="48"/>
        <v>329.66666666666771</v>
      </c>
      <c r="H92" s="7">
        <f t="shared" si="49"/>
        <v>0</v>
      </c>
      <c r="I92" s="7">
        <f t="shared" si="50"/>
        <v>0</v>
      </c>
      <c r="O92" s="7">
        <v>29</v>
      </c>
      <c r="P92" s="52">
        <f>'הזנת נתונים'!A29</f>
        <v>329.66666666666799</v>
      </c>
      <c r="Q92" s="7">
        <f t="shared" si="42"/>
        <v>274.66666666666742</v>
      </c>
      <c r="R92" s="7">
        <f t="shared" si="42"/>
        <v>219.66666666666714</v>
      </c>
      <c r="S92" s="7">
        <f t="shared" si="51"/>
        <v>329.66666666666771</v>
      </c>
      <c r="T92" s="7">
        <f t="shared" si="52"/>
        <v>11.000000000000057</v>
      </c>
      <c r="U92" s="7">
        <f t="shared" si="53"/>
        <v>329.66666666666771</v>
      </c>
      <c r="V92" s="7">
        <f t="shared" si="54"/>
        <v>0</v>
      </c>
      <c r="W92" s="7">
        <f t="shared" si="55"/>
        <v>0</v>
      </c>
      <c r="AC92" s="7">
        <v>29</v>
      </c>
      <c r="AD92" s="52">
        <f>'הזנת נתונים'!A29</f>
        <v>329.66666666666799</v>
      </c>
      <c r="AE92" s="7">
        <f t="shared" si="43"/>
        <v>269.16666666666737</v>
      </c>
      <c r="AF92" s="7">
        <f t="shared" si="43"/>
        <v>208.66666666666708</v>
      </c>
      <c r="AG92" s="7">
        <f t="shared" si="56"/>
        <v>329.66666666666765</v>
      </c>
      <c r="AH92" s="7">
        <f t="shared" si="57"/>
        <v>11.000000000000052</v>
      </c>
      <c r="AI92" s="7">
        <f t="shared" si="58"/>
        <v>329.68034511784612</v>
      </c>
      <c r="AJ92" s="7">
        <f t="shared" si="59"/>
        <v>1.3678451178122941E-2</v>
      </c>
      <c r="AK92" s="7">
        <f t="shared" si="60"/>
        <v>1.8710002663229288E-4</v>
      </c>
      <c r="AQ92" s="7">
        <v>29</v>
      </c>
      <c r="AR92" s="52">
        <f>'הזנת נתונים'!A29</f>
        <v>329.66666666666799</v>
      </c>
      <c r="AS92" s="7">
        <f t="shared" si="44"/>
        <v>263.66666666666737</v>
      </c>
      <c r="AT92" s="7">
        <f t="shared" si="44"/>
        <v>197.67258382643038</v>
      </c>
      <c r="AU92" s="7">
        <f t="shared" si="61"/>
        <v>329.66074950690438</v>
      </c>
      <c r="AV92" s="7">
        <f t="shared" si="62"/>
        <v>10.999013806706165</v>
      </c>
      <c r="AW92" s="7">
        <f t="shared" si="63"/>
        <v>329.63905325443875</v>
      </c>
      <c r="AX92" s="7">
        <f t="shared" si="64"/>
        <v>-2.7613412229243295E-2</v>
      </c>
      <c r="AY92" s="7">
        <f t="shared" si="65"/>
        <v>7.625005349421232E-4</v>
      </c>
      <c r="BE92" s="7">
        <v>29</v>
      </c>
      <c r="BF92" s="52">
        <f>'הזנת נתונים'!A29</f>
        <v>329.66666666666799</v>
      </c>
      <c r="BG92" s="7">
        <f t="shared" si="45"/>
        <v>258.16666666666731</v>
      </c>
      <c r="BH92" s="7">
        <f t="shared" si="45"/>
        <v>186.68367346938814</v>
      </c>
      <c r="BI92" s="7">
        <f t="shared" si="66"/>
        <v>329.64965986394645</v>
      </c>
      <c r="BJ92" s="7">
        <f t="shared" si="67"/>
        <v>10.997383568812181</v>
      </c>
      <c r="BK92" s="7">
        <f t="shared" ref="BK92:BK123" si="68">BI91+BJ91</f>
        <v>329.63723181580411</v>
      </c>
      <c r="BL92" s="7">
        <f t="shared" ref="BL92:BL123" si="69">BK92-BF92</f>
        <v>-2.9434850863879092E-2</v>
      </c>
      <c r="BM92" s="7">
        <f t="shared" ref="BM92:BM123" si="70">BL92^2</f>
        <v>8.6641044537880368E-4</v>
      </c>
    </row>
    <row r="93" spans="1:65" x14ac:dyDescent="0.25">
      <c r="A93" s="7">
        <v>30</v>
      </c>
      <c r="B93" s="52">
        <f>'הזנת נתונים'!A30</f>
        <v>340.66666666666799</v>
      </c>
      <c r="C93" s="7">
        <f t="shared" si="41"/>
        <v>291.16666666666754</v>
      </c>
      <c r="D93" s="7">
        <f t="shared" si="41"/>
        <v>241.6666666666672</v>
      </c>
      <c r="E93" s="7">
        <f t="shared" si="46"/>
        <v>340.66666666666788</v>
      </c>
      <c r="F93" s="7">
        <f t="shared" si="47"/>
        <v>11.000000000000076</v>
      </c>
      <c r="G93" s="7">
        <f t="shared" si="48"/>
        <v>340.66666666666788</v>
      </c>
      <c r="H93" s="7">
        <f t="shared" si="49"/>
        <v>0</v>
      </c>
      <c r="I93" s="7">
        <f t="shared" si="50"/>
        <v>0</v>
      </c>
      <c r="O93" s="7">
        <v>30</v>
      </c>
      <c r="P93" s="52">
        <f>'הזנת נתונים'!A30</f>
        <v>340.66666666666799</v>
      </c>
      <c r="Q93" s="7">
        <f t="shared" si="42"/>
        <v>285.66666666666748</v>
      </c>
      <c r="R93" s="7">
        <f t="shared" si="42"/>
        <v>230.66666666666717</v>
      </c>
      <c r="S93" s="7">
        <f t="shared" si="51"/>
        <v>340.66666666666777</v>
      </c>
      <c r="T93" s="7">
        <f t="shared" si="52"/>
        <v>11.000000000000062</v>
      </c>
      <c r="U93" s="7">
        <f t="shared" si="53"/>
        <v>340.66666666666777</v>
      </c>
      <c r="V93" s="7">
        <f t="shared" si="54"/>
        <v>0</v>
      </c>
      <c r="W93" s="7">
        <f t="shared" si="55"/>
        <v>0</v>
      </c>
      <c r="AC93" s="7">
        <v>30</v>
      </c>
      <c r="AD93" s="52">
        <f>'הזנת נתונים'!A30</f>
        <v>340.66666666666799</v>
      </c>
      <c r="AE93" s="7">
        <f t="shared" si="43"/>
        <v>280.16666666666748</v>
      </c>
      <c r="AF93" s="7">
        <f t="shared" si="43"/>
        <v>219.66666666666711</v>
      </c>
      <c r="AG93" s="7">
        <f t="shared" si="56"/>
        <v>340.66666666666788</v>
      </c>
      <c r="AH93" s="7">
        <f t="shared" si="57"/>
        <v>11.000000000000068</v>
      </c>
      <c r="AI93" s="7">
        <f t="shared" si="58"/>
        <v>340.66666666666771</v>
      </c>
      <c r="AJ93" s="7">
        <f t="shared" si="59"/>
        <v>0</v>
      </c>
      <c r="AK93" s="7">
        <f t="shared" si="60"/>
        <v>0</v>
      </c>
      <c r="AQ93" s="7">
        <v>30</v>
      </c>
      <c r="AR93" s="52">
        <f>'הזנת נתונים'!A30</f>
        <v>340.66666666666799</v>
      </c>
      <c r="AS93" s="7">
        <f t="shared" si="44"/>
        <v>274.66666666666742</v>
      </c>
      <c r="AT93" s="7">
        <f t="shared" si="44"/>
        <v>208.65680473372825</v>
      </c>
      <c r="AU93" s="7">
        <f t="shared" si="61"/>
        <v>340.67652859960663</v>
      </c>
      <c r="AV93" s="7">
        <f t="shared" si="62"/>
        <v>11.001643655489863</v>
      </c>
      <c r="AW93" s="7">
        <f t="shared" si="63"/>
        <v>340.65976331361054</v>
      </c>
      <c r="AX93" s="7">
        <f t="shared" si="64"/>
        <v>-6.9033530574529323E-3</v>
      </c>
      <c r="AY93" s="7">
        <f t="shared" si="65"/>
        <v>4.7656283435844747E-5</v>
      </c>
      <c r="BE93" s="7">
        <v>30</v>
      </c>
      <c r="BF93" s="52">
        <f>'הזנת נתונים'!A30</f>
        <v>340.66666666666799</v>
      </c>
      <c r="BG93" s="7">
        <f t="shared" si="45"/>
        <v>269.16666666666737</v>
      </c>
      <c r="BH93" s="7">
        <f t="shared" si="45"/>
        <v>197.68707482993241</v>
      </c>
      <c r="BI93" s="7">
        <f t="shared" si="66"/>
        <v>340.64625850340235</v>
      </c>
      <c r="BJ93" s="7">
        <f t="shared" si="67"/>
        <v>10.996860282574609</v>
      </c>
      <c r="BK93" s="7">
        <f t="shared" si="68"/>
        <v>340.64704343275861</v>
      </c>
      <c r="BL93" s="7">
        <f t="shared" si="69"/>
        <v>-1.9623233909385362E-2</v>
      </c>
      <c r="BM93" s="7">
        <f t="shared" si="70"/>
        <v>3.8507130906245153E-4</v>
      </c>
    </row>
    <row r="94" spans="1:65" x14ac:dyDescent="0.25">
      <c r="A94" s="7">
        <v>31</v>
      </c>
      <c r="B94" s="52">
        <f>'הזנת נתונים'!A31</f>
        <v>351.66666666666799</v>
      </c>
      <c r="C94" s="7">
        <f t="shared" si="41"/>
        <v>302.16666666666765</v>
      </c>
      <c r="D94" s="7">
        <f t="shared" si="41"/>
        <v>252.66666666666725</v>
      </c>
      <c r="E94" s="7">
        <f t="shared" si="46"/>
        <v>351.66666666666805</v>
      </c>
      <c r="F94" s="7">
        <f t="shared" si="47"/>
        <v>11.000000000000089</v>
      </c>
      <c r="G94" s="7">
        <f t="shared" si="48"/>
        <v>351.66666666666794</v>
      </c>
      <c r="H94" s="7">
        <f t="shared" si="49"/>
        <v>0</v>
      </c>
      <c r="I94" s="7">
        <f t="shared" si="50"/>
        <v>0</v>
      </c>
      <c r="O94" s="7">
        <v>31</v>
      </c>
      <c r="P94" s="52">
        <f>'הזנת נתונים'!A31</f>
        <v>351.66666666666799</v>
      </c>
      <c r="Q94" s="7">
        <f t="shared" si="42"/>
        <v>296.6666666666676</v>
      </c>
      <c r="R94" s="7">
        <f t="shared" si="42"/>
        <v>241.66666666666723</v>
      </c>
      <c r="S94" s="7">
        <f t="shared" si="51"/>
        <v>351.66666666666799</v>
      </c>
      <c r="T94" s="7">
        <f t="shared" si="52"/>
        <v>11.000000000000075</v>
      </c>
      <c r="U94" s="7">
        <f t="shared" si="53"/>
        <v>351.66666666666782</v>
      </c>
      <c r="V94" s="7">
        <f t="shared" si="54"/>
        <v>0</v>
      </c>
      <c r="W94" s="7">
        <f t="shared" si="55"/>
        <v>0</v>
      </c>
      <c r="AC94" s="7">
        <v>31</v>
      </c>
      <c r="AD94" s="52">
        <f>'הזנת נתונים'!A31</f>
        <v>351.66666666666799</v>
      </c>
      <c r="AE94" s="7">
        <f t="shared" si="43"/>
        <v>291.16666666666754</v>
      </c>
      <c r="AF94" s="7">
        <f t="shared" si="43"/>
        <v>230.66666666666717</v>
      </c>
      <c r="AG94" s="7">
        <f t="shared" si="56"/>
        <v>351.66666666666788</v>
      </c>
      <c r="AH94" s="7">
        <f t="shared" si="57"/>
        <v>11.000000000000068</v>
      </c>
      <c r="AI94" s="7">
        <f t="shared" si="58"/>
        <v>351.66666666666794</v>
      </c>
      <c r="AJ94" s="7">
        <f t="shared" si="59"/>
        <v>0</v>
      </c>
      <c r="AK94" s="7">
        <f t="shared" si="60"/>
        <v>0</v>
      </c>
      <c r="AQ94" s="7">
        <v>31</v>
      </c>
      <c r="AR94" s="52">
        <f>'הזנת נתונים'!A31</f>
        <v>351.66666666666799</v>
      </c>
      <c r="AS94" s="7">
        <f t="shared" si="44"/>
        <v>285.66666666666748</v>
      </c>
      <c r="AT94" s="7">
        <f t="shared" si="44"/>
        <v>219.66666666666711</v>
      </c>
      <c r="AU94" s="7">
        <f t="shared" si="61"/>
        <v>351.66666666666788</v>
      </c>
      <c r="AV94" s="7">
        <f t="shared" si="62"/>
        <v>11.000000000000062</v>
      </c>
      <c r="AW94" s="7">
        <f t="shared" si="63"/>
        <v>351.67817225509651</v>
      </c>
      <c r="AX94" s="7">
        <f t="shared" si="64"/>
        <v>1.1505588428519786E-2</v>
      </c>
      <c r="AY94" s="7">
        <f t="shared" si="65"/>
        <v>1.323785650864884E-4</v>
      </c>
      <c r="BE94" s="7">
        <v>31</v>
      </c>
      <c r="BF94" s="52">
        <f>'הזנת נתונים'!A31</f>
        <v>351.66666666666799</v>
      </c>
      <c r="BG94" s="7">
        <f t="shared" si="45"/>
        <v>280.16666666666748</v>
      </c>
      <c r="BH94" s="7">
        <f t="shared" si="45"/>
        <v>208.67176870748344</v>
      </c>
      <c r="BI94" s="7">
        <f t="shared" si="66"/>
        <v>351.6615646258515</v>
      </c>
      <c r="BJ94" s="7">
        <f t="shared" si="67"/>
        <v>10.999215070643698</v>
      </c>
      <c r="BK94" s="7">
        <f t="shared" si="68"/>
        <v>351.64311878597698</v>
      </c>
      <c r="BL94" s="7">
        <f t="shared" si="69"/>
        <v>-2.3547880691012324E-2</v>
      </c>
      <c r="BM94" s="7">
        <f t="shared" si="70"/>
        <v>5.54502685038151E-4</v>
      </c>
    </row>
    <row r="95" spans="1:65" x14ac:dyDescent="0.25">
      <c r="A95" s="7">
        <v>32</v>
      </c>
      <c r="B95" s="52">
        <f>'הזנת נתונים'!A32</f>
        <v>362.66666666666799</v>
      </c>
      <c r="C95" s="7">
        <f t="shared" si="41"/>
        <v>313.16666666666777</v>
      </c>
      <c r="D95" s="7">
        <f t="shared" si="41"/>
        <v>263.66666666666731</v>
      </c>
      <c r="E95" s="7">
        <f t="shared" si="46"/>
        <v>362.66666666666822</v>
      </c>
      <c r="F95" s="7">
        <f t="shared" si="47"/>
        <v>11.000000000000101</v>
      </c>
      <c r="G95" s="7">
        <f t="shared" si="48"/>
        <v>362.66666666666816</v>
      </c>
      <c r="H95" s="7">
        <f t="shared" si="49"/>
        <v>0</v>
      </c>
      <c r="I95" s="7">
        <f t="shared" si="50"/>
        <v>0</v>
      </c>
      <c r="O95" s="7">
        <v>32</v>
      </c>
      <c r="P95" s="52">
        <f>'הזנת נתונים'!A32</f>
        <v>362.66666666666799</v>
      </c>
      <c r="Q95" s="7">
        <f t="shared" si="42"/>
        <v>307.66666666666765</v>
      </c>
      <c r="R95" s="7">
        <f t="shared" si="42"/>
        <v>252.66666666666731</v>
      </c>
      <c r="S95" s="7">
        <f t="shared" si="51"/>
        <v>362.66666666666799</v>
      </c>
      <c r="T95" s="7">
        <f t="shared" si="52"/>
        <v>11.000000000000068</v>
      </c>
      <c r="U95" s="7">
        <f t="shared" si="53"/>
        <v>362.66666666666805</v>
      </c>
      <c r="V95" s="7">
        <f t="shared" si="54"/>
        <v>0</v>
      </c>
      <c r="W95" s="7">
        <f t="shared" si="55"/>
        <v>0</v>
      </c>
      <c r="AC95" s="7">
        <v>32</v>
      </c>
      <c r="AD95" s="52">
        <f>'הזנת נתונים'!A32</f>
        <v>362.66666666666799</v>
      </c>
      <c r="AE95" s="7">
        <f t="shared" si="43"/>
        <v>302.1666666666676</v>
      </c>
      <c r="AF95" s="7">
        <f t="shared" si="43"/>
        <v>241.6666666666672</v>
      </c>
      <c r="AG95" s="7">
        <f t="shared" si="56"/>
        <v>362.66666666666799</v>
      </c>
      <c r="AH95" s="7">
        <f t="shared" si="57"/>
        <v>11.000000000000073</v>
      </c>
      <c r="AI95" s="7">
        <f t="shared" si="58"/>
        <v>362.66666666666794</v>
      </c>
      <c r="AJ95" s="7">
        <f t="shared" si="59"/>
        <v>0</v>
      </c>
      <c r="AK95" s="7">
        <f t="shared" si="60"/>
        <v>0</v>
      </c>
      <c r="AQ95" s="7">
        <v>32</v>
      </c>
      <c r="AR95" s="52">
        <f>'הזנת נתונים'!A32</f>
        <v>362.66666666666799</v>
      </c>
      <c r="AS95" s="7">
        <f t="shared" si="44"/>
        <v>296.66666666666754</v>
      </c>
      <c r="AT95" s="7">
        <f t="shared" si="44"/>
        <v>230.66666666666714</v>
      </c>
      <c r="AU95" s="7">
        <f t="shared" si="61"/>
        <v>362.66666666666794</v>
      </c>
      <c r="AV95" s="7">
        <f t="shared" si="62"/>
        <v>11.000000000000066</v>
      </c>
      <c r="AW95" s="7">
        <f t="shared" si="63"/>
        <v>362.66666666666794</v>
      </c>
      <c r="AX95" s="7">
        <f t="shared" si="64"/>
        <v>0</v>
      </c>
      <c r="AY95" s="7">
        <f t="shared" si="65"/>
        <v>0</v>
      </c>
      <c r="BE95" s="7">
        <v>32</v>
      </c>
      <c r="BF95" s="52">
        <f>'הזנת נתונים'!A32</f>
        <v>362.66666666666799</v>
      </c>
      <c r="BG95" s="7">
        <f t="shared" si="45"/>
        <v>291.16666666666754</v>
      </c>
      <c r="BH95" s="7">
        <f t="shared" si="45"/>
        <v>219.65816326530657</v>
      </c>
      <c r="BI95" s="7">
        <f t="shared" si="66"/>
        <v>362.67517006802848</v>
      </c>
      <c r="BJ95" s="7">
        <f t="shared" si="67"/>
        <v>11.001308215593996</v>
      </c>
      <c r="BK95" s="7">
        <f t="shared" si="68"/>
        <v>362.66077969649518</v>
      </c>
      <c r="BL95" s="7">
        <f t="shared" si="69"/>
        <v>-5.8869701728099244E-3</v>
      </c>
      <c r="BM95" s="7">
        <f t="shared" si="70"/>
        <v>3.4656417815553709E-5</v>
      </c>
    </row>
    <row r="96" spans="1:65" x14ac:dyDescent="0.25">
      <c r="A96" s="7">
        <v>33</v>
      </c>
      <c r="B96" s="52">
        <f>'הזנת נתונים'!A33</f>
        <v>373.66666666666799</v>
      </c>
      <c r="C96" s="7">
        <f t="shared" si="41"/>
        <v>324.16666666666782</v>
      </c>
      <c r="D96" s="7">
        <f t="shared" si="41"/>
        <v>274.66666666666742</v>
      </c>
      <c r="E96" s="7">
        <f t="shared" si="46"/>
        <v>373.66666666666822</v>
      </c>
      <c r="F96" s="7">
        <f t="shared" si="47"/>
        <v>11.000000000000089</v>
      </c>
      <c r="G96" s="7">
        <f t="shared" si="48"/>
        <v>373.66666666666833</v>
      </c>
      <c r="H96" s="7">
        <f t="shared" si="49"/>
        <v>0</v>
      </c>
      <c r="I96" s="7">
        <f t="shared" si="50"/>
        <v>0</v>
      </c>
      <c r="O96" s="7">
        <v>33</v>
      </c>
      <c r="P96" s="52">
        <f>'הזנת נתונים'!A33</f>
        <v>373.66666666666799</v>
      </c>
      <c r="Q96" s="7">
        <f t="shared" si="42"/>
        <v>318.66666666666777</v>
      </c>
      <c r="R96" s="7">
        <f t="shared" si="42"/>
        <v>263.66666666666737</v>
      </c>
      <c r="S96" s="7">
        <f t="shared" si="51"/>
        <v>373.66666666666816</v>
      </c>
      <c r="T96" s="7">
        <f t="shared" si="52"/>
        <v>11.00000000000008</v>
      </c>
      <c r="U96" s="7">
        <f t="shared" si="53"/>
        <v>373.66666666666805</v>
      </c>
      <c r="V96" s="7">
        <f t="shared" si="54"/>
        <v>0</v>
      </c>
      <c r="W96" s="7">
        <f t="shared" si="55"/>
        <v>0</v>
      </c>
      <c r="AC96" s="7">
        <v>33</v>
      </c>
      <c r="AD96" s="52">
        <f>'הזנת נתונים'!A33</f>
        <v>373.66666666666799</v>
      </c>
      <c r="AE96" s="7">
        <f t="shared" si="43"/>
        <v>313.16666666666771</v>
      </c>
      <c r="AF96" s="7">
        <f t="shared" si="43"/>
        <v>252.66666666666728</v>
      </c>
      <c r="AG96" s="7">
        <f t="shared" si="56"/>
        <v>373.66666666666811</v>
      </c>
      <c r="AH96" s="7">
        <f t="shared" si="57"/>
        <v>11.000000000000078</v>
      </c>
      <c r="AI96" s="7">
        <f t="shared" si="58"/>
        <v>373.66666666666805</v>
      </c>
      <c r="AJ96" s="7">
        <f t="shared" si="59"/>
        <v>0</v>
      </c>
      <c r="AK96" s="7">
        <f t="shared" si="60"/>
        <v>0</v>
      </c>
      <c r="AQ96" s="7">
        <v>33</v>
      </c>
      <c r="AR96" s="52">
        <f>'הזנת נתונים'!A33</f>
        <v>373.66666666666799</v>
      </c>
      <c r="AS96" s="7">
        <f t="shared" si="44"/>
        <v>307.66666666666765</v>
      </c>
      <c r="AT96" s="7">
        <f t="shared" si="44"/>
        <v>241.66666666666725</v>
      </c>
      <c r="AU96" s="7">
        <f t="shared" si="61"/>
        <v>373.66666666666805</v>
      </c>
      <c r="AV96" s="7">
        <f t="shared" si="62"/>
        <v>11.000000000000066</v>
      </c>
      <c r="AW96" s="7">
        <f t="shared" si="63"/>
        <v>373.66666666666799</v>
      </c>
      <c r="AX96" s="7">
        <f t="shared" si="64"/>
        <v>0</v>
      </c>
      <c r="AY96" s="7">
        <f t="shared" si="65"/>
        <v>0</v>
      </c>
      <c r="BE96" s="7">
        <v>33</v>
      </c>
      <c r="BF96" s="52">
        <f>'הזנת נתונים'!A33</f>
        <v>373.66666666666799</v>
      </c>
      <c r="BG96" s="7">
        <f t="shared" si="45"/>
        <v>302.1666666666676</v>
      </c>
      <c r="BH96" s="7">
        <f t="shared" si="45"/>
        <v>230.66666666666717</v>
      </c>
      <c r="BI96" s="7">
        <f t="shared" si="66"/>
        <v>373.66666666666799</v>
      </c>
      <c r="BJ96" s="7">
        <f t="shared" si="67"/>
        <v>11.000000000000066</v>
      </c>
      <c r="BK96" s="7">
        <f t="shared" si="68"/>
        <v>373.67647828362249</v>
      </c>
      <c r="BL96" s="7">
        <f t="shared" si="69"/>
        <v>9.8116169544937293E-3</v>
      </c>
      <c r="BM96" s="7">
        <f t="shared" si="70"/>
        <v>9.6267827261708807E-5</v>
      </c>
    </row>
    <row r="97" spans="1:65" x14ac:dyDescent="0.25">
      <c r="A97" s="7">
        <v>34</v>
      </c>
      <c r="B97" s="52">
        <f>'הזנת נתונים'!A34</f>
        <v>384.66666666666799</v>
      </c>
      <c r="C97" s="7">
        <f t="shared" si="41"/>
        <v>335.16666666666794</v>
      </c>
      <c r="D97" s="7">
        <f t="shared" si="41"/>
        <v>285.66666666666754</v>
      </c>
      <c r="E97" s="7">
        <f t="shared" si="46"/>
        <v>384.66666666666833</v>
      </c>
      <c r="F97" s="7">
        <f t="shared" si="47"/>
        <v>11.000000000000089</v>
      </c>
      <c r="G97" s="7">
        <f t="shared" si="48"/>
        <v>384.66666666666833</v>
      </c>
      <c r="H97" s="7">
        <f t="shared" si="49"/>
        <v>0</v>
      </c>
      <c r="I97" s="7">
        <f t="shared" si="50"/>
        <v>0</v>
      </c>
      <c r="O97" s="7">
        <v>34</v>
      </c>
      <c r="P97" s="52">
        <f>'הזנת נתונים'!A34</f>
        <v>384.66666666666799</v>
      </c>
      <c r="Q97" s="7">
        <f t="shared" si="42"/>
        <v>329.66666666666782</v>
      </c>
      <c r="R97" s="7">
        <f t="shared" si="42"/>
        <v>274.66666666666748</v>
      </c>
      <c r="S97" s="7">
        <f t="shared" si="51"/>
        <v>384.66666666666816</v>
      </c>
      <c r="T97" s="7">
        <f t="shared" si="52"/>
        <v>11.000000000000068</v>
      </c>
      <c r="U97" s="7">
        <f t="shared" si="53"/>
        <v>384.66666666666822</v>
      </c>
      <c r="V97" s="7">
        <f t="shared" si="54"/>
        <v>0</v>
      </c>
      <c r="W97" s="7">
        <f t="shared" si="55"/>
        <v>0</v>
      </c>
      <c r="AC97" s="7">
        <v>34</v>
      </c>
      <c r="AD97" s="52">
        <f>'הזנת נתונים'!A34</f>
        <v>384.66666666666799</v>
      </c>
      <c r="AE97" s="7">
        <f t="shared" si="43"/>
        <v>324.16666666666777</v>
      </c>
      <c r="AF97" s="7">
        <f t="shared" si="43"/>
        <v>263.66666666666737</v>
      </c>
      <c r="AG97" s="7">
        <f t="shared" si="56"/>
        <v>384.66666666666816</v>
      </c>
      <c r="AH97" s="7">
        <f t="shared" si="57"/>
        <v>11.000000000000073</v>
      </c>
      <c r="AI97" s="7">
        <f t="shared" si="58"/>
        <v>384.66666666666816</v>
      </c>
      <c r="AJ97" s="7">
        <f t="shared" si="59"/>
        <v>0</v>
      </c>
      <c r="AK97" s="7">
        <f t="shared" si="60"/>
        <v>0</v>
      </c>
      <c r="AQ97" s="7">
        <v>34</v>
      </c>
      <c r="AR97" s="52">
        <f>'הזנת נתונים'!A34</f>
        <v>384.66666666666799</v>
      </c>
      <c r="AS97" s="7">
        <f t="shared" si="44"/>
        <v>318.66666666666777</v>
      </c>
      <c r="AT97" s="7">
        <f t="shared" si="44"/>
        <v>252.66666666666731</v>
      </c>
      <c r="AU97" s="7">
        <f t="shared" si="61"/>
        <v>384.66666666666822</v>
      </c>
      <c r="AV97" s="7">
        <f t="shared" si="62"/>
        <v>11.000000000000076</v>
      </c>
      <c r="AW97" s="7">
        <f t="shared" si="63"/>
        <v>384.66666666666811</v>
      </c>
      <c r="AX97" s="7">
        <f t="shared" si="64"/>
        <v>0</v>
      </c>
      <c r="AY97" s="7">
        <f t="shared" si="65"/>
        <v>0</v>
      </c>
      <c r="BE97" s="7">
        <v>34</v>
      </c>
      <c r="BF97" s="52">
        <f>'הזנת נתונים'!A34</f>
        <v>384.66666666666799</v>
      </c>
      <c r="BG97" s="7">
        <f t="shared" si="45"/>
        <v>313.16666666666771</v>
      </c>
      <c r="BH97" s="7">
        <f t="shared" si="45"/>
        <v>241.66666666666723</v>
      </c>
      <c r="BI97" s="7">
        <f t="shared" si="66"/>
        <v>384.66666666666822</v>
      </c>
      <c r="BJ97" s="7">
        <f t="shared" si="67"/>
        <v>11.000000000000075</v>
      </c>
      <c r="BK97" s="7">
        <f t="shared" si="68"/>
        <v>384.66666666666805</v>
      </c>
      <c r="BL97" s="7">
        <f t="shared" si="69"/>
        <v>0</v>
      </c>
      <c r="BM97" s="7">
        <f t="shared" si="70"/>
        <v>0</v>
      </c>
    </row>
    <row r="98" spans="1:65" x14ac:dyDescent="0.25">
      <c r="A98" s="7">
        <v>35</v>
      </c>
      <c r="B98" s="52">
        <f>'הזנת נתונים'!A35</f>
        <v>395.66666666666799</v>
      </c>
      <c r="C98" s="7">
        <f t="shared" si="41"/>
        <v>346.16666666666794</v>
      </c>
      <c r="D98" s="7">
        <f t="shared" si="41"/>
        <v>296.66666666666754</v>
      </c>
      <c r="E98" s="7">
        <f t="shared" si="46"/>
        <v>395.66666666666833</v>
      </c>
      <c r="F98" s="7">
        <f t="shared" si="47"/>
        <v>11.000000000000089</v>
      </c>
      <c r="G98" s="7">
        <f t="shared" si="48"/>
        <v>395.66666666666845</v>
      </c>
      <c r="H98" s="7">
        <f t="shared" si="49"/>
        <v>4.5474735088646412E-13</v>
      </c>
      <c r="I98" s="7">
        <f t="shared" si="50"/>
        <v>2.0679515313825692E-25</v>
      </c>
      <c r="O98" s="7">
        <v>35</v>
      </c>
      <c r="P98" s="52">
        <f>'הזנת נתונים'!A35</f>
        <v>395.66666666666799</v>
      </c>
      <c r="Q98" s="7">
        <f t="shared" si="42"/>
        <v>340.66666666666794</v>
      </c>
      <c r="R98" s="7">
        <f t="shared" si="42"/>
        <v>285.66666666666754</v>
      </c>
      <c r="S98" s="7">
        <f t="shared" si="51"/>
        <v>395.66666666666833</v>
      </c>
      <c r="T98" s="7">
        <f t="shared" si="52"/>
        <v>11.00000000000008</v>
      </c>
      <c r="U98" s="7">
        <f t="shared" si="53"/>
        <v>395.66666666666822</v>
      </c>
      <c r="V98" s="7">
        <f t="shared" si="54"/>
        <v>0</v>
      </c>
      <c r="W98" s="7">
        <f t="shared" si="55"/>
        <v>0</v>
      </c>
      <c r="AC98" s="7">
        <v>35</v>
      </c>
      <c r="AD98" s="52">
        <f>'הזנת נתונים'!A35</f>
        <v>395.66666666666799</v>
      </c>
      <c r="AE98" s="7">
        <f t="shared" si="43"/>
        <v>335.16666666666782</v>
      </c>
      <c r="AF98" s="7">
        <f t="shared" si="43"/>
        <v>274.66666666666742</v>
      </c>
      <c r="AG98" s="7">
        <f t="shared" si="56"/>
        <v>395.66666666666822</v>
      </c>
      <c r="AH98" s="7">
        <f t="shared" si="57"/>
        <v>11.000000000000073</v>
      </c>
      <c r="AI98" s="7">
        <f t="shared" si="58"/>
        <v>395.66666666666822</v>
      </c>
      <c r="AJ98" s="7">
        <f t="shared" si="59"/>
        <v>0</v>
      </c>
      <c r="AK98" s="7">
        <f t="shared" si="60"/>
        <v>0</v>
      </c>
      <c r="AQ98" s="7">
        <v>35</v>
      </c>
      <c r="AR98" s="52">
        <f>'הזנת נתונים'!A35</f>
        <v>395.66666666666799</v>
      </c>
      <c r="AS98" s="7">
        <f t="shared" si="44"/>
        <v>329.66666666666782</v>
      </c>
      <c r="AT98" s="7">
        <f t="shared" si="44"/>
        <v>263.66666666666737</v>
      </c>
      <c r="AU98" s="7">
        <f t="shared" si="61"/>
        <v>395.66666666666828</v>
      </c>
      <c r="AV98" s="7">
        <f t="shared" si="62"/>
        <v>11.000000000000076</v>
      </c>
      <c r="AW98" s="7">
        <f t="shared" si="63"/>
        <v>395.66666666666828</v>
      </c>
      <c r="AX98" s="7">
        <f t="shared" si="64"/>
        <v>0</v>
      </c>
      <c r="AY98" s="7">
        <f t="shared" si="65"/>
        <v>0</v>
      </c>
      <c r="BE98" s="7">
        <v>35</v>
      </c>
      <c r="BF98" s="52">
        <f>'הזנת נתונים'!A35</f>
        <v>395.66666666666799</v>
      </c>
      <c r="BG98" s="7">
        <f t="shared" si="45"/>
        <v>324.16666666666777</v>
      </c>
      <c r="BH98" s="7">
        <f t="shared" si="45"/>
        <v>252.66666666666734</v>
      </c>
      <c r="BI98" s="7">
        <f t="shared" si="66"/>
        <v>395.66666666666822</v>
      </c>
      <c r="BJ98" s="7">
        <f t="shared" si="67"/>
        <v>11.000000000000066</v>
      </c>
      <c r="BK98" s="7">
        <f t="shared" si="68"/>
        <v>395.66666666666828</v>
      </c>
      <c r="BL98" s="7">
        <f t="shared" si="69"/>
        <v>0</v>
      </c>
      <c r="BM98" s="7">
        <f t="shared" si="70"/>
        <v>0</v>
      </c>
    </row>
    <row r="99" spans="1:65" x14ac:dyDescent="0.25">
      <c r="A99" s="7">
        <v>36</v>
      </c>
      <c r="B99" s="52">
        <f>'הזנת נתונים'!A36</f>
        <v>406.66666666666799</v>
      </c>
      <c r="C99" s="7">
        <f t="shared" si="41"/>
        <v>357.16666666666794</v>
      </c>
      <c r="D99" s="7">
        <f t="shared" si="41"/>
        <v>307.66666666666765</v>
      </c>
      <c r="E99" s="7">
        <f t="shared" si="46"/>
        <v>406.66666666666822</v>
      </c>
      <c r="F99" s="7">
        <f t="shared" si="47"/>
        <v>11.000000000000064</v>
      </c>
      <c r="G99" s="7">
        <f t="shared" si="48"/>
        <v>406.66666666666845</v>
      </c>
      <c r="H99" s="7">
        <f t="shared" si="49"/>
        <v>4.5474735088646412E-13</v>
      </c>
      <c r="I99" s="7">
        <f t="shared" si="50"/>
        <v>2.0679515313825692E-25</v>
      </c>
      <c r="O99" s="7">
        <v>36</v>
      </c>
      <c r="P99" s="52">
        <f>'הזנת נתונים'!A36</f>
        <v>406.66666666666799</v>
      </c>
      <c r="Q99" s="7">
        <f t="shared" si="42"/>
        <v>351.66666666666794</v>
      </c>
      <c r="R99" s="7">
        <f t="shared" si="42"/>
        <v>296.6666666666676</v>
      </c>
      <c r="S99" s="7">
        <f t="shared" si="51"/>
        <v>406.66666666666828</v>
      </c>
      <c r="T99" s="7">
        <f t="shared" si="52"/>
        <v>11.000000000000068</v>
      </c>
      <c r="U99" s="7">
        <f t="shared" si="53"/>
        <v>406.66666666666839</v>
      </c>
      <c r="V99" s="7">
        <f t="shared" si="54"/>
        <v>0</v>
      </c>
      <c r="W99" s="7">
        <f t="shared" si="55"/>
        <v>0</v>
      </c>
      <c r="AC99" s="7">
        <v>36</v>
      </c>
      <c r="AD99" s="52">
        <f>'הזנת נתונים'!A36</f>
        <v>406.66666666666799</v>
      </c>
      <c r="AE99" s="7">
        <f t="shared" si="43"/>
        <v>346.16666666666794</v>
      </c>
      <c r="AF99" s="7">
        <f t="shared" si="43"/>
        <v>285.66666666666748</v>
      </c>
      <c r="AG99" s="7">
        <f t="shared" si="56"/>
        <v>406.66666666666839</v>
      </c>
      <c r="AH99" s="7">
        <f t="shared" si="57"/>
        <v>11.000000000000083</v>
      </c>
      <c r="AI99" s="7">
        <f t="shared" si="58"/>
        <v>406.66666666666828</v>
      </c>
      <c r="AJ99" s="7">
        <f t="shared" si="59"/>
        <v>0</v>
      </c>
      <c r="AK99" s="7">
        <f t="shared" si="60"/>
        <v>0</v>
      </c>
      <c r="AQ99" s="7">
        <v>36</v>
      </c>
      <c r="AR99" s="52">
        <f>'הזנת נתונים'!A36</f>
        <v>406.66666666666799</v>
      </c>
      <c r="AS99" s="7">
        <f t="shared" si="44"/>
        <v>340.66666666666788</v>
      </c>
      <c r="AT99" s="7">
        <f t="shared" si="44"/>
        <v>274.66666666666748</v>
      </c>
      <c r="AU99" s="7">
        <f t="shared" si="61"/>
        <v>406.66666666666828</v>
      </c>
      <c r="AV99" s="7">
        <f t="shared" si="62"/>
        <v>11.000000000000066</v>
      </c>
      <c r="AW99" s="7">
        <f t="shared" si="63"/>
        <v>406.66666666666833</v>
      </c>
      <c r="AX99" s="7">
        <f t="shared" si="64"/>
        <v>0</v>
      </c>
      <c r="AY99" s="7">
        <f t="shared" si="65"/>
        <v>0</v>
      </c>
      <c r="BE99" s="7">
        <v>36</v>
      </c>
      <c r="BF99" s="52">
        <f>'הזנת נתונים'!A36</f>
        <v>406.66666666666799</v>
      </c>
      <c r="BG99" s="7">
        <f t="shared" si="45"/>
        <v>335.16666666666782</v>
      </c>
      <c r="BH99" s="7">
        <f t="shared" si="45"/>
        <v>263.66666666666737</v>
      </c>
      <c r="BI99" s="7">
        <f t="shared" si="66"/>
        <v>406.66666666666828</v>
      </c>
      <c r="BJ99" s="7">
        <f t="shared" si="67"/>
        <v>11.000000000000069</v>
      </c>
      <c r="BK99" s="7">
        <f t="shared" si="68"/>
        <v>406.66666666666828</v>
      </c>
      <c r="BL99" s="7">
        <f t="shared" si="69"/>
        <v>0</v>
      </c>
      <c r="BM99" s="7">
        <f t="shared" si="70"/>
        <v>0</v>
      </c>
    </row>
    <row r="100" spans="1:65" x14ac:dyDescent="0.25">
      <c r="A100" s="7">
        <v>37</v>
      </c>
      <c r="B100" s="52">
        <f>'הזנת נתונים'!A37</f>
        <v>417.66666666666799</v>
      </c>
      <c r="C100" s="7">
        <f t="shared" si="41"/>
        <v>368.16666666666794</v>
      </c>
      <c r="D100" s="7">
        <f t="shared" si="41"/>
        <v>318.66666666666777</v>
      </c>
      <c r="E100" s="7">
        <f t="shared" si="46"/>
        <v>417.66666666666811</v>
      </c>
      <c r="F100" s="7">
        <f t="shared" si="47"/>
        <v>11.000000000000037</v>
      </c>
      <c r="G100" s="7">
        <f t="shared" si="48"/>
        <v>417.66666666666828</v>
      </c>
      <c r="H100" s="7">
        <f t="shared" si="49"/>
        <v>0</v>
      </c>
      <c r="I100" s="7">
        <f t="shared" si="50"/>
        <v>0</v>
      </c>
      <c r="O100" s="7">
        <v>37</v>
      </c>
      <c r="P100" s="52">
        <f>'הזנת נתונים'!A37</f>
        <v>417.66666666666799</v>
      </c>
      <c r="Q100" s="7">
        <f t="shared" si="42"/>
        <v>362.66666666666794</v>
      </c>
      <c r="R100" s="7">
        <f t="shared" si="42"/>
        <v>307.66666666666765</v>
      </c>
      <c r="S100" s="7">
        <f t="shared" si="51"/>
        <v>417.66666666666822</v>
      </c>
      <c r="T100" s="7">
        <f t="shared" si="52"/>
        <v>11.000000000000057</v>
      </c>
      <c r="U100" s="7">
        <f t="shared" si="53"/>
        <v>417.66666666666833</v>
      </c>
      <c r="V100" s="7">
        <f t="shared" si="54"/>
        <v>0</v>
      </c>
      <c r="W100" s="7">
        <f t="shared" si="55"/>
        <v>0</v>
      </c>
      <c r="AC100" s="7">
        <v>37</v>
      </c>
      <c r="AD100" s="52">
        <f>'הזנת נתונים'!A37</f>
        <v>417.66666666666799</v>
      </c>
      <c r="AE100" s="7">
        <f t="shared" si="43"/>
        <v>357.16666666666794</v>
      </c>
      <c r="AF100" s="7">
        <f t="shared" si="43"/>
        <v>296.6666666666676</v>
      </c>
      <c r="AG100" s="7">
        <f t="shared" si="56"/>
        <v>417.66666666666828</v>
      </c>
      <c r="AH100" s="7">
        <f t="shared" si="57"/>
        <v>11.000000000000062</v>
      </c>
      <c r="AI100" s="7">
        <f t="shared" si="58"/>
        <v>417.66666666666845</v>
      </c>
      <c r="AJ100" s="7">
        <f t="shared" si="59"/>
        <v>4.5474735088646412E-13</v>
      </c>
      <c r="AK100" s="7">
        <f t="shared" si="60"/>
        <v>2.0679515313825692E-25</v>
      </c>
      <c r="AQ100" s="7">
        <v>37</v>
      </c>
      <c r="AR100" s="52">
        <f>'הזנת נתונים'!A37</f>
        <v>417.66666666666799</v>
      </c>
      <c r="AS100" s="7">
        <f t="shared" si="44"/>
        <v>351.66666666666794</v>
      </c>
      <c r="AT100" s="7">
        <f t="shared" si="44"/>
        <v>285.66666666666754</v>
      </c>
      <c r="AU100" s="7">
        <f t="shared" si="61"/>
        <v>417.66666666666833</v>
      </c>
      <c r="AV100" s="7">
        <f t="shared" si="62"/>
        <v>11.000000000000066</v>
      </c>
      <c r="AW100" s="7">
        <f t="shared" si="63"/>
        <v>417.66666666666833</v>
      </c>
      <c r="AX100" s="7">
        <f t="shared" si="64"/>
        <v>0</v>
      </c>
      <c r="AY100" s="7">
        <f t="shared" si="65"/>
        <v>0</v>
      </c>
      <c r="BE100" s="7">
        <v>37</v>
      </c>
      <c r="BF100" s="52">
        <f>'הזנת נתונים'!A37</f>
        <v>417.66666666666799</v>
      </c>
      <c r="BG100" s="7">
        <f t="shared" si="45"/>
        <v>346.16666666666788</v>
      </c>
      <c r="BH100" s="7">
        <f t="shared" si="45"/>
        <v>274.66666666666742</v>
      </c>
      <c r="BI100" s="7">
        <f t="shared" si="66"/>
        <v>417.66666666666833</v>
      </c>
      <c r="BJ100" s="7">
        <f t="shared" si="67"/>
        <v>11.000000000000069</v>
      </c>
      <c r="BK100" s="7">
        <f t="shared" si="68"/>
        <v>417.66666666666833</v>
      </c>
      <c r="BL100" s="7">
        <f t="shared" si="69"/>
        <v>0</v>
      </c>
      <c r="BM100" s="7">
        <f t="shared" si="70"/>
        <v>0</v>
      </c>
    </row>
    <row r="101" spans="1:65" x14ac:dyDescent="0.25">
      <c r="A101" s="7">
        <v>38</v>
      </c>
      <c r="B101" s="52">
        <f>'הזנת נתונים'!A38</f>
        <v>428.66666666666902</v>
      </c>
      <c r="C101" s="7">
        <f t="shared" si="41"/>
        <v>379.16666666666805</v>
      </c>
      <c r="D101" s="7">
        <f t="shared" si="41"/>
        <v>329.66666666666777</v>
      </c>
      <c r="E101" s="7">
        <f t="shared" si="46"/>
        <v>428.66666666666833</v>
      </c>
      <c r="F101" s="7">
        <f t="shared" si="47"/>
        <v>11.000000000000064</v>
      </c>
      <c r="G101" s="7">
        <f t="shared" si="48"/>
        <v>428.66666666666816</v>
      </c>
      <c r="H101" s="7">
        <f t="shared" si="49"/>
        <v>-8.5265128291212022E-13</v>
      </c>
      <c r="I101" s="7">
        <f t="shared" si="50"/>
        <v>7.2701421025168448E-25</v>
      </c>
      <c r="O101" s="7">
        <v>38</v>
      </c>
      <c r="P101" s="52">
        <f>'הזנת נתונים'!A38</f>
        <v>428.66666666666902</v>
      </c>
      <c r="Q101" s="7">
        <f t="shared" si="42"/>
        <v>373.66666666666805</v>
      </c>
      <c r="R101" s="7">
        <f t="shared" si="42"/>
        <v>318.66666666666771</v>
      </c>
      <c r="S101" s="7">
        <f t="shared" si="51"/>
        <v>428.66666666666839</v>
      </c>
      <c r="T101" s="7">
        <f t="shared" si="52"/>
        <v>11.000000000000068</v>
      </c>
      <c r="U101" s="7">
        <f t="shared" si="53"/>
        <v>428.66666666666828</v>
      </c>
      <c r="V101" s="7">
        <f t="shared" si="54"/>
        <v>-7.3896444519050419E-13</v>
      </c>
      <c r="W101" s="7">
        <f t="shared" si="55"/>
        <v>5.4606845125570968E-25</v>
      </c>
      <c r="AC101" s="7">
        <v>38</v>
      </c>
      <c r="AD101" s="52">
        <f>'הזנת נתונים'!A38</f>
        <v>428.66666666666902</v>
      </c>
      <c r="AE101" s="7">
        <f t="shared" si="43"/>
        <v>368.16666666666805</v>
      </c>
      <c r="AF101" s="7">
        <f t="shared" si="43"/>
        <v>307.6666666666676</v>
      </c>
      <c r="AG101" s="7">
        <f t="shared" si="56"/>
        <v>428.6666666666685</v>
      </c>
      <c r="AH101" s="7">
        <f t="shared" si="57"/>
        <v>11.000000000000083</v>
      </c>
      <c r="AI101" s="7">
        <f t="shared" si="58"/>
        <v>428.66666666666833</v>
      </c>
      <c r="AJ101" s="7">
        <f t="shared" si="59"/>
        <v>-6.8212102632969618E-13</v>
      </c>
      <c r="AK101" s="7">
        <f t="shared" si="60"/>
        <v>4.6528909456107807E-25</v>
      </c>
      <c r="AQ101" s="7">
        <v>38</v>
      </c>
      <c r="AR101" s="52">
        <f>'הזנת נתונים'!A38</f>
        <v>428.66666666666902</v>
      </c>
      <c r="AS101" s="7">
        <f t="shared" si="44"/>
        <v>362.66666666666799</v>
      </c>
      <c r="AT101" s="7">
        <f t="shared" si="44"/>
        <v>296.6666666666676</v>
      </c>
      <c r="AU101" s="7">
        <f t="shared" si="61"/>
        <v>428.66666666666839</v>
      </c>
      <c r="AV101" s="7">
        <f t="shared" si="62"/>
        <v>11.000000000000066</v>
      </c>
      <c r="AW101" s="7">
        <f t="shared" si="63"/>
        <v>428.66666666666839</v>
      </c>
      <c r="AX101" s="7">
        <f t="shared" si="64"/>
        <v>-6.2527760746888816E-13</v>
      </c>
      <c r="AY101" s="7">
        <f t="shared" si="65"/>
        <v>3.9097208640201699E-25</v>
      </c>
      <c r="BE101" s="7">
        <v>38</v>
      </c>
      <c r="BF101" s="52">
        <f>'הזנת נתונים'!A38</f>
        <v>428.66666666666902</v>
      </c>
      <c r="BG101" s="7">
        <f t="shared" si="45"/>
        <v>357.16666666666799</v>
      </c>
      <c r="BH101" s="7">
        <f t="shared" si="45"/>
        <v>285.66666666666748</v>
      </c>
      <c r="BI101" s="7">
        <f t="shared" si="66"/>
        <v>428.6666666666685</v>
      </c>
      <c r="BJ101" s="7">
        <f t="shared" si="67"/>
        <v>11.000000000000078</v>
      </c>
      <c r="BK101" s="7">
        <f t="shared" si="68"/>
        <v>428.66666666666839</v>
      </c>
      <c r="BL101" s="7">
        <f t="shared" si="69"/>
        <v>-6.2527760746888816E-13</v>
      </c>
      <c r="BM101" s="7">
        <f t="shared" si="70"/>
        <v>3.9097208640201699E-25</v>
      </c>
    </row>
    <row r="102" spans="1:65" x14ac:dyDescent="0.25">
      <c r="A102" s="7">
        <v>39</v>
      </c>
      <c r="B102" s="52">
        <f>'הזנת נתונים'!A39</f>
        <v>439.66666666666902</v>
      </c>
      <c r="C102" s="7">
        <f t="shared" si="41"/>
        <v>390.16666666666816</v>
      </c>
      <c r="D102" s="7">
        <f t="shared" si="41"/>
        <v>340.66666666666788</v>
      </c>
      <c r="E102" s="7">
        <f t="shared" si="46"/>
        <v>439.66666666666845</v>
      </c>
      <c r="F102" s="7">
        <f t="shared" si="47"/>
        <v>11.000000000000064</v>
      </c>
      <c r="G102" s="7">
        <f t="shared" si="48"/>
        <v>439.66666666666839</v>
      </c>
      <c r="H102" s="7">
        <f t="shared" si="49"/>
        <v>-6.2527760746888816E-13</v>
      </c>
      <c r="I102" s="7">
        <f t="shared" si="50"/>
        <v>3.9097208640201699E-25</v>
      </c>
      <c r="O102" s="7">
        <v>39</v>
      </c>
      <c r="P102" s="52">
        <f>'הזנת נתונים'!A39</f>
        <v>439.66666666666902</v>
      </c>
      <c r="Q102" s="7">
        <f t="shared" si="42"/>
        <v>384.66666666666811</v>
      </c>
      <c r="R102" s="7">
        <f t="shared" si="42"/>
        <v>329.66666666666782</v>
      </c>
      <c r="S102" s="7">
        <f t="shared" si="51"/>
        <v>439.66666666666839</v>
      </c>
      <c r="T102" s="7">
        <f t="shared" si="52"/>
        <v>11.000000000000057</v>
      </c>
      <c r="U102" s="7">
        <f t="shared" si="53"/>
        <v>439.66666666666845</v>
      </c>
      <c r="V102" s="7">
        <f t="shared" si="54"/>
        <v>-5.6843418860808015E-13</v>
      </c>
      <c r="W102" s="7">
        <f t="shared" si="55"/>
        <v>3.2311742677852644E-25</v>
      </c>
      <c r="AC102" s="7">
        <v>39</v>
      </c>
      <c r="AD102" s="52">
        <f>'הזנת נתונים'!A39</f>
        <v>439.66666666666902</v>
      </c>
      <c r="AE102" s="7">
        <f t="shared" si="43"/>
        <v>379.16666666666811</v>
      </c>
      <c r="AF102" s="7">
        <f t="shared" si="43"/>
        <v>318.66666666666771</v>
      </c>
      <c r="AG102" s="7">
        <f t="shared" si="56"/>
        <v>439.6666666666685</v>
      </c>
      <c r="AH102" s="7">
        <f t="shared" si="57"/>
        <v>11.000000000000073</v>
      </c>
      <c r="AI102" s="7">
        <f t="shared" si="58"/>
        <v>439.66666666666856</v>
      </c>
      <c r="AJ102" s="7">
        <f t="shared" si="59"/>
        <v>-4.5474735088646412E-13</v>
      </c>
      <c r="AK102" s="7">
        <f t="shared" si="60"/>
        <v>2.0679515313825692E-25</v>
      </c>
      <c r="AQ102" s="7">
        <v>39</v>
      </c>
      <c r="AR102" s="52">
        <f>'הזנת נתונים'!A39</f>
        <v>439.66666666666902</v>
      </c>
      <c r="AS102" s="7">
        <f t="shared" si="44"/>
        <v>373.66666666666811</v>
      </c>
      <c r="AT102" s="7">
        <f t="shared" si="44"/>
        <v>307.6666666666676</v>
      </c>
      <c r="AU102" s="7">
        <f t="shared" si="61"/>
        <v>439.66666666666862</v>
      </c>
      <c r="AV102" s="7">
        <f t="shared" si="62"/>
        <v>11.000000000000085</v>
      </c>
      <c r="AW102" s="7">
        <f t="shared" si="63"/>
        <v>439.66666666666845</v>
      </c>
      <c r="AX102" s="7">
        <f t="shared" si="64"/>
        <v>-5.6843418860808015E-13</v>
      </c>
      <c r="AY102" s="7">
        <f t="shared" si="65"/>
        <v>3.2311742677852644E-25</v>
      </c>
      <c r="BE102" s="7">
        <v>39</v>
      </c>
      <c r="BF102" s="52">
        <f>'הזנת נתונים'!A39</f>
        <v>439.66666666666902</v>
      </c>
      <c r="BG102" s="7">
        <f t="shared" si="45"/>
        <v>368.16666666666805</v>
      </c>
      <c r="BH102" s="7">
        <f t="shared" si="45"/>
        <v>296.66666666666754</v>
      </c>
      <c r="BI102" s="7">
        <f t="shared" si="66"/>
        <v>439.66666666666856</v>
      </c>
      <c r="BJ102" s="7">
        <f t="shared" si="67"/>
        <v>11.000000000000078</v>
      </c>
      <c r="BK102" s="7">
        <f t="shared" si="68"/>
        <v>439.66666666666856</v>
      </c>
      <c r="BL102" s="7">
        <f t="shared" si="69"/>
        <v>-4.5474735088646412E-13</v>
      </c>
      <c r="BM102" s="7">
        <f t="shared" si="70"/>
        <v>2.0679515313825692E-25</v>
      </c>
    </row>
    <row r="103" spans="1:65" x14ac:dyDescent="0.25">
      <c r="A103" s="7">
        <v>40</v>
      </c>
      <c r="B103" s="52">
        <f>'הזנת נתונים'!A40</f>
        <v>450.66666666666902</v>
      </c>
      <c r="C103" s="7">
        <f t="shared" si="41"/>
        <v>401.16666666666822</v>
      </c>
      <c r="D103" s="7">
        <f t="shared" si="41"/>
        <v>351.66666666666794</v>
      </c>
      <c r="E103" s="7">
        <f t="shared" si="46"/>
        <v>450.6666666666685</v>
      </c>
      <c r="F103" s="7">
        <f t="shared" si="47"/>
        <v>11.000000000000064</v>
      </c>
      <c r="G103" s="7">
        <f t="shared" si="48"/>
        <v>450.6666666666685</v>
      </c>
      <c r="H103" s="7">
        <f t="shared" si="49"/>
        <v>-5.1159076974727213E-13</v>
      </c>
      <c r="I103" s="7">
        <f t="shared" si="50"/>
        <v>2.6172511569060641E-25</v>
      </c>
      <c r="O103" s="7">
        <v>40</v>
      </c>
      <c r="P103" s="52">
        <f>'הזנת נתונים'!A40</f>
        <v>450.66666666666902</v>
      </c>
      <c r="Q103" s="7">
        <f t="shared" si="42"/>
        <v>395.66666666666822</v>
      </c>
      <c r="R103" s="7">
        <f t="shared" si="42"/>
        <v>340.66666666666782</v>
      </c>
      <c r="S103" s="7">
        <f t="shared" si="51"/>
        <v>450.66666666666862</v>
      </c>
      <c r="T103" s="7">
        <f t="shared" si="52"/>
        <v>11.00000000000008</v>
      </c>
      <c r="U103" s="7">
        <f t="shared" si="53"/>
        <v>450.66666666666845</v>
      </c>
      <c r="V103" s="7">
        <f t="shared" si="54"/>
        <v>-5.6843418860808015E-13</v>
      </c>
      <c r="W103" s="7">
        <f t="shared" si="55"/>
        <v>3.2311742677852644E-25</v>
      </c>
      <c r="AC103" s="7">
        <v>40</v>
      </c>
      <c r="AD103" s="52">
        <f>'הזנת נתונים'!A40</f>
        <v>450.66666666666902</v>
      </c>
      <c r="AE103" s="7">
        <f t="shared" si="43"/>
        <v>390.16666666666816</v>
      </c>
      <c r="AF103" s="7">
        <f t="shared" si="43"/>
        <v>329.66666666666777</v>
      </c>
      <c r="AG103" s="7">
        <f t="shared" si="56"/>
        <v>450.66666666666856</v>
      </c>
      <c r="AH103" s="7">
        <f t="shared" si="57"/>
        <v>11.000000000000073</v>
      </c>
      <c r="AI103" s="7">
        <f t="shared" si="58"/>
        <v>450.66666666666856</v>
      </c>
      <c r="AJ103" s="7">
        <f t="shared" si="59"/>
        <v>-4.5474735088646412E-13</v>
      </c>
      <c r="AK103" s="7">
        <f t="shared" si="60"/>
        <v>2.0679515313825692E-25</v>
      </c>
      <c r="AQ103" s="7">
        <v>40</v>
      </c>
      <c r="AR103" s="52">
        <f>'הזנת נתונים'!A40</f>
        <v>450.66666666666902</v>
      </c>
      <c r="AS103" s="7">
        <f t="shared" si="44"/>
        <v>384.66666666666816</v>
      </c>
      <c r="AT103" s="7">
        <f t="shared" si="44"/>
        <v>318.66666666666765</v>
      </c>
      <c r="AU103" s="7">
        <f t="shared" si="61"/>
        <v>450.66666666666868</v>
      </c>
      <c r="AV103" s="7">
        <f t="shared" si="62"/>
        <v>11.000000000000085</v>
      </c>
      <c r="AW103" s="7">
        <f t="shared" si="63"/>
        <v>450.66666666666868</v>
      </c>
      <c r="AX103" s="7">
        <f t="shared" si="64"/>
        <v>0</v>
      </c>
      <c r="AY103" s="7">
        <f t="shared" si="65"/>
        <v>0</v>
      </c>
      <c r="BE103" s="7">
        <v>40</v>
      </c>
      <c r="BF103" s="52">
        <f>'הזנת נתונים'!A40</f>
        <v>450.66666666666902</v>
      </c>
      <c r="BG103" s="7">
        <f t="shared" si="45"/>
        <v>379.16666666666816</v>
      </c>
      <c r="BH103" s="7">
        <f t="shared" si="45"/>
        <v>307.6666666666676</v>
      </c>
      <c r="BI103" s="7">
        <f t="shared" si="66"/>
        <v>450.66666666666873</v>
      </c>
      <c r="BJ103" s="7">
        <f t="shared" si="67"/>
        <v>11.000000000000087</v>
      </c>
      <c r="BK103" s="7">
        <f t="shared" si="68"/>
        <v>450.66666666666862</v>
      </c>
      <c r="BL103" s="7">
        <f t="shared" si="69"/>
        <v>0</v>
      </c>
      <c r="BM103" s="7">
        <f t="shared" si="70"/>
        <v>0</v>
      </c>
    </row>
    <row r="104" spans="1:65" x14ac:dyDescent="0.25">
      <c r="A104" s="7">
        <v>41</v>
      </c>
      <c r="B104" s="52">
        <f>'הזנת נתונים'!A41</f>
        <v>461.66666666666902</v>
      </c>
      <c r="C104" s="7">
        <f t="shared" si="41"/>
        <v>412.16666666666833</v>
      </c>
      <c r="D104" s="7">
        <f t="shared" si="41"/>
        <v>362.66666666666799</v>
      </c>
      <c r="E104" s="7">
        <f t="shared" si="46"/>
        <v>461.66666666666868</v>
      </c>
      <c r="F104" s="7">
        <f t="shared" si="47"/>
        <v>11.000000000000076</v>
      </c>
      <c r="G104" s="7">
        <f t="shared" si="48"/>
        <v>461.66666666666856</v>
      </c>
      <c r="H104" s="7">
        <f t="shared" si="49"/>
        <v>-4.5474735088646412E-13</v>
      </c>
      <c r="I104" s="7">
        <f t="shared" si="50"/>
        <v>2.0679515313825692E-25</v>
      </c>
      <c r="O104" s="7">
        <v>41</v>
      </c>
      <c r="P104" s="52">
        <f>'הזנת נתונים'!A41</f>
        <v>461.66666666666902</v>
      </c>
      <c r="Q104" s="7">
        <f t="shared" si="42"/>
        <v>406.66666666666828</v>
      </c>
      <c r="R104" s="7">
        <f t="shared" si="42"/>
        <v>351.66666666666794</v>
      </c>
      <c r="S104" s="7">
        <f t="shared" si="51"/>
        <v>461.66666666666862</v>
      </c>
      <c r="T104" s="7">
        <f t="shared" si="52"/>
        <v>11.000000000000068</v>
      </c>
      <c r="U104" s="7">
        <f t="shared" si="53"/>
        <v>461.66666666666868</v>
      </c>
      <c r="V104" s="7">
        <f t="shared" si="54"/>
        <v>0</v>
      </c>
      <c r="W104" s="7">
        <f t="shared" si="55"/>
        <v>0</v>
      </c>
      <c r="AC104" s="7">
        <v>41</v>
      </c>
      <c r="AD104" s="52">
        <f>'הזנת נתונים'!A41</f>
        <v>461.66666666666902</v>
      </c>
      <c r="AE104" s="7">
        <f t="shared" si="43"/>
        <v>401.16666666666828</v>
      </c>
      <c r="AF104" s="7">
        <f t="shared" si="43"/>
        <v>340.66666666666788</v>
      </c>
      <c r="AG104" s="7">
        <f t="shared" si="56"/>
        <v>461.66666666666868</v>
      </c>
      <c r="AH104" s="7">
        <f t="shared" si="57"/>
        <v>11.000000000000073</v>
      </c>
      <c r="AI104" s="7">
        <f t="shared" si="58"/>
        <v>461.66666666666862</v>
      </c>
      <c r="AJ104" s="7">
        <f t="shared" si="59"/>
        <v>0</v>
      </c>
      <c r="AK104" s="7">
        <f t="shared" si="60"/>
        <v>0</v>
      </c>
      <c r="AQ104" s="7">
        <v>41</v>
      </c>
      <c r="AR104" s="52">
        <f>'הזנת נתונים'!A41</f>
        <v>461.66666666666902</v>
      </c>
      <c r="AS104" s="7">
        <f t="shared" si="44"/>
        <v>395.66666666666822</v>
      </c>
      <c r="AT104" s="7">
        <f t="shared" si="44"/>
        <v>329.66666666666782</v>
      </c>
      <c r="AU104" s="7">
        <f t="shared" si="61"/>
        <v>461.66666666666862</v>
      </c>
      <c r="AV104" s="7">
        <f t="shared" si="62"/>
        <v>11.000000000000066</v>
      </c>
      <c r="AW104" s="7">
        <f t="shared" si="63"/>
        <v>461.66666666666879</v>
      </c>
      <c r="AX104" s="7">
        <f t="shared" si="64"/>
        <v>0</v>
      </c>
      <c r="AY104" s="7">
        <f t="shared" si="65"/>
        <v>0</v>
      </c>
      <c r="BE104" s="7">
        <v>41</v>
      </c>
      <c r="BF104" s="52">
        <f>'הזנת נתונים'!A41</f>
        <v>461.66666666666902</v>
      </c>
      <c r="BG104" s="7">
        <f t="shared" si="45"/>
        <v>390.16666666666822</v>
      </c>
      <c r="BH104" s="7">
        <f t="shared" si="45"/>
        <v>318.66666666666777</v>
      </c>
      <c r="BI104" s="7">
        <f t="shared" si="66"/>
        <v>461.66666666666868</v>
      </c>
      <c r="BJ104" s="7">
        <f t="shared" si="67"/>
        <v>11.000000000000069</v>
      </c>
      <c r="BK104" s="7">
        <f t="shared" si="68"/>
        <v>461.66666666666885</v>
      </c>
      <c r="BL104" s="7">
        <f t="shared" si="69"/>
        <v>0</v>
      </c>
      <c r="BM104" s="7">
        <f t="shared" si="70"/>
        <v>0</v>
      </c>
    </row>
    <row r="105" spans="1:65" x14ac:dyDescent="0.25">
      <c r="A105" s="7">
        <v>42</v>
      </c>
      <c r="B105" s="52">
        <f>'הזנת נתונים'!A42</f>
        <v>472.66666666666902</v>
      </c>
      <c r="C105" s="7">
        <f t="shared" si="41"/>
        <v>423.16666666666845</v>
      </c>
      <c r="D105" s="7">
        <f t="shared" si="41"/>
        <v>373.66666666666805</v>
      </c>
      <c r="E105" s="7">
        <f t="shared" si="46"/>
        <v>472.66666666666885</v>
      </c>
      <c r="F105" s="7">
        <f t="shared" si="47"/>
        <v>11.000000000000089</v>
      </c>
      <c r="G105" s="7">
        <f t="shared" si="48"/>
        <v>472.66666666666873</v>
      </c>
      <c r="H105" s="7">
        <f t="shared" si="49"/>
        <v>0</v>
      </c>
      <c r="I105" s="7">
        <f t="shared" si="50"/>
        <v>0</v>
      </c>
      <c r="O105" s="7">
        <v>42</v>
      </c>
      <c r="P105" s="52">
        <f>'הזנת נתונים'!A42</f>
        <v>472.66666666666902</v>
      </c>
      <c r="Q105" s="7">
        <f t="shared" si="42"/>
        <v>417.66666666666839</v>
      </c>
      <c r="R105" s="7">
        <f t="shared" si="42"/>
        <v>362.66666666666799</v>
      </c>
      <c r="S105" s="7">
        <f t="shared" si="51"/>
        <v>472.66666666666879</v>
      </c>
      <c r="T105" s="7">
        <f t="shared" si="52"/>
        <v>11.00000000000008</v>
      </c>
      <c r="U105" s="7">
        <f t="shared" si="53"/>
        <v>472.66666666666868</v>
      </c>
      <c r="V105" s="7">
        <f t="shared" si="54"/>
        <v>0</v>
      </c>
      <c r="W105" s="7">
        <f t="shared" si="55"/>
        <v>0</v>
      </c>
      <c r="AC105" s="7">
        <v>42</v>
      </c>
      <c r="AD105" s="52">
        <f>'הזנת נתונים'!A42</f>
        <v>472.66666666666902</v>
      </c>
      <c r="AE105" s="7">
        <f t="shared" si="43"/>
        <v>412.16666666666833</v>
      </c>
      <c r="AF105" s="7">
        <f t="shared" si="43"/>
        <v>351.66666666666788</v>
      </c>
      <c r="AG105" s="7">
        <f t="shared" si="56"/>
        <v>472.66666666666879</v>
      </c>
      <c r="AH105" s="7">
        <f t="shared" si="57"/>
        <v>11.000000000000083</v>
      </c>
      <c r="AI105" s="7">
        <f t="shared" si="58"/>
        <v>472.66666666666873</v>
      </c>
      <c r="AJ105" s="7">
        <f t="shared" si="59"/>
        <v>0</v>
      </c>
      <c r="AK105" s="7">
        <f t="shared" si="60"/>
        <v>0</v>
      </c>
      <c r="AQ105" s="7">
        <v>42</v>
      </c>
      <c r="AR105" s="52">
        <f>'הזנת נתונים'!A42</f>
        <v>472.66666666666902</v>
      </c>
      <c r="AS105" s="7">
        <f t="shared" si="44"/>
        <v>406.66666666666828</v>
      </c>
      <c r="AT105" s="7">
        <f t="shared" si="44"/>
        <v>340.66666666666788</v>
      </c>
      <c r="AU105" s="7">
        <f t="shared" si="61"/>
        <v>472.66666666666868</v>
      </c>
      <c r="AV105" s="7">
        <f t="shared" si="62"/>
        <v>11.000000000000066</v>
      </c>
      <c r="AW105" s="7">
        <f t="shared" si="63"/>
        <v>472.66666666666868</v>
      </c>
      <c r="AX105" s="7">
        <f t="shared" si="64"/>
        <v>0</v>
      </c>
      <c r="AY105" s="7">
        <f t="shared" si="65"/>
        <v>0</v>
      </c>
      <c r="BE105" s="7">
        <v>42</v>
      </c>
      <c r="BF105" s="52">
        <f>'הזנת נתונים'!A42</f>
        <v>472.66666666666902</v>
      </c>
      <c r="BG105" s="7">
        <f t="shared" si="45"/>
        <v>401.16666666666828</v>
      </c>
      <c r="BH105" s="7">
        <f t="shared" si="45"/>
        <v>329.66666666666777</v>
      </c>
      <c r="BI105" s="7">
        <f t="shared" si="66"/>
        <v>472.66666666666879</v>
      </c>
      <c r="BJ105" s="7">
        <f t="shared" si="67"/>
        <v>11.000000000000078</v>
      </c>
      <c r="BK105" s="7">
        <f t="shared" si="68"/>
        <v>472.66666666666873</v>
      </c>
      <c r="BL105" s="7">
        <f t="shared" si="69"/>
        <v>0</v>
      </c>
      <c r="BM105" s="7">
        <f t="shared" si="70"/>
        <v>0</v>
      </c>
    </row>
    <row r="106" spans="1:65" x14ac:dyDescent="0.25">
      <c r="A106" s="7">
        <v>43</v>
      </c>
      <c r="B106" s="52">
        <f>'הזנת נתונים'!A43</f>
        <v>483.66666666666902</v>
      </c>
      <c r="C106" s="7">
        <f t="shared" si="41"/>
        <v>434.1666666666685</v>
      </c>
      <c r="D106" s="7">
        <f t="shared" si="41"/>
        <v>384.66666666666816</v>
      </c>
      <c r="E106" s="7">
        <f t="shared" si="46"/>
        <v>483.66666666666885</v>
      </c>
      <c r="F106" s="7">
        <f t="shared" si="47"/>
        <v>11.000000000000076</v>
      </c>
      <c r="G106" s="7">
        <f t="shared" si="48"/>
        <v>483.66666666666896</v>
      </c>
      <c r="H106" s="7">
        <f t="shared" si="49"/>
        <v>0</v>
      </c>
      <c r="I106" s="7">
        <f t="shared" si="50"/>
        <v>0</v>
      </c>
      <c r="O106" s="7">
        <v>43</v>
      </c>
      <c r="P106" s="52">
        <f>'הזנת נתונים'!A43</f>
        <v>483.66666666666902</v>
      </c>
      <c r="Q106" s="7">
        <f t="shared" si="42"/>
        <v>428.66666666666845</v>
      </c>
      <c r="R106" s="7">
        <f t="shared" si="42"/>
        <v>373.66666666666805</v>
      </c>
      <c r="S106" s="7">
        <f t="shared" si="51"/>
        <v>483.66666666666885</v>
      </c>
      <c r="T106" s="7">
        <f t="shared" si="52"/>
        <v>11.00000000000008</v>
      </c>
      <c r="U106" s="7">
        <f t="shared" si="53"/>
        <v>483.66666666666885</v>
      </c>
      <c r="V106" s="7">
        <f t="shared" si="54"/>
        <v>0</v>
      </c>
      <c r="W106" s="7">
        <f t="shared" si="55"/>
        <v>0</v>
      </c>
      <c r="AC106" s="7">
        <v>43</v>
      </c>
      <c r="AD106" s="52">
        <f>'הזנת נתונים'!A43</f>
        <v>483.66666666666902</v>
      </c>
      <c r="AE106" s="7">
        <f t="shared" si="43"/>
        <v>423.16666666666839</v>
      </c>
      <c r="AF106" s="7">
        <f t="shared" si="43"/>
        <v>362.66666666666805</v>
      </c>
      <c r="AG106" s="7">
        <f t="shared" si="56"/>
        <v>483.66666666666873</v>
      </c>
      <c r="AH106" s="7">
        <f t="shared" si="57"/>
        <v>11.000000000000062</v>
      </c>
      <c r="AI106" s="7">
        <f t="shared" si="58"/>
        <v>483.66666666666885</v>
      </c>
      <c r="AJ106" s="7">
        <f t="shared" si="59"/>
        <v>0</v>
      </c>
      <c r="AK106" s="7">
        <f t="shared" si="60"/>
        <v>0</v>
      </c>
      <c r="AQ106" s="7">
        <v>43</v>
      </c>
      <c r="AR106" s="52">
        <f>'הזנת נתונים'!A43</f>
        <v>483.66666666666902</v>
      </c>
      <c r="AS106" s="7">
        <f t="shared" si="44"/>
        <v>417.66666666666839</v>
      </c>
      <c r="AT106" s="7">
        <f t="shared" si="44"/>
        <v>351.66666666666794</v>
      </c>
      <c r="AU106" s="7">
        <f t="shared" si="61"/>
        <v>483.66666666666885</v>
      </c>
      <c r="AV106" s="7">
        <f t="shared" si="62"/>
        <v>11.000000000000076</v>
      </c>
      <c r="AW106" s="7">
        <f t="shared" si="63"/>
        <v>483.66666666666873</v>
      </c>
      <c r="AX106" s="7">
        <f t="shared" si="64"/>
        <v>0</v>
      </c>
      <c r="AY106" s="7">
        <f t="shared" si="65"/>
        <v>0</v>
      </c>
      <c r="BE106" s="7">
        <v>43</v>
      </c>
      <c r="BF106" s="52">
        <f>'הזנת נתונים'!A43</f>
        <v>483.66666666666902</v>
      </c>
      <c r="BG106" s="7">
        <f t="shared" si="45"/>
        <v>412.16666666666833</v>
      </c>
      <c r="BH106" s="7">
        <f t="shared" si="45"/>
        <v>340.66666666666788</v>
      </c>
      <c r="BI106" s="7">
        <f t="shared" si="66"/>
        <v>483.66666666666879</v>
      </c>
      <c r="BJ106" s="7">
        <f t="shared" si="67"/>
        <v>11.000000000000069</v>
      </c>
      <c r="BK106" s="7">
        <f t="shared" si="68"/>
        <v>483.66666666666885</v>
      </c>
      <c r="BL106" s="7">
        <f t="shared" si="69"/>
        <v>0</v>
      </c>
      <c r="BM106" s="7">
        <f t="shared" si="70"/>
        <v>0</v>
      </c>
    </row>
    <row r="107" spans="1:65" x14ac:dyDescent="0.25">
      <c r="A107" s="7">
        <v>44</v>
      </c>
      <c r="B107" s="52">
        <f>'הזנת נתונים'!A44</f>
        <v>494.66666666666902</v>
      </c>
      <c r="C107" s="7">
        <f t="shared" si="41"/>
        <v>445.16666666666862</v>
      </c>
      <c r="D107" s="7">
        <f t="shared" si="41"/>
        <v>395.66666666666822</v>
      </c>
      <c r="E107" s="7">
        <f t="shared" si="46"/>
        <v>494.66666666666902</v>
      </c>
      <c r="F107" s="7">
        <f t="shared" si="47"/>
        <v>11.000000000000089</v>
      </c>
      <c r="G107" s="7">
        <f t="shared" si="48"/>
        <v>494.6666666666689</v>
      </c>
      <c r="H107" s="7">
        <f t="shared" si="49"/>
        <v>0</v>
      </c>
      <c r="I107" s="7">
        <f t="shared" si="50"/>
        <v>0</v>
      </c>
      <c r="O107" s="7">
        <v>44</v>
      </c>
      <c r="P107" s="52">
        <f>'הזנת נתונים'!A44</f>
        <v>494.66666666666902</v>
      </c>
      <c r="Q107" s="7">
        <f t="shared" si="42"/>
        <v>439.66666666666856</v>
      </c>
      <c r="R107" s="7">
        <f t="shared" si="42"/>
        <v>384.66666666666811</v>
      </c>
      <c r="S107" s="7">
        <f t="shared" si="51"/>
        <v>494.66666666666902</v>
      </c>
      <c r="T107" s="7">
        <f t="shared" si="52"/>
        <v>11.000000000000091</v>
      </c>
      <c r="U107" s="7">
        <f t="shared" si="53"/>
        <v>494.6666666666689</v>
      </c>
      <c r="V107" s="7">
        <f t="shared" si="54"/>
        <v>0</v>
      </c>
      <c r="W107" s="7">
        <f t="shared" si="55"/>
        <v>0</v>
      </c>
      <c r="AC107" s="7">
        <v>44</v>
      </c>
      <c r="AD107" s="52">
        <f>'הזנת נתונים'!A44</f>
        <v>494.66666666666902</v>
      </c>
      <c r="AE107" s="7">
        <f t="shared" si="43"/>
        <v>434.1666666666685</v>
      </c>
      <c r="AF107" s="7">
        <f t="shared" si="43"/>
        <v>373.66666666666811</v>
      </c>
      <c r="AG107" s="7">
        <f t="shared" si="56"/>
        <v>494.6666666666689</v>
      </c>
      <c r="AH107" s="7">
        <f t="shared" si="57"/>
        <v>11.000000000000073</v>
      </c>
      <c r="AI107" s="7">
        <f t="shared" si="58"/>
        <v>494.66666666666879</v>
      </c>
      <c r="AJ107" s="7">
        <f t="shared" si="59"/>
        <v>0</v>
      </c>
      <c r="AK107" s="7">
        <f t="shared" si="60"/>
        <v>0</v>
      </c>
      <c r="AQ107" s="7">
        <v>44</v>
      </c>
      <c r="AR107" s="52">
        <f>'הזנת נתונים'!A44</f>
        <v>494.66666666666902</v>
      </c>
      <c r="AS107" s="7">
        <f t="shared" si="44"/>
        <v>428.66666666666845</v>
      </c>
      <c r="AT107" s="7">
        <f t="shared" si="44"/>
        <v>362.66666666666811</v>
      </c>
      <c r="AU107" s="7">
        <f t="shared" si="61"/>
        <v>494.66666666666879</v>
      </c>
      <c r="AV107" s="7">
        <f t="shared" si="62"/>
        <v>11.000000000000057</v>
      </c>
      <c r="AW107" s="7">
        <f t="shared" si="63"/>
        <v>494.6666666666689</v>
      </c>
      <c r="AX107" s="7">
        <f t="shared" si="64"/>
        <v>0</v>
      </c>
      <c r="AY107" s="7">
        <f t="shared" si="65"/>
        <v>0</v>
      </c>
      <c r="BE107" s="7">
        <v>44</v>
      </c>
      <c r="BF107" s="52">
        <f>'הזנת נתונים'!A44</f>
        <v>494.66666666666902</v>
      </c>
      <c r="BG107" s="7">
        <f t="shared" si="45"/>
        <v>423.16666666666839</v>
      </c>
      <c r="BH107" s="7">
        <f t="shared" si="45"/>
        <v>351.66666666666794</v>
      </c>
      <c r="BI107" s="7">
        <f t="shared" si="66"/>
        <v>494.66666666666885</v>
      </c>
      <c r="BJ107" s="7">
        <f t="shared" si="67"/>
        <v>11.000000000000069</v>
      </c>
      <c r="BK107" s="7">
        <f t="shared" si="68"/>
        <v>494.66666666666885</v>
      </c>
      <c r="BL107" s="7">
        <f t="shared" si="69"/>
        <v>0</v>
      </c>
      <c r="BM107" s="7">
        <f t="shared" si="70"/>
        <v>0</v>
      </c>
    </row>
    <row r="108" spans="1:65" x14ac:dyDescent="0.25">
      <c r="A108" s="7">
        <v>45</v>
      </c>
      <c r="B108" s="52">
        <f>'הזנת נתונים'!A45</f>
        <v>505.66666666666799</v>
      </c>
      <c r="C108" s="7">
        <f t="shared" si="41"/>
        <v>456.16666666666862</v>
      </c>
      <c r="D108" s="7">
        <f t="shared" si="41"/>
        <v>406.66666666666828</v>
      </c>
      <c r="E108" s="7">
        <f t="shared" si="46"/>
        <v>505.66666666666896</v>
      </c>
      <c r="F108" s="7">
        <f t="shared" si="47"/>
        <v>11.000000000000076</v>
      </c>
      <c r="G108" s="7">
        <f t="shared" si="48"/>
        <v>505.66666666666913</v>
      </c>
      <c r="H108" s="7">
        <f t="shared" si="49"/>
        <v>1.1368683772161603E-12</v>
      </c>
      <c r="I108" s="7">
        <f t="shared" si="50"/>
        <v>1.2924697071141057E-24</v>
      </c>
      <c r="O108" s="7">
        <v>45</v>
      </c>
      <c r="P108" s="52">
        <f>'הזנת נתונים'!A45</f>
        <v>505.66666666666799</v>
      </c>
      <c r="Q108" s="7">
        <f t="shared" si="42"/>
        <v>450.66666666666856</v>
      </c>
      <c r="R108" s="7">
        <f t="shared" si="42"/>
        <v>395.66666666666822</v>
      </c>
      <c r="S108" s="7">
        <f t="shared" si="51"/>
        <v>505.6666666666689</v>
      </c>
      <c r="T108" s="7">
        <f t="shared" si="52"/>
        <v>11.000000000000068</v>
      </c>
      <c r="U108" s="7">
        <f t="shared" si="53"/>
        <v>505.66666666666913</v>
      </c>
      <c r="V108" s="7">
        <f t="shared" si="54"/>
        <v>1.1368683772161603E-12</v>
      </c>
      <c r="W108" s="7">
        <f t="shared" si="55"/>
        <v>1.2924697071141057E-24</v>
      </c>
      <c r="AC108" s="7">
        <v>45</v>
      </c>
      <c r="AD108" s="52">
        <f>'הזנת נתונים'!A45</f>
        <v>505.66666666666799</v>
      </c>
      <c r="AE108" s="7">
        <f t="shared" si="43"/>
        <v>445.1666666666685</v>
      </c>
      <c r="AF108" s="7">
        <f t="shared" si="43"/>
        <v>384.66666666666816</v>
      </c>
      <c r="AG108" s="7">
        <f t="shared" si="56"/>
        <v>505.66666666666885</v>
      </c>
      <c r="AH108" s="7">
        <f t="shared" si="57"/>
        <v>11.000000000000062</v>
      </c>
      <c r="AI108" s="7">
        <f t="shared" si="58"/>
        <v>505.66666666666896</v>
      </c>
      <c r="AJ108" s="7">
        <f t="shared" si="59"/>
        <v>9.6633812063373625E-13</v>
      </c>
      <c r="AK108" s="7">
        <f t="shared" si="60"/>
        <v>9.338093633899414E-25</v>
      </c>
      <c r="AQ108" s="7">
        <v>45</v>
      </c>
      <c r="AR108" s="52">
        <f>'הזנת נתונים'!A45</f>
        <v>505.66666666666799</v>
      </c>
      <c r="AS108" s="7">
        <f t="shared" si="44"/>
        <v>439.66666666666845</v>
      </c>
      <c r="AT108" s="7">
        <f t="shared" si="44"/>
        <v>373.66666666666816</v>
      </c>
      <c r="AU108" s="7">
        <f t="shared" si="61"/>
        <v>505.66666666666873</v>
      </c>
      <c r="AV108" s="7">
        <f t="shared" si="62"/>
        <v>11.000000000000048</v>
      </c>
      <c r="AW108" s="7">
        <f t="shared" si="63"/>
        <v>505.66666666666885</v>
      </c>
      <c r="AX108" s="7">
        <f t="shared" si="64"/>
        <v>8.5265128291212022E-13</v>
      </c>
      <c r="AY108" s="7">
        <f t="shared" si="65"/>
        <v>7.2701421025168448E-25</v>
      </c>
      <c r="BE108" s="7">
        <v>45</v>
      </c>
      <c r="BF108" s="52">
        <f>'הזנת נתונים'!A45</f>
        <v>505.66666666666799</v>
      </c>
      <c r="BG108" s="7">
        <f t="shared" si="45"/>
        <v>434.16666666666839</v>
      </c>
      <c r="BH108" s="7">
        <f t="shared" si="45"/>
        <v>362.66666666666805</v>
      </c>
      <c r="BI108" s="7">
        <f t="shared" si="66"/>
        <v>505.66666666666873</v>
      </c>
      <c r="BJ108" s="7">
        <f t="shared" si="67"/>
        <v>11.000000000000053</v>
      </c>
      <c r="BK108" s="7">
        <f t="shared" si="68"/>
        <v>505.6666666666689</v>
      </c>
      <c r="BL108" s="7">
        <f t="shared" si="69"/>
        <v>9.0949470177292824E-13</v>
      </c>
      <c r="BM108" s="7">
        <f t="shared" si="70"/>
        <v>8.2718061255302767E-25</v>
      </c>
    </row>
    <row r="109" spans="1:65" x14ac:dyDescent="0.25">
      <c r="A109" s="7">
        <v>46</v>
      </c>
      <c r="B109" s="52">
        <f>'הזנת נתונים'!A46</f>
        <v>516.66666666666902</v>
      </c>
      <c r="C109" s="7">
        <f t="shared" si="41"/>
        <v>467.16666666666868</v>
      </c>
      <c r="D109" s="7">
        <f t="shared" si="41"/>
        <v>417.66666666666833</v>
      </c>
      <c r="E109" s="7">
        <f t="shared" si="46"/>
        <v>516.66666666666902</v>
      </c>
      <c r="F109" s="7">
        <f t="shared" si="47"/>
        <v>11.000000000000076</v>
      </c>
      <c r="G109" s="7">
        <f t="shared" si="48"/>
        <v>516.66666666666902</v>
      </c>
      <c r="H109" s="7">
        <f t="shared" si="49"/>
        <v>0</v>
      </c>
      <c r="I109" s="7">
        <f t="shared" si="50"/>
        <v>0</v>
      </c>
      <c r="O109" s="7">
        <v>46</v>
      </c>
      <c r="P109" s="52">
        <f>'הזנת נתונים'!A46</f>
        <v>516.66666666666902</v>
      </c>
      <c r="Q109" s="7">
        <f t="shared" si="42"/>
        <v>461.66666666666862</v>
      </c>
      <c r="R109" s="7">
        <f t="shared" si="42"/>
        <v>406.66666666666828</v>
      </c>
      <c r="S109" s="7">
        <f t="shared" si="51"/>
        <v>516.66666666666902</v>
      </c>
      <c r="T109" s="7">
        <f t="shared" si="52"/>
        <v>11.000000000000068</v>
      </c>
      <c r="U109" s="7">
        <f t="shared" si="53"/>
        <v>516.66666666666902</v>
      </c>
      <c r="V109" s="7">
        <f t="shared" si="54"/>
        <v>0</v>
      </c>
      <c r="W109" s="7">
        <f t="shared" si="55"/>
        <v>0</v>
      </c>
      <c r="AC109" s="7">
        <v>46</v>
      </c>
      <c r="AD109" s="52">
        <f>'הזנת נתונים'!A46</f>
        <v>516.66666666666902</v>
      </c>
      <c r="AE109" s="7">
        <f t="shared" si="43"/>
        <v>456.16666666666856</v>
      </c>
      <c r="AF109" s="7">
        <f t="shared" si="43"/>
        <v>395.66666666666828</v>
      </c>
      <c r="AG109" s="7">
        <f t="shared" si="56"/>
        <v>516.66666666666879</v>
      </c>
      <c r="AH109" s="7">
        <f t="shared" si="57"/>
        <v>11.000000000000052</v>
      </c>
      <c r="AI109" s="7">
        <f t="shared" si="58"/>
        <v>516.6666666666689</v>
      </c>
      <c r="AJ109" s="7">
        <f t="shared" si="59"/>
        <v>0</v>
      </c>
      <c r="AK109" s="7">
        <f t="shared" si="60"/>
        <v>0</v>
      </c>
      <c r="AQ109" s="7">
        <v>46</v>
      </c>
      <c r="AR109" s="52">
        <f>'הזנת נתונים'!A46</f>
        <v>516.66666666666902</v>
      </c>
      <c r="AS109" s="7">
        <f t="shared" si="44"/>
        <v>450.6666666666685</v>
      </c>
      <c r="AT109" s="7">
        <f t="shared" si="44"/>
        <v>384.66666666666822</v>
      </c>
      <c r="AU109" s="7">
        <f t="shared" si="61"/>
        <v>516.66666666666879</v>
      </c>
      <c r="AV109" s="7">
        <f t="shared" si="62"/>
        <v>11.000000000000048</v>
      </c>
      <c r="AW109" s="7">
        <f t="shared" si="63"/>
        <v>516.66666666666879</v>
      </c>
      <c r="AX109" s="7">
        <f t="shared" si="64"/>
        <v>0</v>
      </c>
      <c r="AY109" s="7">
        <f t="shared" si="65"/>
        <v>0</v>
      </c>
      <c r="BE109" s="7">
        <v>46</v>
      </c>
      <c r="BF109" s="52">
        <f>'הזנת נתונים'!A46</f>
        <v>516.66666666666902</v>
      </c>
      <c r="BG109" s="7">
        <f t="shared" si="45"/>
        <v>445.16666666666845</v>
      </c>
      <c r="BH109" s="7">
        <f t="shared" si="45"/>
        <v>373.66666666666816</v>
      </c>
      <c r="BI109" s="7">
        <f t="shared" si="66"/>
        <v>516.66666666666879</v>
      </c>
      <c r="BJ109" s="7">
        <f t="shared" si="67"/>
        <v>11.000000000000044</v>
      </c>
      <c r="BK109" s="7">
        <f t="shared" si="68"/>
        <v>516.66666666666879</v>
      </c>
      <c r="BL109" s="7">
        <f t="shared" si="69"/>
        <v>0</v>
      </c>
      <c r="BM109" s="7">
        <f t="shared" si="70"/>
        <v>0</v>
      </c>
    </row>
    <row r="110" spans="1:65" x14ac:dyDescent="0.25">
      <c r="A110" s="7">
        <v>47</v>
      </c>
      <c r="B110" s="52">
        <f>'הזנת נתונים'!A47</f>
        <v>527.66666666666902</v>
      </c>
      <c r="C110" s="7">
        <f t="shared" si="41"/>
        <v>478.16666666666879</v>
      </c>
      <c r="D110" s="7">
        <f t="shared" si="41"/>
        <v>428.66666666666845</v>
      </c>
      <c r="E110" s="7">
        <f t="shared" si="46"/>
        <v>527.66666666666913</v>
      </c>
      <c r="F110" s="7">
        <f t="shared" si="47"/>
        <v>11.000000000000076</v>
      </c>
      <c r="G110" s="7">
        <f t="shared" si="48"/>
        <v>527.66666666666913</v>
      </c>
      <c r="H110" s="7">
        <f t="shared" si="49"/>
        <v>0</v>
      </c>
      <c r="I110" s="7">
        <f t="shared" si="50"/>
        <v>0</v>
      </c>
      <c r="O110" s="7">
        <v>47</v>
      </c>
      <c r="P110" s="52">
        <f>'הזנת נתונים'!A47</f>
        <v>527.66666666666902</v>
      </c>
      <c r="Q110" s="7">
        <f t="shared" si="42"/>
        <v>472.66666666666873</v>
      </c>
      <c r="R110" s="7">
        <f t="shared" si="42"/>
        <v>417.66666666666839</v>
      </c>
      <c r="S110" s="7">
        <f t="shared" si="51"/>
        <v>527.66666666666902</v>
      </c>
      <c r="T110" s="7">
        <f t="shared" si="52"/>
        <v>11.000000000000068</v>
      </c>
      <c r="U110" s="7">
        <f t="shared" si="53"/>
        <v>527.66666666666913</v>
      </c>
      <c r="V110" s="7">
        <f t="shared" si="54"/>
        <v>0</v>
      </c>
      <c r="W110" s="7">
        <f t="shared" si="55"/>
        <v>0</v>
      </c>
      <c r="AC110" s="7">
        <v>47</v>
      </c>
      <c r="AD110" s="52">
        <f>'הזנת נתונים'!A47</f>
        <v>527.66666666666902</v>
      </c>
      <c r="AE110" s="7">
        <f t="shared" si="43"/>
        <v>467.16666666666862</v>
      </c>
      <c r="AF110" s="7">
        <f t="shared" si="43"/>
        <v>406.66666666666828</v>
      </c>
      <c r="AG110" s="7">
        <f t="shared" si="56"/>
        <v>527.66666666666902</v>
      </c>
      <c r="AH110" s="7">
        <f t="shared" si="57"/>
        <v>11.000000000000062</v>
      </c>
      <c r="AI110" s="7">
        <f t="shared" si="58"/>
        <v>527.66666666666879</v>
      </c>
      <c r="AJ110" s="7">
        <f t="shared" si="59"/>
        <v>0</v>
      </c>
      <c r="AK110" s="7">
        <f t="shared" si="60"/>
        <v>0</v>
      </c>
      <c r="AQ110" s="7">
        <v>47</v>
      </c>
      <c r="AR110" s="52">
        <f>'הזנת נתונים'!A47</f>
        <v>527.66666666666902</v>
      </c>
      <c r="AS110" s="7">
        <f t="shared" si="44"/>
        <v>461.66666666666856</v>
      </c>
      <c r="AT110" s="7">
        <f t="shared" si="44"/>
        <v>395.66666666666822</v>
      </c>
      <c r="AU110" s="7">
        <f t="shared" si="61"/>
        <v>527.6666666666689</v>
      </c>
      <c r="AV110" s="7">
        <f t="shared" si="62"/>
        <v>11.000000000000057</v>
      </c>
      <c r="AW110" s="7">
        <f t="shared" si="63"/>
        <v>527.66666666666879</v>
      </c>
      <c r="AX110" s="7">
        <f t="shared" si="64"/>
        <v>0</v>
      </c>
      <c r="AY110" s="7">
        <f t="shared" si="65"/>
        <v>0</v>
      </c>
      <c r="BE110" s="7">
        <v>47</v>
      </c>
      <c r="BF110" s="52">
        <f>'הזנת נתונים'!A47</f>
        <v>527.66666666666902</v>
      </c>
      <c r="BG110" s="7">
        <f t="shared" si="45"/>
        <v>456.1666666666685</v>
      </c>
      <c r="BH110" s="7">
        <f t="shared" si="45"/>
        <v>384.66666666666822</v>
      </c>
      <c r="BI110" s="7">
        <f t="shared" si="66"/>
        <v>527.66666666666879</v>
      </c>
      <c r="BJ110" s="7">
        <f t="shared" si="67"/>
        <v>11.000000000000044</v>
      </c>
      <c r="BK110" s="7">
        <f t="shared" si="68"/>
        <v>527.66666666666879</v>
      </c>
      <c r="BL110" s="7">
        <f t="shared" si="69"/>
        <v>0</v>
      </c>
      <c r="BM110" s="7">
        <f t="shared" si="70"/>
        <v>0</v>
      </c>
    </row>
    <row r="111" spans="1:65" x14ac:dyDescent="0.25">
      <c r="A111" s="7">
        <v>48</v>
      </c>
      <c r="B111" s="52">
        <f>'הזנת נתונים'!A48</f>
        <v>538.66666666666902</v>
      </c>
      <c r="C111" s="7">
        <f t="shared" si="41"/>
        <v>489.16666666666879</v>
      </c>
      <c r="D111" s="7">
        <f t="shared" si="41"/>
        <v>439.66666666666862</v>
      </c>
      <c r="E111" s="7">
        <f t="shared" si="46"/>
        <v>538.66666666666902</v>
      </c>
      <c r="F111" s="7">
        <f t="shared" si="47"/>
        <v>11.000000000000037</v>
      </c>
      <c r="G111" s="7">
        <f t="shared" si="48"/>
        <v>538.66666666666924</v>
      </c>
      <c r="H111" s="7">
        <f t="shared" si="49"/>
        <v>0</v>
      </c>
      <c r="I111" s="7">
        <f t="shared" si="50"/>
        <v>0</v>
      </c>
      <c r="O111" s="7">
        <v>48</v>
      </c>
      <c r="P111" s="52">
        <f>'הזנת נתונים'!A48</f>
        <v>538.66666666666902</v>
      </c>
      <c r="Q111" s="7">
        <f t="shared" si="42"/>
        <v>483.66666666666879</v>
      </c>
      <c r="R111" s="7">
        <f t="shared" si="42"/>
        <v>428.66666666666845</v>
      </c>
      <c r="S111" s="7">
        <f t="shared" si="51"/>
        <v>538.66666666666913</v>
      </c>
      <c r="T111" s="7">
        <f t="shared" si="52"/>
        <v>11.000000000000068</v>
      </c>
      <c r="U111" s="7">
        <f t="shared" si="53"/>
        <v>538.66666666666913</v>
      </c>
      <c r="V111" s="7">
        <f t="shared" si="54"/>
        <v>0</v>
      </c>
      <c r="W111" s="7">
        <f t="shared" si="55"/>
        <v>0</v>
      </c>
      <c r="AC111" s="7">
        <v>48</v>
      </c>
      <c r="AD111" s="52">
        <f>'הזנת נתונים'!A48</f>
        <v>538.66666666666902</v>
      </c>
      <c r="AE111" s="7">
        <f t="shared" si="43"/>
        <v>478.16666666666873</v>
      </c>
      <c r="AF111" s="7">
        <f t="shared" si="43"/>
        <v>417.66666666666833</v>
      </c>
      <c r="AG111" s="7">
        <f t="shared" si="56"/>
        <v>538.66666666666913</v>
      </c>
      <c r="AH111" s="7">
        <f t="shared" si="57"/>
        <v>11.000000000000073</v>
      </c>
      <c r="AI111" s="7">
        <f t="shared" si="58"/>
        <v>538.66666666666913</v>
      </c>
      <c r="AJ111" s="7">
        <f t="shared" si="59"/>
        <v>0</v>
      </c>
      <c r="AK111" s="7">
        <f t="shared" si="60"/>
        <v>0</v>
      </c>
      <c r="AQ111" s="7">
        <v>48</v>
      </c>
      <c r="AR111" s="52">
        <f>'הזנת נתונים'!A48</f>
        <v>538.66666666666902</v>
      </c>
      <c r="AS111" s="7">
        <f t="shared" si="44"/>
        <v>472.66666666666868</v>
      </c>
      <c r="AT111" s="7">
        <f t="shared" si="44"/>
        <v>406.66666666666828</v>
      </c>
      <c r="AU111" s="7">
        <f t="shared" si="61"/>
        <v>538.66666666666902</v>
      </c>
      <c r="AV111" s="7">
        <f t="shared" si="62"/>
        <v>11.000000000000066</v>
      </c>
      <c r="AW111" s="7">
        <f t="shared" si="63"/>
        <v>538.66666666666902</v>
      </c>
      <c r="AX111" s="7">
        <f t="shared" si="64"/>
        <v>0</v>
      </c>
      <c r="AY111" s="7">
        <f t="shared" si="65"/>
        <v>0</v>
      </c>
      <c r="BE111" s="7">
        <v>48</v>
      </c>
      <c r="BF111" s="52">
        <f>'הזנת נתונים'!A48</f>
        <v>538.66666666666902</v>
      </c>
      <c r="BG111" s="7">
        <f t="shared" si="45"/>
        <v>467.16666666666862</v>
      </c>
      <c r="BH111" s="7">
        <f t="shared" si="45"/>
        <v>395.66666666666828</v>
      </c>
      <c r="BI111" s="7">
        <f t="shared" si="66"/>
        <v>538.66666666666902</v>
      </c>
      <c r="BJ111" s="7">
        <f t="shared" si="67"/>
        <v>11.000000000000053</v>
      </c>
      <c r="BK111" s="7">
        <f t="shared" si="68"/>
        <v>538.66666666666879</v>
      </c>
      <c r="BL111" s="7">
        <f t="shared" si="69"/>
        <v>0</v>
      </c>
      <c r="BM111" s="7">
        <f t="shared" si="70"/>
        <v>0</v>
      </c>
    </row>
    <row r="112" spans="1:65" x14ac:dyDescent="0.25">
      <c r="A112" s="7">
        <v>49</v>
      </c>
      <c r="B112" s="52">
        <f>'הזנת נתונים'!A49</f>
        <v>549.66666666666902</v>
      </c>
      <c r="C112" s="7">
        <f t="shared" si="41"/>
        <v>500.16666666666879</v>
      </c>
      <c r="D112" s="7">
        <f t="shared" si="41"/>
        <v>450.66666666666862</v>
      </c>
      <c r="E112" s="7">
        <f t="shared" si="46"/>
        <v>549.66666666666902</v>
      </c>
      <c r="F112" s="7">
        <f t="shared" si="47"/>
        <v>11.000000000000037</v>
      </c>
      <c r="G112" s="7">
        <f t="shared" si="48"/>
        <v>549.66666666666902</v>
      </c>
      <c r="H112" s="7">
        <f t="shared" si="49"/>
        <v>0</v>
      </c>
      <c r="I112" s="7">
        <f t="shared" si="50"/>
        <v>0</v>
      </c>
      <c r="O112" s="7">
        <v>49</v>
      </c>
      <c r="P112" s="52">
        <f>'הזנת נתונים'!A49</f>
        <v>549.66666666666902</v>
      </c>
      <c r="Q112" s="7">
        <f t="shared" si="42"/>
        <v>494.66666666666879</v>
      </c>
      <c r="R112" s="7">
        <f t="shared" si="42"/>
        <v>439.66666666666856</v>
      </c>
      <c r="S112" s="7">
        <f t="shared" si="51"/>
        <v>549.66666666666902</v>
      </c>
      <c r="T112" s="7">
        <f t="shared" si="52"/>
        <v>11.000000000000046</v>
      </c>
      <c r="U112" s="7">
        <f t="shared" si="53"/>
        <v>549.66666666666924</v>
      </c>
      <c r="V112" s="7">
        <f t="shared" si="54"/>
        <v>0</v>
      </c>
      <c r="W112" s="7">
        <f t="shared" si="55"/>
        <v>0</v>
      </c>
      <c r="AC112" s="7">
        <v>49</v>
      </c>
      <c r="AD112" s="52">
        <f>'הזנת נתונים'!A49</f>
        <v>549.66666666666902</v>
      </c>
      <c r="AE112" s="7">
        <f t="shared" si="43"/>
        <v>489.16666666666879</v>
      </c>
      <c r="AF112" s="7">
        <f t="shared" si="43"/>
        <v>428.66666666666839</v>
      </c>
      <c r="AG112" s="7">
        <f t="shared" si="56"/>
        <v>549.66666666666924</v>
      </c>
      <c r="AH112" s="7">
        <f t="shared" si="57"/>
        <v>11.000000000000073</v>
      </c>
      <c r="AI112" s="7">
        <f t="shared" si="58"/>
        <v>549.66666666666924</v>
      </c>
      <c r="AJ112" s="7">
        <f t="shared" si="59"/>
        <v>0</v>
      </c>
      <c r="AK112" s="7">
        <f t="shared" si="60"/>
        <v>0</v>
      </c>
      <c r="AQ112" s="7">
        <v>49</v>
      </c>
      <c r="AR112" s="52">
        <f>'הזנת נתונים'!A49</f>
        <v>549.66666666666902</v>
      </c>
      <c r="AS112" s="7">
        <f t="shared" si="44"/>
        <v>483.66666666666873</v>
      </c>
      <c r="AT112" s="7">
        <f t="shared" si="44"/>
        <v>417.66666666666828</v>
      </c>
      <c r="AU112" s="7">
        <f t="shared" si="61"/>
        <v>549.66666666666924</v>
      </c>
      <c r="AV112" s="7">
        <f t="shared" si="62"/>
        <v>11.000000000000076</v>
      </c>
      <c r="AW112" s="7">
        <f t="shared" si="63"/>
        <v>549.66666666666913</v>
      </c>
      <c r="AX112" s="7">
        <f t="shared" si="64"/>
        <v>0</v>
      </c>
      <c r="AY112" s="7">
        <f t="shared" si="65"/>
        <v>0</v>
      </c>
      <c r="BE112" s="7">
        <v>49</v>
      </c>
      <c r="BF112" s="52">
        <f>'הזנת נתונים'!A49</f>
        <v>549.66666666666902</v>
      </c>
      <c r="BG112" s="7">
        <f t="shared" si="45"/>
        <v>478.16666666666868</v>
      </c>
      <c r="BH112" s="7">
        <f t="shared" si="45"/>
        <v>406.66666666666833</v>
      </c>
      <c r="BI112" s="7">
        <f t="shared" si="66"/>
        <v>549.66666666666902</v>
      </c>
      <c r="BJ112" s="7">
        <f t="shared" si="67"/>
        <v>11.000000000000053</v>
      </c>
      <c r="BK112" s="7">
        <f t="shared" si="68"/>
        <v>549.66666666666902</v>
      </c>
      <c r="BL112" s="7">
        <f t="shared" si="69"/>
        <v>0</v>
      </c>
      <c r="BM112" s="7">
        <f t="shared" si="70"/>
        <v>0</v>
      </c>
    </row>
    <row r="113" spans="1:69" x14ac:dyDescent="0.25">
      <c r="A113" s="7">
        <v>50</v>
      </c>
      <c r="B113" s="52">
        <f>'הזנת נתונים'!A50</f>
        <v>560.66666666666902</v>
      </c>
      <c r="C113" s="7">
        <f t="shared" si="41"/>
        <v>511.16666666666879</v>
      </c>
      <c r="D113" s="7">
        <f t="shared" si="41"/>
        <v>461.66666666666868</v>
      </c>
      <c r="E113" s="7">
        <f t="shared" si="46"/>
        <v>560.6666666666689</v>
      </c>
      <c r="F113" s="7">
        <f t="shared" si="47"/>
        <v>11.000000000000025</v>
      </c>
      <c r="G113" s="7">
        <f t="shared" si="48"/>
        <v>560.66666666666902</v>
      </c>
      <c r="H113" s="7">
        <f t="shared" si="49"/>
        <v>0</v>
      </c>
      <c r="I113" s="7">
        <f t="shared" si="50"/>
        <v>0</v>
      </c>
      <c r="O113" s="7">
        <v>50</v>
      </c>
      <c r="P113" s="52">
        <f>'הזנת נתונים'!A50</f>
        <v>560.66666666666902</v>
      </c>
      <c r="Q113" s="7">
        <f t="shared" si="42"/>
        <v>505.66666666666879</v>
      </c>
      <c r="R113" s="7">
        <f t="shared" si="42"/>
        <v>450.66666666666862</v>
      </c>
      <c r="S113" s="7">
        <f t="shared" si="51"/>
        <v>560.66666666666902</v>
      </c>
      <c r="T113" s="7">
        <f t="shared" si="52"/>
        <v>11.000000000000034</v>
      </c>
      <c r="U113" s="7">
        <f t="shared" si="53"/>
        <v>560.66666666666902</v>
      </c>
      <c r="V113" s="7">
        <f t="shared" si="54"/>
        <v>0</v>
      </c>
      <c r="W113" s="7">
        <f t="shared" si="55"/>
        <v>0</v>
      </c>
      <c r="AC113" s="7">
        <v>50</v>
      </c>
      <c r="AD113" s="52">
        <f>'הזנת נתונים'!A50</f>
        <v>560.66666666666902</v>
      </c>
      <c r="AE113" s="7">
        <f t="shared" si="43"/>
        <v>500.16666666666879</v>
      </c>
      <c r="AF113" s="7">
        <f t="shared" si="43"/>
        <v>439.6666666666685</v>
      </c>
      <c r="AG113" s="7">
        <f t="shared" si="56"/>
        <v>560.66666666666902</v>
      </c>
      <c r="AH113" s="7">
        <f t="shared" si="57"/>
        <v>11.000000000000052</v>
      </c>
      <c r="AI113" s="7">
        <f t="shared" si="58"/>
        <v>560.66666666666936</v>
      </c>
      <c r="AJ113" s="7">
        <f t="shared" si="59"/>
        <v>0</v>
      </c>
      <c r="AK113" s="7">
        <f t="shared" si="60"/>
        <v>0</v>
      </c>
      <c r="AQ113" s="7">
        <v>50</v>
      </c>
      <c r="AR113" s="52">
        <f>'הזנת נתונים'!A50</f>
        <v>560.66666666666902</v>
      </c>
      <c r="AS113" s="7">
        <f t="shared" si="44"/>
        <v>494.66666666666879</v>
      </c>
      <c r="AT113" s="7">
        <f t="shared" si="44"/>
        <v>428.66666666666839</v>
      </c>
      <c r="AU113" s="7">
        <f t="shared" si="61"/>
        <v>560.66666666666924</v>
      </c>
      <c r="AV113" s="7">
        <f t="shared" si="62"/>
        <v>11.000000000000066</v>
      </c>
      <c r="AW113" s="7">
        <f t="shared" si="63"/>
        <v>560.66666666666936</v>
      </c>
      <c r="AX113" s="7">
        <f t="shared" si="64"/>
        <v>0</v>
      </c>
      <c r="AY113" s="7">
        <f t="shared" si="65"/>
        <v>0</v>
      </c>
      <c r="BE113" s="7">
        <v>50</v>
      </c>
      <c r="BF113" s="52">
        <f>'הזנת נתונים'!A50</f>
        <v>560.66666666666902</v>
      </c>
      <c r="BG113" s="7">
        <f t="shared" si="45"/>
        <v>489.16666666666873</v>
      </c>
      <c r="BH113" s="7">
        <f t="shared" si="45"/>
        <v>417.66666666666833</v>
      </c>
      <c r="BI113" s="7">
        <f t="shared" si="66"/>
        <v>560.66666666666913</v>
      </c>
      <c r="BJ113" s="7">
        <f t="shared" si="67"/>
        <v>11.00000000000006</v>
      </c>
      <c r="BK113" s="7">
        <f t="shared" si="68"/>
        <v>560.66666666666902</v>
      </c>
      <c r="BL113" s="7">
        <f t="shared" si="69"/>
        <v>0</v>
      </c>
      <c r="BM113" s="7">
        <f t="shared" si="70"/>
        <v>0</v>
      </c>
    </row>
    <row r="114" spans="1:69" x14ac:dyDescent="0.25">
      <c r="A114" s="7">
        <v>51</v>
      </c>
      <c r="B114" s="52">
        <f>'הזנת נתונים'!A51</f>
        <v>571.66666666666902</v>
      </c>
      <c r="C114" s="7">
        <f t="shared" si="41"/>
        <v>522.16666666666879</v>
      </c>
      <c r="D114" s="7">
        <f t="shared" si="41"/>
        <v>472.66666666666868</v>
      </c>
      <c r="E114" s="7">
        <f t="shared" si="46"/>
        <v>571.6666666666689</v>
      </c>
      <c r="F114" s="7">
        <f t="shared" si="47"/>
        <v>11.000000000000025</v>
      </c>
      <c r="G114" s="7">
        <f t="shared" si="48"/>
        <v>571.6666666666689</v>
      </c>
      <c r="H114" s="7">
        <f t="shared" si="49"/>
        <v>0</v>
      </c>
      <c r="I114" s="7">
        <f t="shared" si="50"/>
        <v>0</v>
      </c>
      <c r="O114" s="7">
        <v>51</v>
      </c>
      <c r="P114" s="52">
        <f>'הזנת נתונים'!A51</f>
        <v>571.66666666666902</v>
      </c>
      <c r="Q114" s="7">
        <f t="shared" si="42"/>
        <v>516.66666666666879</v>
      </c>
      <c r="R114" s="7">
        <f t="shared" si="42"/>
        <v>461.66666666666862</v>
      </c>
      <c r="S114" s="7">
        <f t="shared" si="51"/>
        <v>571.66666666666902</v>
      </c>
      <c r="T114" s="7">
        <f t="shared" si="52"/>
        <v>11.000000000000034</v>
      </c>
      <c r="U114" s="7">
        <f t="shared" si="53"/>
        <v>571.66666666666902</v>
      </c>
      <c r="V114" s="7">
        <f t="shared" si="54"/>
        <v>0</v>
      </c>
      <c r="W114" s="7">
        <f t="shared" si="55"/>
        <v>0</v>
      </c>
      <c r="AC114" s="7">
        <v>51</v>
      </c>
      <c r="AD114" s="52">
        <f>'הזנת נתונים'!A51</f>
        <v>571.66666666666902</v>
      </c>
      <c r="AE114" s="7">
        <f t="shared" si="43"/>
        <v>511.16666666666879</v>
      </c>
      <c r="AF114" s="7">
        <f t="shared" si="43"/>
        <v>450.66666666666856</v>
      </c>
      <c r="AG114" s="7">
        <f t="shared" si="56"/>
        <v>571.66666666666902</v>
      </c>
      <c r="AH114" s="7">
        <f t="shared" si="57"/>
        <v>11.000000000000041</v>
      </c>
      <c r="AI114" s="7">
        <f t="shared" si="58"/>
        <v>571.66666666666902</v>
      </c>
      <c r="AJ114" s="7">
        <f t="shared" si="59"/>
        <v>0</v>
      </c>
      <c r="AK114" s="7">
        <f t="shared" si="60"/>
        <v>0</v>
      </c>
      <c r="AQ114" s="7">
        <v>51</v>
      </c>
      <c r="AR114" s="52">
        <f>'הזנת נתונים'!A51</f>
        <v>571.66666666666902</v>
      </c>
      <c r="AS114" s="7">
        <f t="shared" si="44"/>
        <v>505.66666666666879</v>
      </c>
      <c r="AT114" s="7">
        <f t="shared" si="44"/>
        <v>439.66666666666845</v>
      </c>
      <c r="AU114" s="7">
        <f t="shared" si="61"/>
        <v>571.66666666666913</v>
      </c>
      <c r="AV114" s="7">
        <f t="shared" si="62"/>
        <v>11.000000000000057</v>
      </c>
      <c r="AW114" s="7">
        <f t="shared" si="63"/>
        <v>571.66666666666936</v>
      </c>
      <c r="AX114" s="7">
        <f t="shared" si="64"/>
        <v>0</v>
      </c>
      <c r="AY114" s="7">
        <f t="shared" si="65"/>
        <v>0</v>
      </c>
      <c r="BE114" s="7">
        <v>51</v>
      </c>
      <c r="BF114" s="52">
        <f>'הזנת נתונים'!A51</f>
        <v>571.66666666666902</v>
      </c>
      <c r="BG114" s="7">
        <f t="shared" si="45"/>
        <v>500.16666666666879</v>
      </c>
      <c r="BH114" s="7">
        <f t="shared" si="45"/>
        <v>428.66666666666839</v>
      </c>
      <c r="BI114" s="7">
        <f t="shared" si="66"/>
        <v>571.66666666666924</v>
      </c>
      <c r="BJ114" s="7">
        <f t="shared" si="67"/>
        <v>11.00000000000006</v>
      </c>
      <c r="BK114" s="7">
        <f t="shared" si="68"/>
        <v>571.66666666666924</v>
      </c>
      <c r="BL114" s="7">
        <f t="shared" si="69"/>
        <v>0</v>
      </c>
      <c r="BM114" s="7">
        <f t="shared" si="70"/>
        <v>0</v>
      </c>
    </row>
    <row r="115" spans="1:69" x14ac:dyDescent="0.25">
      <c r="A115" s="7">
        <v>52</v>
      </c>
      <c r="B115" s="52">
        <f>'הזנת נתונים'!A52</f>
        <v>582.66666666666902</v>
      </c>
      <c r="C115" s="7">
        <f t="shared" si="41"/>
        <v>533.16666666666879</v>
      </c>
      <c r="D115" s="7">
        <f t="shared" si="41"/>
        <v>483.66666666666868</v>
      </c>
      <c r="E115" s="7">
        <f t="shared" si="46"/>
        <v>582.6666666666689</v>
      </c>
      <c r="F115" s="7">
        <f t="shared" si="47"/>
        <v>11.000000000000025</v>
      </c>
      <c r="G115" s="7">
        <f t="shared" si="48"/>
        <v>582.6666666666689</v>
      </c>
      <c r="H115" s="7">
        <f t="shared" si="49"/>
        <v>0</v>
      </c>
      <c r="I115" s="7">
        <f t="shared" si="50"/>
        <v>0</v>
      </c>
      <c r="O115" s="7">
        <v>52</v>
      </c>
      <c r="P115" s="52">
        <f>'הזנת נתונים'!A52</f>
        <v>582.66666666666902</v>
      </c>
      <c r="Q115" s="7">
        <f t="shared" si="42"/>
        <v>527.66666666666879</v>
      </c>
      <c r="R115" s="7">
        <f t="shared" si="42"/>
        <v>472.66666666666873</v>
      </c>
      <c r="S115" s="7">
        <f t="shared" si="51"/>
        <v>582.66666666666879</v>
      </c>
      <c r="T115" s="7">
        <f t="shared" si="52"/>
        <v>11.000000000000011</v>
      </c>
      <c r="U115" s="7">
        <f t="shared" si="53"/>
        <v>582.66666666666902</v>
      </c>
      <c r="V115" s="7">
        <f t="shared" si="54"/>
        <v>0</v>
      </c>
      <c r="W115" s="7">
        <f t="shared" si="55"/>
        <v>0</v>
      </c>
      <c r="AC115" s="7">
        <v>52</v>
      </c>
      <c r="AD115" s="52">
        <f>'הזנת נתונים'!A52</f>
        <v>582.66666666666902</v>
      </c>
      <c r="AE115" s="7">
        <f t="shared" si="43"/>
        <v>522.16666666666879</v>
      </c>
      <c r="AF115" s="7">
        <f t="shared" si="43"/>
        <v>461.66666666666862</v>
      </c>
      <c r="AG115" s="7">
        <f t="shared" si="56"/>
        <v>582.66666666666902</v>
      </c>
      <c r="AH115" s="7">
        <f t="shared" si="57"/>
        <v>11.00000000000003</v>
      </c>
      <c r="AI115" s="7">
        <f t="shared" si="58"/>
        <v>582.66666666666902</v>
      </c>
      <c r="AJ115" s="7">
        <f t="shared" si="59"/>
        <v>0</v>
      </c>
      <c r="AK115" s="7">
        <f t="shared" si="60"/>
        <v>0</v>
      </c>
      <c r="AQ115" s="7">
        <v>52</v>
      </c>
      <c r="AR115" s="52">
        <f>'הזנת נתונים'!A52</f>
        <v>582.66666666666902</v>
      </c>
      <c r="AS115" s="7">
        <f t="shared" si="44"/>
        <v>516.66666666666879</v>
      </c>
      <c r="AT115" s="7">
        <f t="shared" si="44"/>
        <v>450.6666666666685</v>
      </c>
      <c r="AU115" s="7">
        <f t="shared" si="61"/>
        <v>582.66666666666902</v>
      </c>
      <c r="AV115" s="7">
        <f t="shared" si="62"/>
        <v>11.000000000000048</v>
      </c>
      <c r="AW115" s="7">
        <f t="shared" si="63"/>
        <v>582.66666666666924</v>
      </c>
      <c r="AX115" s="7">
        <f t="shared" si="64"/>
        <v>0</v>
      </c>
      <c r="AY115" s="7">
        <f t="shared" si="65"/>
        <v>0</v>
      </c>
      <c r="BE115" s="7">
        <v>52</v>
      </c>
      <c r="BF115" s="52">
        <f>'הזנת נתונים'!A52</f>
        <v>582.66666666666902</v>
      </c>
      <c r="BG115" s="7">
        <f t="shared" si="45"/>
        <v>511.16666666666879</v>
      </c>
      <c r="BH115" s="7">
        <f t="shared" si="45"/>
        <v>439.66666666666845</v>
      </c>
      <c r="BI115" s="7">
        <f t="shared" si="66"/>
        <v>582.66666666666913</v>
      </c>
      <c r="BJ115" s="7">
        <f t="shared" si="67"/>
        <v>11.000000000000053</v>
      </c>
      <c r="BK115" s="7">
        <f t="shared" si="68"/>
        <v>582.66666666666936</v>
      </c>
      <c r="BL115" s="7">
        <f t="shared" si="69"/>
        <v>0</v>
      </c>
      <c r="BM115" s="7">
        <f t="shared" si="70"/>
        <v>0</v>
      </c>
    </row>
    <row r="116" spans="1:69" x14ac:dyDescent="0.25">
      <c r="A116" s="7">
        <v>53</v>
      </c>
      <c r="B116" s="52">
        <f>'הזנת נתונים'!A53</f>
        <v>593.66666666666902</v>
      </c>
      <c r="C116" s="7">
        <f t="shared" si="41"/>
        <v>544.16666666666879</v>
      </c>
      <c r="D116" s="7">
        <f t="shared" si="41"/>
        <v>494.66666666666868</v>
      </c>
      <c r="E116" s="7">
        <f t="shared" si="46"/>
        <v>593.6666666666689</v>
      </c>
      <c r="F116" s="7">
        <f t="shared" si="47"/>
        <v>11.000000000000025</v>
      </c>
      <c r="G116" s="7">
        <f t="shared" si="48"/>
        <v>593.6666666666689</v>
      </c>
      <c r="H116" s="7">
        <f t="shared" si="49"/>
        <v>0</v>
      </c>
      <c r="I116" s="7">
        <f t="shared" si="50"/>
        <v>0</v>
      </c>
      <c r="O116" s="7">
        <v>53</v>
      </c>
      <c r="P116" s="52">
        <f>'הזנת נתונים'!A53</f>
        <v>593.66666666666902</v>
      </c>
      <c r="Q116" s="7">
        <f t="shared" si="42"/>
        <v>538.66666666666879</v>
      </c>
      <c r="R116" s="7">
        <f t="shared" si="42"/>
        <v>483.66666666666873</v>
      </c>
      <c r="S116" s="7">
        <f t="shared" si="51"/>
        <v>593.66666666666879</v>
      </c>
      <c r="T116" s="7">
        <f t="shared" si="52"/>
        <v>11.000000000000011</v>
      </c>
      <c r="U116" s="7">
        <f t="shared" si="53"/>
        <v>593.66666666666879</v>
      </c>
      <c r="V116" s="7">
        <f t="shared" si="54"/>
        <v>0</v>
      </c>
      <c r="W116" s="7">
        <f t="shared" si="55"/>
        <v>0</v>
      </c>
      <c r="AC116" s="7">
        <v>53</v>
      </c>
      <c r="AD116" s="52">
        <f>'הזנת נתונים'!A53</f>
        <v>593.66666666666902</v>
      </c>
      <c r="AE116" s="7">
        <f t="shared" si="43"/>
        <v>533.16666666666879</v>
      </c>
      <c r="AF116" s="7">
        <f t="shared" si="43"/>
        <v>472.66666666666862</v>
      </c>
      <c r="AG116" s="7">
        <f t="shared" si="56"/>
        <v>593.66666666666902</v>
      </c>
      <c r="AH116" s="7">
        <f t="shared" si="57"/>
        <v>11.00000000000003</v>
      </c>
      <c r="AI116" s="7">
        <f t="shared" si="58"/>
        <v>593.66666666666902</v>
      </c>
      <c r="AJ116" s="7">
        <f t="shared" si="59"/>
        <v>0</v>
      </c>
      <c r="AK116" s="7">
        <f t="shared" si="60"/>
        <v>0</v>
      </c>
      <c r="AQ116" s="7">
        <v>53</v>
      </c>
      <c r="AR116" s="52">
        <f>'הזנת נתונים'!A53</f>
        <v>593.66666666666902</v>
      </c>
      <c r="AS116" s="7">
        <f t="shared" si="44"/>
        <v>527.66666666666879</v>
      </c>
      <c r="AT116" s="7">
        <f t="shared" si="44"/>
        <v>461.66666666666856</v>
      </c>
      <c r="AU116" s="7">
        <f t="shared" si="61"/>
        <v>593.66666666666902</v>
      </c>
      <c r="AV116" s="7">
        <f t="shared" si="62"/>
        <v>11.000000000000037</v>
      </c>
      <c r="AW116" s="7">
        <f t="shared" si="63"/>
        <v>593.66666666666902</v>
      </c>
      <c r="AX116" s="7">
        <f t="shared" si="64"/>
        <v>0</v>
      </c>
      <c r="AY116" s="7">
        <f t="shared" si="65"/>
        <v>0</v>
      </c>
      <c r="BE116" s="7">
        <v>53</v>
      </c>
      <c r="BF116" s="52">
        <f>'הזנת נתונים'!A53</f>
        <v>593.66666666666902</v>
      </c>
      <c r="BG116" s="7">
        <f t="shared" si="45"/>
        <v>522.16666666666879</v>
      </c>
      <c r="BH116" s="7">
        <f t="shared" si="45"/>
        <v>450.6666666666685</v>
      </c>
      <c r="BI116" s="7">
        <f t="shared" si="66"/>
        <v>593.66666666666902</v>
      </c>
      <c r="BJ116" s="7">
        <f t="shared" si="67"/>
        <v>11.000000000000044</v>
      </c>
      <c r="BK116" s="7">
        <f t="shared" si="68"/>
        <v>593.66666666666913</v>
      </c>
      <c r="BL116" s="7">
        <f t="shared" si="69"/>
        <v>0</v>
      </c>
      <c r="BM116" s="7">
        <f t="shared" si="70"/>
        <v>0</v>
      </c>
    </row>
    <row r="117" spans="1:69" x14ac:dyDescent="0.25">
      <c r="A117" s="7">
        <v>54</v>
      </c>
      <c r="B117" s="52">
        <f>'הזנת נתונים'!A54</f>
        <v>604.66666666666902</v>
      </c>
      <c r="C117" s="7">
        <f t="shared" si="41"/>
        <v>555.16666666666879</v>
      </c>
      <c r="D117" s="7">
        <f t="shared" si="41"/>
        <v>505.66666666666879</v>
      </c>
      <c r="E117" s="7">
        <f t="shared" si="46"/>
        <v>604.66666666666879</v>
      </c>
      <c r="F117" s="7">
        <f t="shared" si="47"/>
        <v>11</v>
      </c>
      <c r="G117" s="7">
        <f t="shared" si="48"/>
        <v>604.6666666666689</v>
      </c>
      <c r="H117" s="7">
        <f t="shared" si="49"/>
        <v>0</v>
      </c>
      <c r="I117" s="7">
        <f t="shared" si="50"/>
        <v>0</v>
      </c>
      <c r="O117" s="7">
        <v>54</v>
      </c>
      <c r="P117" s="52">
        <f>'הזנת נתונים'!A54</f>
        <v>604.66666666666902</v>
      </c>
      <c r="Q117" s="7">
        <f t="shared" si="42"/>
        <v>549.66666666666879</v>
      </c>
      <c r="R117" s="7">
        <f t="shared" si="42"/>
        <v>494.66666666666873</v>
      </c>
      <c r="S117" s="7">
        <f t="shared" si="51"/>
        <v>604.66666666666879</v>
      </c>
      <c r="T117" s="7">
        <f t="shared" si="52"/>
        <v>11.000000000000011</v>
      </c>
      <c r="U117" s="7">
        <f t="shared" si="53"/>
        <v>604.66666666666879</v>
      </c>
      <c r="V117" s="7">
        <f t="shared" si="54"/>
        <v>0</v>
      </c>
      <c r="W117" s="7">
        <f t="shared" si="55"/>
        <v>0</v>
      </c>
      <c r="AC117" s="7">
        <v>54</v>
      </c>
      <c r="AD117" s="52">
        <f>'הזנת נתונים'!A54</f>
        <v>604.66666666666902</v>
      </c>
      <c r="AE117" s="7">
        <f t="shared" si="43"/>
        <v>544.16666666666879</v>
      </c>
      <c r="AF117" s="7">
        <f t="shared" si="43"/>
        <v>483.66666666666873</v>
      </c>
      <c r="AG117" s="7">
        <f t="shared" si="56"/>
        <v>604.66666666666879</v>
      </c>
      <c r="AH117" s="7">
        <f t="shared" si="57"/>
        <v>11.000000000000011</v>
      </c>
      <c r="AI117" s="7">
        <f t="shared" si="58"/>
        <v>604.66666666666902</v>
      </c>
      <c r="AJ117" s="7">
        <f t="shared" si="59"/>
        <v>0</v>
      </c>
      <c r="AK117" s="7">
        <f t="shared" si="60"/>
        <v>0</v>
      </c>
      <c r="AQ117" s="7">
        <v>54</v>
      </c>
      <c r="AR117" s="52">
        <f>'הזנת נתונים'!A54</f>
        <v>604.66666666666902</v>
      </c>
      <c r="AS117" s="7">
        <f t="shared" si="44"/>
        <v>538.66666666666879</v>
      </c>
      <c r="AT117" s="7">
        <f t="shared" si="44"/>
        <v>472.66666666666856</v>
      </c>
      <c r="AU117" s="7">
        <f t="shared" si="61"/>
        <v>604.66666666666902</v>
      </c>
      <c r="AV117" s="7">
        <f t="shared" si="62"/>
        <v>11.000000000000037</v>
      </c>
      <c r="AW117" s="7">
        <f t="shared" si="63"/>
        <v>604.66666666666902</v>
      </c>
      <c r="AX117" s="7">
        <f t="shared" si="64"/>
        <v>0</v>
      </c>
      <c r="AY117" s="7">
        <f t="shared" si="65"/>
        <v>0</v>
      </c>
      <c r="BE117" s="7">
        <v>54</v>
      </c>
      <c r="BF117" s="52">
        <f>'הזנת נתונים'!A54</f>
        <v>604.66666666666902</v>
      </c>
      <c r="BG117" s="7">
        <f t="shared" si="45"/>
        <v>533.16666666666879</v>
      </c>
      <c r="BH117" s="7">
        <f t="shared" si="45"/>
        <v>461.6666666666685</v>
      </c>
      <c r="BI117" s="7">
        <f t="shared" si="66"/>
        <v>604.66666666666902</v>
      </c>
      <c r="BJ117" s="7">
        <f t="shared" si="67"/>
        <v>11.000000000000044</v>
      </c>
      <c r="BK117" s="7">
        <f t="shared" si="68"/>
        <v>604.66666666666902</v>
      </c>
      <c r="BL117" s="7">
        <f t="shared" si="69"/>
        <v>0</v>
      </c>
      <c r="BM117" s="7">
        <f t="shared" si="70"/>
        <v>0</v>
      </c>
    </row>
    <row r="118" spans="1:69" x14ac:dyDescent="0.25">
      <c r="A118" s="7">
        <v>55</v>
      </c>
      <c r="B118" s="52">
        <f>'הזנת נתונים'!A55</f>
        <v>615.66666666666902</v>
      </c>
      <c r="C118" s="7">
        <f t="shared" si="41"/>
        <v>566.1666666666689</v>
      </c>
      <c r="D118" s="7">
        <f t="shared" si="41"/>
        <v>516.66666666666879</v>
      </c>
      <c r="E118" s="7">
        <f t="shared" si="46"/>
        <v>615.66666666666902</v>
      </c>
      <c r="F118" s="7">
        <f t="shared" si="47"/>
        <v>11.000000000000025</v>
      </c>
      <c r="G118" s="7">
        <f t="shared" si="48"/>
        <v>615.66666666666879</v>
      </c>
      <c r="H118" s="7">
        <f t="shared" si="49"/>
        <v>0</v>
      </c>
      <c r="I118" s="7">
        <f t="shared" si="50"/>
        <v>0</v>
      </c>
      <c r="O118" s="7">
        <v>55</v>
      </c>
      <c r="P118" s="52">
        <f>'הזנת נתונים'!A55</f>
        <v>615.66666666666902</v>
      </c>
      <c r="Q118" s="7">
        <f t="shared" si="42"/>
        <v>560.66666666666879</v>
      </c>
      <c r="R118" s="7">
        <f t="shared" si="42"/>
        <v>505.66666666666873</v>
      </c>
      <c r="S118" s="7">
        <f t="shared" si="51"/>
        <v>615.66666666666879</v>
      </c>
      <c r="T118" s="7">
        <f t="shared" si="52"/>
        <v>11.000000000000011</v>
      </c>
      <c r="U118" s="7">
        <f t="shared" si="53"/>
        <v>615.66666666666879</v>
      </c>
      <c r="V118" s="7">
        <f t="shared" si="54"/>
        <v>0</v>
      </c>
      <c r="W118" s="7">
        <f t="shared" si="55"/>
        <v>0</v>
      </c>
      <c r="AC118" s="7">
        <v>55</v>
      </c>
      <c r="AD118" s="52">
        <f>'הזנת נתונים'!A55</f>
        <v>615.66666666666902</v>
      </c>
      <c r="AE118" s="7">
        <f t="shared" si="43"/>
        <v>555.16666666666879</v>
      </c>
      <c r="AF118" s="7">
        <f t="shared" si="43"/>
        <v>494.66666666666873</v>
      </c>
      <c r="AG118" s="7">
        <f t="shared" si="56"/>
        <v>615.66666666666879</v>
      </c>
      <c r="AH118" s="7">
        <f t="shared" si="57"/>
        <v>11.000000000000011</v>
      </c>
      <c r="AI118" s="7">
        <f t="shared" si="58"/>
        <v>615.66666666666879</v>
      </c>
      <c r="AJ118" s="7">
        <f t="shared" si="59"/>
        <v>0</v>
      </c>
      <c r="AK118" s="7">
        <f t="shared" si="60"/>
        <v>0</v>
      </c>
      <c r="AQ118" s="7">
        <v>55</v>
      </c>
      <c r="AR118" s="52">
        <f>'הזנת נתונים'!A55</f>
        <v>615.66666666666902</v>
      </c>
      <c r="AS118" s="7">
        <f t="shared" si="44"/>
        <v>549.66666666666879</v>
      </c>
      <c r="AT118" s="7">
        <f t="shared" si="44"/>
        <v>483.66666666666873</v>
      </c>
      <c r="AU118" s="7">
        <f t="shared" si="61"/>
        <v>615.66666666666879</v>
      </c>
      <c r="AV118" s="7">
        <f t="shared" si="62"/>
        <v>11.000000000000009</v>
      </c>
      <c r="AW118" s="7">
        <f t="shared" si="63"/>
        <v>615.66666666666902</v>
      </c>
      <c r="AX118" s="7">
        <f t="shared" si="64"/>
        <v>0</v>
      </c>
      <c r="AY118" s="7">
        <f t="shared" si="65"/>
        <v>0</v>
      </c>
      <c r="BE118" s="7">
        <v>55</v>
      </c>
      <c r="BF118" s="52">
        <f>'הזנת נתונים'!A55</f>
        <v>615.66666666666902</v>
      </c>
      <c r="BG118" s="7">
        <f t="shared" si="45"/>
        <v>544.16666666666879</v>
      </c>
      <c r="BH118" s="7">
        <f t="shared" si="45"/>
        <v>472.66666666666862</v>
      </c>
      <c r="BI118" s="7">
        <f t="shared" si="66"/>
        <v>615.66666666666902</v>
      </c>
      <c r="BJ118" s="7">
        <f t="shared" si="67"/>
        <v>11.000000000000027</v>
      </c>
      <c r="BK118" s="7">
        <f t="shared" si="68"/>
        <v>615.66666666666902</v>
      </c>
      <c r="BL118" s="7">
        <f t="shared" si="69"/>
        <v>0</v>
      </c>
      <c r="BM118" s="7">
        <f t="shared" si="70"/>
        <v>0</v>
      </c>
    </row>
    <row r="119" spans="1:69" x14ac:dyDescent="0.25">
      <c r="A119" s="7">
        <v>56</v>
      </c>
      <c r="B119" s="52">
        <f>'הזנת נתונים'!A56</f>
        <v>626.66666666666902</v>
      </c>
      <c r="C119" s="7">
        <f t="shared" si="41"/>
        <v>577.1666666666689</v>
      </c>
      <c r="D119" s="7">
        <f t="shared" si="41"/>
        <v>527.66666666666879</v>
      </c>
      <c r="E119" s="7">
        <f t="shared" si="46"/>
        <v>626.66666666666902</v>
      </c>
      <c r="F119" s="7">
        <f t="shared" si="47"/>
        <v>11.000000000000025</v>
      </c>
      <c r="G119" s="7">
        <f t="shared" si="48"/>
        <v>626.66666666666902</v>
      </c>
      <c r="H119" s="7">
        <f t="shared" si="49"/>
        <v>0</v>
      </c>
      <c r="I119" s="7">
        <f t="shared" si="50"/>
        <v>0</v>
      </c>
      <c r="O119" s="7">
        <v>56</v>
      </c>
      <c r="P119" s="52">
        <f>'הזנת נתונים'!A56</f>
        <v>626.66666666666902</v>
      </c>
      <c r="Q119" s="7">
        <f t="shared" si="42"/>
        <v>571.6666666666689</v>
      </c>
      <c r="R119" s="7">
        <f t="shared" si="42"/>
        <v>516.66666666666879</v>
      </c>
      <c r="S119" s="7">
        <f t="shared" si="51"/>
        <v>626.66666666666902</v>
      </c>
      <c r="T119" s="7">
        <f t="shared" si="52"/>
        <v>11.000000000000023</v>
      </c>
      <c r="U119" s="7">
        <f t="shared" si="53"/>
        <v>626.66666666666879</v>
      </c>
      <c r="V119" s="7">
        <f t="shared" si="54"/>
        <v>0</v>
      </c>
      <c r="W119" s="7">
        <f t="shared" si="55"/>
        <v>0</v>
      </c>
      <c r="AC119" s="7">
        <v>56</v>
      </c>
      <c r="AD119" s="52">
        <f>'הזנת נתונים'!A56</f>
        <v>626.66666666666902</v>
      </c>
      <c r="AE119" s="7">
        <f t="shared" si="43"/>
        <v>566.16666666666879</v>
      </c>
      <c r="AF119" s="7">
        <f t="shared" si="43"/>
        <v>505.66666666666873</v>
      </c>
      <c r="AG119" s="7">
        <f t="shared" si="56"/>
        <v>626.66666666666879</v>
      </c>
      <c r="AH119" s="7">
        <f t="shared" si="57"/>
        <v>11.000000000000011</v>
      </c>
      <c r="AI119" s="7">
        <f t="shared" si="58"/>
        <v>626.66666666666879</v>
      </c>
      <c r="AJ119" s="7">
        <f t="shared" si="59"/>
        <v>0</v>
      </c>
      <c r="AK119" s="7">
        <f t="shared" si="60"/>
        <v>0</v>
      </c>
      <c r="AQ119" s="7">
        <v>56</v>
      </c>
      <c r="AR119" s="52">
        <f>'הזנת נתונים'!A56</f>
        <v>626.66666666666902</v>
      </c>
      <c r="AS119" s="7">
        <f t="shared" si="44"/>
        <v>560.66666666666879</v>
      </c>
      <c r="AT119" s="7">
        <f t="shared" si="44"/>
        <v>494.66666666666873</v>
      </c>
      <c r="AU119" s="7">
        <f t="shared" si="61"/>
        <v>626.66666666666879</v>
      </c>
      <c r="AV119" s="7">
        <f t="shared" si="62"/>
        <v>11.000000000000009</v>
      </c>
      <c r="AW119" s="7">
        <f t="shared" si="63"/>
        <v>626.66666666666879</v>
      </c>
      <c r="AX119" s="7">
        <f t="shared" si="64"/>
        <v>0</v>
      </c>
      <c r="AY119" s="7">
        <f t="shared" si="65"/>
        <v>0</v>
      </c>
      <c r="BE119" s="7">
        <v>56</v>
      </c>
      <c r="BF119" s="52">
        <f>'הזנת נתונים'!A56</f>
        <v>626.66666666666902</v>
      </c>
      <c r="BG119" s="7">
        <f t="shared" si="45"/>
        <v>555.16666666666879</v>
      </c>
      <c r="BH119" s="7">
        <f t="shared" si="45"/>
        <v>483.66666666666862</v>
      </c>
      <c r="BI119" s="7">
        <f t="shared" si="66"/>
        <v>626.66666666666902</v>
      </c>
      <c r="BJ119" s="7">
        <f t="shared" si="67"/>
        <v>11.000000000000027</v>
      </c>
      <c r="BK119" s="7">
        <f t="shared" si="68"/>
        <v>626.66666666666902</v>
      </c>
      <c r="BL119" s="7">
        <f t="shared" si="69"/>
        <v>0</v>
      </c>
      <c r="BM119" s="7">
        <f t="shared" si="70"/>
        <v>0</v>
      </c>
    </row>
    <row r="120" spans="1:69" x14ac:dyDescent="0.25">
      <c r="A120" s="7">
        <v>57</v>
      </c>
      <c r="B120" s="52">
        <f>'הזנת נתונים'!A57</f>
        <v>637.66666666666902</v>
      </c>
      <c r="C120" s="7">
        <f t="shared" si="41"/>
        <v>588.1666666666689</v>
      </c>
      <c r="D120" s="7">
        <f t="shared" si="41"/>
        <v>538.66666666666879</v>
      </c>
      <c r="E120" s="7">
        <f t="shared" si="46"/>
        <v>637.66666666666902</v>
      </c>
      <c r="F120" s="7">
        <f t="shared" si="47"/>
        <v>11.000000000000025</v>
      </c>
      <c r="G120" s="7">
        <f t="shared" si="48"/>
        <v>637.66666666666902</v>
      </c>
      <c r="H120" s="7">
        <f t="shared" si="49"/>
        <v>0</v>
      </c>
      <c r="I120" s="7">
        <f t="shared" si="50"/>
        <v>0</v>
      </c>
      <c r="O120" s="7">
        <v>57</v>
      </c>
      <c r="P120" s="52">
        <f>'הזנת נתונים'!A57</f>
        <v>637.66666666666902</v>
      </c>
      <c r="Q120" s="7">
        <f t="shared" si="42"/>
        <v>582.6666666666689</v>
      </c>
      <c r="R120" s="7">
        <f t="shared" si="42"/>
        <v>527.66666666666879</v>
      </c>
      <c r="S120" s="7">
        <f t="shared" si="51"/>
        <v>637.66666666666902</v>
      </c>
      <c r="T120" s="7">
        <f t="shared" si="52"/>
        <v>11.000000000000023</v>
      </c>
      <c r="U120" s="7">
        <f t="shared" si="53"/>
        <v>637.66666666666902</v>
      </c>
      <c r="V120" s="7">
        <f t="shared" si="54"/>
        <v>0</v>
      </c>
      <c r="W120" s="7">
        <f t="shared" si="55"/>
        <v>0</v>
      </c>
      <c r="AC120" s="7">
        <v>57</v>
      </c>
      <c r="AD120" s="52">
        <f>'הזנת נתונים'!A57</f>
        <v>637.66666666666902</v>
      </c>
      <c r="AE120" s="7">
        <f t="shared" si="43"/>
        <v>577.1666666666689</v>
      </c>
      <c r="AF120" s="7">
        <f t="shared" si="43"/>
        <v>516.66666666666868</v>
      </c>
      <c r="AG120" s="7">
        <f t="shared" si="56"/>
        <v>637.66666666666913</v>
      </c>
      <c r="AH120" s="7">
        <f t="shared" si="57"/>
        <v>11.000000000000041</v>
      </c>
      <c r="AI120" s="7">
        <f t="shared" si="58"/>
        <v>637.66666666666879</v>
      </c>
      <c r="AJ120" s="7">
        <f t="shared" si="59"/>
        <v>0</v>
      </c>
      <c r="AK120" s="7">
        <f t="shared" si="60"/>
        <v>0</v>
      </c>
      <c r="AQ120" s="7">
        <v>57</v>
      </c>
      <c r="AR120" s="52">
        <f>'הזנת נתונים'!A57</f>
        <v>637.66666666666902</v>
      </c>
      <c r="AS120" s="7">
        <f t="shared" si="44"/>
        <v>571.66666666666879</v>
      </c>
      <c r="AT120" s="7">
        <f t="shared" si="44"/>
        <v>505.66666666666873</v>
      </c>
      <c r="AU120" s="7">
        <f t="shared" si="61"/>
        <v>637.66666666666879</v>
      </c>
      <c r="AV120" s="7">
        <f t="shared" si="62"/>
        <v>11.000000000000009</v>
      </c>
      <c r="AW120" s="7">
        <f t="shared" si="63"/>
        <v>637.66666666666879</v>
      </c>
      <c r="AX120" s="7">
        <f t="shared" si="64"/>
        <v>0</v>
      </c>
      <c r="AY120" s="7">
        <f t="shared" si="65"/>
        <v>0</v>
      </c>
      <c r="BE120" s="7">
        <v>57</v>
      </c>
      <c r="BF120" s="52">
        <f>'הזנת נתונים'!A57</f>
        <v>637.66666666666902</v>
      </c>
      <c r="BG120" s="7">
        <f t="shared" si="45"/>
        <v>566.16666666666879</v>
      </c>
      <c r="BH120" s="7">
        <f t="shared" si="45"/>
        <v>494.66666666666873</v>
      </c>
      <c r="BI120" s="7">
        <f t="shared" si="66"/>
        <v>637.66666666666879</v>
      </c>
      <c r="BJ120" s="7">
        <f t="shared" si="67"/>
        <v>11.000000000000009</v>
      </c>
      <c r="BK120" s="7">
        <f t="shared" si="68"/>
        <v>637.66666666666902</v>
      </c>
      <c r="BL120" s="7">
        <f t="shared" si="69"/>
        <v>0</v>
      </c>
      <c r="BM120" s="7">
        <f t="shared" si="70"/>
        <v>0</v>
      </c>
    </row>
    <row r="121" spans="1:69" x14ac:dyDescent="0.25">
      <c r="A121" s="7">
        <v>58</v>
      </c>
      <c r="B121" s="52">
        <f>'הזנת נתונים'!A58</f>
        <v>648.66666666666902</v>
      </c>
      <c r="C121" s="7">
        <f t="shared" si="41"/>
        <v>599.1666666666689</v>
      </c>
      <c r="D121" s="7">
        <f t="shared" si="41"/>
        <v>549.66666666666879</v>
      </c>
      <c r="E121" s="7">
        <f t="shared" si="46"/>
        <v>648.66666666666902</v>
      </c>
      <c r="F121" s="7">
        <f t="shared" si="47"/>
        <v>11.000000000000025</v>
      </c>
      <c r="G121" s="7">
        <f t="shared" si="48"/>
        <v>648.66666666666902</v>
      </c>
      <c r="H121" s="7">
        <f t="shared" si="49"/>
        <v>0</v>
      </c>
      <c r="I121" s="7">
        <f t="shared" si="50"/>
        <v>0</v>
      </c>
      <c r="O121" s="7">
        <v>58</v>
      </c>
      <c r="P121" s="52">
        <f>'הזנת נתונים'!A58</f>
        <v>648.66666666666902</v>
      </c>
      <c r="Q121" s="7">
        <f t="shared" si="42"/>
        <v>593.6666666666689</v>
      </c>
      <c r="R121" s="7">
        <f t="shared" si="42"/>
        <v>538.66666666666879</v>
      </c>
      <c r="S121" s="7">
        <f t="shared" si="51"/>
        <v>648.66666666666902</v>
      </c>
      <c r="T121" s="7">
        <f t="shared" si="52"/>
        <v>11.000000000000023</v>
      </c>
      <c r="U121" s="7">
        <f t="shared" si="53"/>
        <v>648.66666666666902</v>
      </c>
      <c r="V121" s="7">
        <f t="shared" si="54"/>
        <v>0</v>
      </c>
      <c r="W121" s="7">
        <f t="shared" si="55"/>
        <v>0</v>
      </c>
      <c r="AC121" s="7">
        <v>58</v>
      </c>
      <c r="AD121" s="52">
        <f>'הזנת נתונים'!A58</f>
        <v>648.66666666666902</v>
      </c>
      <c r="AE121" s="7">
        <f t="shared" si="43"/>
        <v>588.1666666666689</v>
      </c>
      <c r="AF121" s="7">
        <f t="shared" si="43"/>
        <v>527.66666666666879</v>
      </c>
      <c r="AG121" s="7">
        <f t="shared" si="56"/>
        <v>648.66666666666902</v>
      </c>
      <c r="AH121" s="7">
        <f t="shared" si="57"/>
        <v>11.000000000000021</v>
      </c>
      <c r="AI121" s="7">
        <f t="shared" si="58"/>
        <v>648.66666666666913</v>
      </c>
      <c r="AJ121" s="7">
        <f t="shared" si="59"/>
        <v>0</v>
      </c>
      <c r="AK121" s="7">
        <f t="shared" si="60"/>
        <v>0</v>
      </c>
      <c r="AQ121" s="7">
        <v>58</v>
      </c>
      <c r="AR121" s="52">
        <f>'הזנת נתונים'!A58</f>
        <v>648.66666666666902</v>
      </c>
      <c r="AS121" s="7">
        <f t="shared" si="44"/>
        <v>582.6666666666689</v>
      </c>
      <c r="AT121" s="7">
        <f t="shared" si="44"/>
        <v>516.66666666666868</v>
      </c>
      <c r="AU121" s="7">
        <f t="shared" si="61"/>
        <v>648.66666666666913</v>
      </c>
      <c r="AV121" s="7">
        <f t="shared" si="62"/>
        <v>11.000000000000037</v>
      </c>
      <c r="AW121" s="7">
        <f t="shared" si="63"/>
        <v>648.66666666666879</v>
      </c>
      <c r="AX121" s="7">
        <f t="shared" si="64"/>
        <v>0</v>
      </c>
      <c r="AY121" s="7">
        <f t="shared" si="65"/>
        <v>0</v>
      </c>
      <c r="BE121" s="7">
        <v>58</v>
      </c>
      <c r="BF121" s="52">
        <f>'הזנת נתונים'!A58</f>
        <v>648.66666666666902</v>
      </c>
      <c r="BG121" s="7">
        <f t="shared" si="45"/>
        <v>577.16666666666879</v>
      </c>
      <c r="BH121" s="7">
        <f t="shared" si="45"/>
        <v>505.66666666666873</v>
      </c>
      <c r="BI121" s="7">
        <f t="shared" si="66"/>
        <v>648.66666666666879</v>
      </c>
      <c r="BJ121" s="7">
        <f t="shared" si="67"/>
        <v>11.000000000000009</v>
      </c>
      <c r="BK121" s="7">
        <f t="shared" si="68"/>
        <v>648.66666666666879</v>
      </c>
      <c r="BL121" s="7">
        <f t="shared" si="69"/>
        <v>0</v>
      </c>
      <c r="BM121" s="7">
        <f t="shared" si="70"/>
        <v>0</v>
      </c>
    </row>
    <row r="122" spans="1:69" x14ac:dyDescent="0.25">
      <c r="A122" s="7">
        <v>59</v>
      </c>
      <c r="B122" s="52">
        <f>'הזנת נתונים'!A59</f>
        <v>659.66666666666902</v>
      </c>
      <c r="C122" s="7">
        <f t="shared" si="41"/>
        <v>610.1666666666689</v>
      </c>
      <c r="D122" s="7">
        <f t="shared" si="41"/>
        <v>560.66666666666879</v>
      </c>
      <c r="E122" s="7">
        <f t="shared" si="46"/>
        <v>659.66666666666902</v>
      </c>
      <c r="F122" s="7">
        <f t="shared" si="47"/>
        <v>11.000000000000025</v>
      </c>
      <c r="G122" s="7">
        <f t="shared" si="48"/>
        <v>659.66666666666902</v>
      </c>
      <c r="H122" s="7">
        <f t="shared" si="49"/>
        <v>0</v>
      </c>
      <c r="I122" s="7">
        <f t="shared" si="50"/>
        <v>0</v>
      </c>
      <c r="O122" s="7">
        <v>59</v>
      </c>
      <c r="P122" s="52">
        <f>'הזנת נתונים'!A59</f>
        <v>659.66666666666902</v>
      </c>
      <c r="Q122" s="7">
        <f t="shared" si="42"/>
        <v>604.6666666666689</v>
      </c>
      <c r="R122" s="7">
        <f t="shared" si="42"/>
        <v>549.66666666666879</v>
      </c>
      <c r="S122" s="7">
        <f t="shared" si="51"/>
        <v>659.66666666666902</v>
      </c>
      <c r="T122" s="7">
        <f t="shared" si="52"/>
        <v>11.000000000000023</v>
      </c>
      <c r="U122" s="7">
        <f t="shared" si="53"/>
        <v>659.66666666666902</v>
      </c>
      <c r="V122" s="7">
        <f t="shared" si="54"/>
        <v>0</v>
      </c>
      <c r="W122" s="7">
        <f t="shared" si="55"/>
        <v>0</v>
      </c>
      <c r="AC122" s="7">
        <v>59</v>
      </c>
      <c r="AD122" s="52">
        <f>'הזנת נתונים'!A59</f>
        <v>659.66666666666902</v>
      </c>
      <c r="AE122" s="7">
        <f t="shared" si="43"/>
        <v>599.1666666666689</v>
      </c>
      <c r="AF122" s="7">
        <f t="shared" si="43"/>
        <v>538.66666666666879</v>
      </c>
      <c r="AG122" s="7">
        <f t="shared" si="56"/>
        <v>659.66666666666902</v>
      </c>
      <c r="AH122" s="7">
        <f t="shared" si="57"/>
        <v>11.000000000000021</v>
      </c>
      <c r="AI122" s="7">
        <f t="shared" si="58"/>
        <v>659.66666666666902</v>
      </c>
      <c r="AJ122" s="7">
        <f t="shared" si="59"/>
        <v>0</v>
      </c>
      <c r="AK122" s="7">
        <f t="shared" si="60"/>
        <v>0</v>
      </c>
      <c r="AQ122" s="7">
        <v>59</v>
      </c>
      <c r="AR122" s="52">
        <f>'הזנת נתונים'!A59</f>
        <v>659.66666666666902</v>
      </c>
      <c r="AS122" s="7">
        <f t="shared" si="44"/>
        <v>593.6666666666689</v>
      </c>
      <c r="AT122" s="7">
        <f t="shared" si="44"/>
        <v>527.66666666666868</v>
      </c>
      <c r="AU122" s="7">
        <f t="shared" si="61"/>
        <v>659.66666666666913</v>
      </c>
      <c r="AV122" s="7">
        <f t="shared" si="62"/>
        <v>11.000000000000037</v>
      </c>
      <c r="AW122" s="7">
        <f t="shared" si="63"/>
        <v>659.66666666666913</v>
      </c>
      <c r="AX122" s="7">
        <f t="shared" si="64"/>
        <v>0</v>
      </c>
      <c r="AY122" s="7">
        <f t="shared" si="65"/>
        <v>0</v>
      </c>
      <c r="BE122" s="7">
        <v>59</v>
      </c>
      <c r="BF122" s="52">
        <f>'הזנת נתונים'!A59</f>
        <v>659.66666666666902</v>
      </c>
      <c r="BG122" s="7">
        <f t="shared" si="45"/>
        <v>588.1666666666689</v>
      </c>
      <c r="BH122" s="7">
        <f t="shared" si="45"/>
        <v>516.66666666666868</v>
      </c>
      <c r="BI122" s="7">
        <f t="shared" si="66"/>
        <v>659.66666666666913</v>
      </c>
      <c r="BJ122" s="7">
        <f t="shared" si="67"/>
        <v>11.000000000000036</v>
      </c>
      <c r="BK122" s="7">
        <f t="shared" si="68"/>
        <v>659.66666666666879</v>
      </c>
      <c r="BL122" s="7">
        <f t="shared" si="69"/>
        <v>0</v>
      </c>
      <c r="BM122" s="7">
        <f t="shared" si="70"/>
        <v>0</v>
      </c>
    </row>
    <row r="123" spans="1:69" x14ac:dyDescent="0.25">
      <c r="A123" s="7">
        <v>60</v>
      </c>
      <c r="B123" s="52">
        <f>'הזנת נתונים'!A60</f>
        <v>670.66666666666902</v>
      </c>
      <c r="C123" s="7">
        <f t="shared" si="41"/>
        <v>621.1666666666689</v>
      </c>
      <c r="D123" s="7">
        <f t="shared" si="41"/>
        <v>571.66666666666879</v>
      </c>
      <c r="E123" s="7">
        <f t="shared" si="46"/>
        <v>670.66666666666902</v>
      </c>
      <c r="F123" s="7">
        <f t="shared" si="47"/>
        <v>11.000000000000025</v>
      </c>
      <c r="G123" s="7">
        <f t="shared" si="48"/>
        <v>670.66666666666902</v>
      </c>
      <c r="H123" s="7">
        <f t="shared" si="49"/>
        <v>0</v>
      </c>
      <c r="I123" s="7">
        <f t="shared" si="50"/>
        <v>0</v>
      </c>
      <c r="O123" s="7">
        <v>60</v>
      </c>
      <c r="P123" s="52">
        <f>'הזנת נתונים'!A60</f>
        <v>670.66666666666902</v>
      </c>
      <c r="Q123" s="7">
        <f t="shared" si="42"/>
        <v>615.6666666666689</v>
      </c>
      <c r="R123" s="7">
        <f t="shared" si="42"/>
        <v>560.66666666666879</v>
      </c>
      <c r="S123" s="7">
        <f t="shared" si="51"/>
        <v>670.66666666666902</v>
      </c>
      <c r="T123" s="7">
        <f t="shared" si="52"/>
        <v>11.000000000000023</v>
      </c>
      <c r="U123" s="7">
        <f t="shared" si="53"/>
        <v>670.66666666666902</v>
      </c>
      <c r="V123" s="7">
        <f t="shared" si="54"/>
        <v>0</v>
      </c>
      <c r="W123" s="7">
        <f t="shared" si="55"/>
        <v>0</v>
      </c>
      <c r="AC123" s="7">
        <v>60</v>
      </c>
      <c r="AD123" s="52">
        <f>'הזנת נתונים'!A60</f>
        <v>670.66666666666902</v>
      </c>
      <c r="AE123" s="7">
        <f t="shared" si="43"/>
        <v>610.1666666666689</v>
      </c>
      <c r="AF123" s="7">
        <f t="shared" si="43"/>
        <v>549.66666666666879</v>
      </c>
      <c r="AG123" s="7">
        <f t="shared" si="56"/>
        <v>670.66666666666902</v>
      </c>
      <c r="AH123" s="7">
        <f t="shared" si="57"/>
        <v>11.000000000000021</v>
      </c>
      <c r="AI123" s="7">
        <f t="shared" si="58"/>
        <v>670.66666666666902</v>
      </c>
      <c r="AJ123" s="7">
        <f t="shared" si="59"/>
        <v>0</v>
      </c>
      <c r="AK123" s="7">
        <f t="shared" si="60"/>
        <v>0</v>
      </c>
      <c r="AQ123" s="7">
        <v>60</v>
      </c>
      <c r="AR123" s="52">
        <f>'הזנת נתונים'!A60</f>
        <v>670.66666666666902</v>
      </c>
      <c r="AS123" s="7">
        <f t="shared" si="44"/>
        <v>604.6666666666689</v>
      </c>
      <c r="AT123" s="7">
        <f t="shared" si="44"/>
        <v>538.66666666666879</v>
      </c>
      <c r="AU123" s="7">
        <f t="shared" si="61"/>
        <v>670.66666666666902</v>
      </c>
      <c r="AV123" s="7">
        <f t="shared" si="62"/>
        <v>11.00000000000002</v>
      </c>
      <c r="AW123" s="7">
        <f t="shared" si="63"/>
        <v>670.66666666666913</v>
      </c>
      <c r="AX123" s="7">
        <f t="shared" si="64"/>
        <v>0</v>
      </c>
      <c r="AY123" s="7">
        <f t="shared" si="65"/>
        <v>0</v>
      </c>
      <c r="BE123" s="7">
        <v>60</v>
      </c>
      <c r="BF123" s="52">
        <f>'הזנת נתונים'!A60</f>
        <v>670.66666666666902</v>
      </c>
      <c r="BG123" s="7">
        <f t="shared" si="45"/>
        <v>599.1666666666689</v>
      </c>
      <c r="BH123" s="7">
        <f t="shared" si="45"/>
        <v>527.66666666666868</v>
      </c>
      <c r="BI123" s="7">
        <f t="shared" si="66"/>
        <v>670.66666666666913</v>
      </c>
      <c r="BJ123" s="7">
        <f t="shared" si="67"/>
        <v>11.000000000000036</v>
      </c>
      <c r="BK123" s="7">
        <f t="shared" si="68"/>
        <v>670.66666666666913</v>
      </c>
      <c r="BL123" s="7">
        <f t="shared" si="69"/>
        <v>0</v>
      </c>
      <c r="BM123" s="7">
        <f t="shared" si="70"/>
        <v>0</v>
      </c>
    </row>
    <row r="125" spans="1:69" x14ac:dyDescent="0.25">
      <c r="A125" s="7" t="s">
        <v>1</v>
      </c>
      <c r="B125" s="52" t="s">
        <v>0</v>
      </c>
      <c r="C125" s="7" t="s">
        <v>30</v>
      </c>
      <c r="D125" s="7" t="s">
        <v>31</v>
      </c>
      <c r="E125" s="7" t="s">
        <v>32</v>
      </c>
      <c r="F125" s="7" t="s">
        <v>33</v>
      </c>
      <c r="G125" s="7" t="s">
        <v>34</v>
      </c>
      <c r="H125" s="7" t="s">
        <v>35</v>
      </c>
      <c r="I125" s="7" t="s">
        <v>8</v>
      </c>
      <c r="J125" s="5" t="s">
        <v>22</v>
      </c>
      <c r="M125" s="22">
        <v>15</v>
      </c>
      <c r="O125" s="7" t="s">
        <v>1</v>
      </c>
      <c r="P125" s="52" t="s">
        <v>0</v>
      </c>
      <c r="Q125" s="7" t="s">
        <v>30</v>
      </c>
      <c r="R125" s="7" t="s">
        <v>31</v>
      </c>
      <c r="S125" s="7" t="s">
        <v>32</v>
      </c>
      <c r="T125" s="7" t="s">
        <v>33</v>
      </c>
      <c r="U125" s="7" t="s">
        <v>34</v>
      </c>
      <c r="V125" s="7" t="s">
        <v>35</v>
      </c>
      <c r="W125" s="7" t="s">
        <v>8</v>
      </c>
      <c r="X125" s="5" t="s">
        <v>22</v>
      </c>
      <c r="AA125" s="22">
        <v>16</v>
      </c>
      <c r="AC125" s="7" t="s">
        <v>1</v>
      </c>
      <c r="AD125" s="52" t="s">
        <v>0</v>
      </c>
      <c r="AE125" s="7" t="s">
        <v>30</v>
      </c>
      <c r="AF125" s="7" t="s">
        <v>31</v>
      </c>
      <c r="AG125" s="7" t="s">
        <v>32</v>
      </c>
      <c r="AH125" s="7" t="s">
        <v>33</v>
      </c>
      <c r="AI125" s="7" t="s">
        <v>34</v>
      </c>
      <c r="AJ125" s="7" t="s">
        <v>35</v>
      </c>
      <c r="AK125" s="7" t="s">
        <v>8</v>
      </c>
      <c r="AL125" s="5" t="s">
        <v>22</v>
      </c>
      <c r="AO125" s="22">
        <v>17</v>
      </c>
      <c r="AQ125" s="7" t="s">
        <v>1</v>
      </c>
      <c r="AR125" s="52" t="s">
        <v>0</v>
      </c>
      <c r="AS125" s="7" t="s">
        <v>30</v>
      </c>
      <c r="AT125" s="7" t="s">
        <v>31</v>
      </c>
      <c r="AU125" s="7" t="s">
        <v>32</v>
      </c>
      <c r="AV125" s="7" t="s">
        <v>33</v>
      </c>
      <c r="AW125" s="7" t="s">
        <v>34</v>
      </c>
      <c r="AX125" s="7" t="s">
        <v>35</v>
      </c>
      <c r="AY125" s="7" t="s">
        <v>8</v>
      </c>
      <c r="AZ125" s="5" t="s">
        <v>22</v>
      </c>
      <c r="BC125" s="22">
        <v>18</v>
      </c>
      <c r="BE125" s="7" t="s">
        <v>1</v>
      </c>
      <c r="BF125" s="52" t="s">
        <v>0</v>
      </c>
      <c r="BG125" s="7" t="s">
        <v>30</v>
      </c>
      <c r="BH125" s="7" t="s">
        <v>31</v>
      </c>
      <c r="BI125" s="7" t="s">
        <v>32</v>
      </c>
      <c r="BJ125" s="7" t="s">
        <v>33</v>
      </c>
      <c r="BK125" s="7" t="s">
        <v>34</v>
      </c>
      <c r="BL125" s="7" t="s">
        <v>35</v>
      </c>
      <c r="BM125" s="7" t="s">
        <v>8</v>
      </c>
      <c r="BN125" s="5" t="s">
        <v>22</v>
      </c>
      <c r="BQ125" s="22">
        <v>19</v>
      </c>
    </row>
    <row r="126" spans="1:69" x14ac:dyDescent="0.25">
      <c r="A126" s="7">
        <v>1</v>
      </c>
      <c r="B126" s="52">
        <f>'הזנת נתונים'!A1</f>
        <v>28</v>
      </c>
      <c r="C126" s="7"/>
      <c r="D126" s="7"/>
      <c r="E126" s="7"/>
      <c r="F126" s="7"/>
      <c r="G126" s="7"/>
      <c r="H126" s="7"/>
      <c r="I126" s="7"/>
      <c r="J126" s="5">
        <f>AVERAGE(I155:I185)</f>
        <v>1.8716522584278898E-4</v>
      </c>
      <c r="K126" s="6" t="s">
        <v>36</v>
      </c>
      <c r="O126" s="7">
        <v>1</v>
      </c>
      <c r="P126" s="52">
        <f>'הזנת נתונים'!A1</f>
        <v>28</v>
      </c>
      <c r="Q126" s="7"/>
      <c r="R126" s="7"/>
      <c r="S126" s="7"/>
      <c r="T126" s="7"/>
      <c r="U126" s="7"/>
      <c r="V126" s="7"/>
      <c r="W126" s="7"/>
      <c r="X126" s="5">
        <f>AVERAGE(W157:W185)</f>
        <v>0.47794559084140026</v>
      </c>
      <c r="Y126" s="6" t="s">
        <v>36</v>
      </c>
      <c r="AC126" s="7">
        <v>1</v>
      </c>
      <c r="AD126" s="52">
        <f>'הזנת נתונים'!A1</f>
        <v>28</v>
      </c>
      <c r="AE126" s="7"/>
      <c r="AF126" s="7"/>
      <c r="AG126" s="7"/>
      <c r="AH126" s="7"/>
      <c r="AI126" s="7"/>
      <c r="AJ126" s="7"/>
      <c r="AK126" s="7"/>
      <c r="AL126" s="5">
        <f>AVERAGE(AK159:AK185)</f>
        <v>1.2621576210378887E-4</v>
      </c>
      <c r="AM126" s="6" t="s">
        <v>36</v>
      </c>
      <c r="AQ126" s="7">
        <v>1</v>
      </c>
      <c r="AR126" s="52">
        <f>'הזנת נתונים'!A1</f>
        <v>28</v>
      </c>
      <c r="AS126" s="7"/>
      <c r="AT126" s="7"/>
      <c r="AU126" s="7"/>
      <c r="AV126" s="7"/>
      <c r="AW126" s="7"/>
      <c r="AX126" s="7"/>
      <c r="AY126" s="7"/>
      <c r="AZ126" s="5">
        <f>AVERAGE(AY135:AY185)</f>
        <v>1.0704030275575549E-4</v>
      </c>
      <c r="BA126" s="6" t="s">
        <v>36</v>
      </c>
      <c r="BE126" s="7">
        <v>1</v>
      </c>
      <c r="BF126" s="52">
        <f>'הזנת נתונים'!A1</f>
        <v>28</v>
      </c>
      <c r="BG126" s="7"/>
      <c r="BH126" s="7"/>
      <c r="BI126" s="7"/>
      <c r="BJ126" s="7"/>
      <c r="BK126" s="7"/>
      <c r="BL126" s="7"/>
      <c r="BM126" s="7"/>
      <c r="BN126" s="5">
        <f>AVERAGE(BM163:BM185)</f>
        <v>9.262767006445823E-5</v>
      </c>
      <c r="BO126" s="6" t="s">
        <v>36</v>
      </c>
    </row>
    <row r="127" spans="1:69" x14ac:dyDescent="0.25">
      <c r="A127" s="7">
        <v>2</v>
      </c>
      <c r="B127" s="52">
        <f>'הזנת נתונים'!A2</f>
        <v>35</v>
      </c>
      <c r="C127" s="7"/>
      <c r="D127" s="7"/>
      <c r="E127" s="7"/>
      <c r="F127" s="7"/>
      <c r="G127" s="7"/>
      <c r="H127" s="7"/>
      <c r="I127" s="7"/>
      <c r="K127">
        <v>1</v>
      </c>
      <c r="L127" s="4">
        <f>$E$185+$F$185*K127</f>
        <v>681.66666666666936</v>
      </c>
      <c r="O127" s="7">
        <v>2</v>
      </c>
      <c r="P127" s="52">
        <f>'הזנת נתונים'!A2</f>
        <v>35</v>
      </c>
      <c r="Q127" s="7"/>
      <c r="R127" s="7"/>
      <c r="S127" s="7"/>
      <c r="T127" s="7"/>
      <c r="U127" s="7"/>
      <c r="V127" s="7"/>
      <c r="W127" s="7"/>
      <c r="Y127">
        <v>1</v>
      </c>
      <c r="Z127" s="4">
        <f>$S$185+$T$185*Y127</f>
        <v>680.97916666666913</v>
      </c>
      <c r="AC127" s="7">
        <v>2</v>
      </c>
      <c r="AD127" s="52">
        <f>'הזנת נתונים'!A2</f>
        <v>35</v>
      </c>
      <c r="AE127" s="7"/>
      <c r="AF127" s="7"/>
      <c r="AG127" s="7"/>
      <c r="AH127" s="7"/>
      <c r="AI127" s="7"/>
      <c r="AJ127" s="7"/>
      <c r="AK127" s="7"/>
      <c r="AM127">
        <v>1</v>
      </c>
      <c r="AN127" s="4">
        <f>$AG$185+$AH$185*AM127</f>
        <v>681.66666666666924</v>
      </c>
      <c r="AQ127" s="7">
        <v>2</v>
      </c>
      <c r="AR127" s="52">
        <f>'הזנת נתונים'!A2</f>
        <v>35</v>
      </c>
      <c r="AS127" s="7"/>
      <c r="AT127" s="7"/>
      <c r="AU127" s="7"/>
      <c r="AV127" s="7"/>
      <c r="AW127" s="7"/>
      <c r="AX127" s="7"/>
      <c r="AY127" s="7"/>
      <c r="BA127">
        <v>1</v>
      </c>
      <c r="BB127" s="4">
        <f>$AU$185+$AV$185*BA127</f>
        <v>681.66666666666947</v>
      </c>
      <c r="BE127" s="7">
        <v>2</v>
      </c>
      <c r="BF127" s="52">
        <f>'הזנת נתונים'!A2</f>
        <v>35</v>
      </c>
      <c r="BG127" s="7"/>
      <c r="BH127" s="7"/>
      <c r="BI127" s="7"/>
      <c r="BJ127" s="7"/>
      <c r="BK127" s="7"/>
      <c r="BL127" s="7"/>
      <c r="BM127" s="7"/>
      <c r="BO127">
        <v>1</v>
      </c>
      <c r="BP127" s="4">
        <f>$E$61+$F$61*BO127</f>
        <v>681.66666666666902</v>
      </c>
    </row>
    <row r="128" spans="1:69" x14ac:dyDescent="0.25">
      <c r="A128" s="7">
        <v>3</v>
      </c>
      <c r="B128" s="52">
        <f>'הזנת נתונים'!A3</f>
        <v>40</v>
      </c>
      <c r="C128" s="7"/>
      <c r="D128" s="7"/>
      <c r="E128" s="7"/>
      <c r="F128" s="7"/>
      <c r="G128" s="7"/>
      <c r="H128" s="7"/>
      <c r="I128" s="7"/>
      <c r="K128">
        <v>2</v>
      </c>
      <c r="L128" s="4">
        <f t="shared" ref="L128:L138" si="71">$E$185+$F$185*K128</f>
        <v>692.66666666666947</v>
      </c>
      <c r="O128" s="7">
        <v>3</v>
      </c>
      <c r="P128" s="52">
        <f>'הזנת נתונים'!A3</f>
        <v>40</v>
      </c>
      <c r="Q128" s="7"/>
      <c r="R128" s="7"/>
      <c r="S128" s="7"/>
      <c r="T128" s="7"/>
      <c r="U128" s="7"/>
      <c r="V128" s="7"/>
      <c r="W128" s="7"/>
      <c r="Y128">
        <v>2</v>
      </c>
      <c r="Z128" s="4">
        <f t="shared" ref="Z128:Z138" si="72">$S$185+$T$185*Y128</f>
        <v>691.29166666666924</v>
      </c>
      <c r="AC128" s="7">
        <v>3</v>
      </c>
      <c r="AD128" s="52">
        <f>'הזנת נתונים'!A3</f>
        <v>40</v>
      </c>
      <c r="AE128" s="7"/>
      <c r="AF128" s="7"/>
      <c r="AG128" s="7"/>
      <c r="AH128" s="7"/>
      <c r="AI128" s="7"/>
      <c r="AJ128" s="7"/>
      <c r="AK128" s="7"/>
      <c r="AM128">
        <v>2</v>
      </c>
      <c r="AN128" s="4">
        <f t="shared" ref="AN128:AN138" si="73">$AG$185+$AH$185*AM128</f>
        <v>692.66666666666936</v>
      </c>
      <c r="AQ128" s="7">
        <v>3</v>
      </c>
      <c r="AR128" s="52">
        <f>'הזנת נתונים'!A3</f>
        <v>40</v>
      </c>
      <c r="AS128" s="7"/>
      <c r="AT128" s="7"/>
      <c r="AU128" s="7"/>
      <c r="AV128" s="7"/>
      <c r="AW128" s="7"/>
      <c r="AX128" s="7"/>
      <c r="AY128" s="7"/>
      <c r="BA128">
        <v>2</v>
      </c>
      <c r="BB128" s="4">
        <f t="shared" ref="BB128:BB138" si="74">$AU$185+$AV$185*BA128</f>
        <v>692.66666666666958</v>
      </c>
      <c r="BE128" s="7">
        <v>3</v>
      </c>
      <c r="BF128" s="52">
        <f>'הזנת נתונים'!A3</f>
        <v>40</v>
      </c>
      <c r="BG128" s="7"/>
      <c r="BH128" s="7"/>
      <c r="BI128" s="7"/>
      <c r="BJ128" s="7"/>
      <c r="BK128" s="7"/>
      <c r="BL128" s="7"/>
      <c r="BM128" s="7"/>
      <c r="BO128">
        <v>2</v>
      </c>
      <c r="BP128" s="4">
        <f t="shared" ref="BP128:BP138" si="75">$E$61+$F$61*BO128</f>
        <v>692.66666666666902</v>
      </c>
    </row>
    <row r="129" spans="1:68" x14ac:dyDescent="0.25">
      <c r="A129" s="7">
        <v>4</v>
      </c>
      <c r="B129" s="52">
        <f>'הזנת נתונים'!A4</f>
        <v>55</v>
      </c>
      <c r="C129" s="7"/>
      <c r="D129" s="7"/>
      <c r="E129" s="7"/>
      <c r="F129" s="7"/>
      <c r="G129" s="7"/>
      <c r="H129" s="7"/>
      <c r="I129" s="7"/>
      <c r="K129">
        <v>3</v>
      </c>
      <c r="L129" s="4">
        <f t="shared" si="71"/>
        <v>703.66666666666947</v>
      </c>
      <c r="O129" s="7">
        <v>4</v>
      </c>
      <c r="P129" s="52">
        <f>'הזנת נתונים'!A4</f>
        <v>55</v>
      </c>
      <c r="Q129" s="7"/>
      <c r="R129" s="7"/>
      <c r="S129" s="7"/>
      <c r="T129" s="7"/>
      <c r="U129" s="7"/>
      <c r="V129" s="7"/>
      <c r="W129" s="7"/>
      <c r="Y129">
        <v>3</v>
      </c>
      <c r="Z129" s="4">
        <f t="shared" si="72"/>
        <v>701.60416666666924</v>
      </c>
      <c r="AC129" s="7">
        <v>4</v>
      </c>
      <c r="AD129" s="52">
        <f>'הזנת נתונים'!A4</f>
        <v>55</v>
      </c>
      <c r="AE129" s="7"/>
      <c r="AF129" s="7"/>
      <c r="AG129" s="7"/>
      <c r="AH129" s="7"/>
      <c r="AI129" s="7"/>
      <c r="AJ129" s="7"/>
      <c r="AK129" s="7"/>
      <c r="AM129">
        <v>3</v>
      </c>
      <c r="AN129" s="4">
        <f t="shared" si="73"/>
        <v>703.66666666666936</v>
      </c>
      <c r="AQ129" s="7">
        <v>4</v>
      </c>
      <c r="AR129" s="52">
        <f>'הזנת נתונים'!A4</f>
        <v>55</v>
      </c>
      <c r="AS129" s="7"/>
      <c r="AT129" s="7"/>
      <c r="AU129" s="7"/>
      <c r="AV129" s="7"/>
      <c r="AW129" s="7"/>
      <c r="AX129" s="7"/>
      <c r="AY129" s="7"/>
      <c r="BA129">
        <v>3</v>
      </c>
      <c r="BB129" s="4">
        <f t="shared" si="74"/>
        <v>703.66666666666958</v>
      </c>
      <c r="BE129" s="7">
        <v>4</v>
      </c>
      <c r="BF129" s="52">
        <f>'הזנת נתונים'!A4</f>
        <v>55</v>
      </c>
      <c r="BG129" s="7"/>
      <c r="BH129" s="7"/>
      <c r="BI129" s="7"/>
      <c r="BJ129" s="7"/>
      <c r="BK129" s="7"/>
      <c r="BL129" s="7"/>
      <c r="BM129" s="7"/>
      <c r="BO129">
        <v>3</v>
      </c>
      <c r="BP129" s="4">
        <f t="shared" si="75"/>
        <v>703.66666666666902</v>
      </c>
    </row>
    <row r="130" spans="1:68" x14ac:dyDescent="0.25">
      <c r="A130" s="7">
        <v>5</v>
      </c>
      <c r="B130" s="52">
        <f>'הזנת נתונים'!A5</f>
        <v>70</v>
      </c>
      <c r="C130" s="7"/>
      <c r="D130" s="7"/>
      <c r="E130" s="7"/>
      <c r="F130" s="7"/>
      <c r="G130" s="7"/>
      <c r="H130" s="7"/>
      <c r="I130" s="7"/>
      <c r="K130">
        <v>4</v>
      </c>
      <c r="L130" s="4">
        <f t="shared" si="71"/>
        <v>714.66666666666958</v>
      </c>
      <c r="O130" s="7">
        <v>5</v>
      </c>
      <c r="P130" s="52">
        <f>'הזנת נתונים'!A5</f>
        <v>70</v>
      </c>
      <c r="Q130" s="7"/>
      <c r="R130" s="7"/>
      <c r="S130" s="7"/>
      <c r="T130" s="7"/>
      <c r="U130" s="7"/>
      <c r="V130" s="7"/>
      <c r="W130" s="7"/>
      <c r="Y130">
        <v>4</v>
      </c>
      <c r="Z130" s="4">
        <f t="shared" si="72"/>
        <v>711.91666666666924</v>
      </c>
      <c r="AC130" s="7">
        <v>5</v>
      </c>
      <c r="AD130" s="52">
        <f>'הזנת נתונים'!A5</f>
        <v>70</v>
      </c>
      <c r="AE130" s="7"/>
      <c r="AF130" s="7"/>
      <c r="AG130" s="7"/>
      <c r="AH130" s="7"/>
      <c r="AI130" s="7"/>
      <c r="AJ130" s="7"/>
      <c r="AK130" s="7"/>
      <c r="AM130">
        <v>4</v>
      </c>
      <c r="AN130" s="4">
        <f t="shared" si="73"/>
        <v>714.66666666666936</v>
      </c>
      <c r="AQ130" s="7">
        <v>5</v>
      </c>
      <c r="AR130" s="52">
        <f>'הזנת נתונים'!A5</f>
        <v>70</v>
      </c>
      <c r="AS130" s="7"/>
      <c r="AT130" s="7"/>
      <c r="AU130" s="7"/>
      <c r="AV130" s="7"/>
      <c r="AW130" s="7"/>
      <c r="AX130" s="7"/>
      <c r="AY130" s="7"/>
      <c r="BA130">
        <v>4</v>
      </c>
      <c r="BB130" s="4">
        <f t="shared" si="74"/>
        <v>714.6666666666697</v>
      </c>
      <c r="BE130" s="7">
        <v>5</v>
      </c>
      <c r="BF130" s="52">
        <f>'הזנת נתונים'!A5</f>
        <v>70</v>
      </c>
      <c r="BG130" s="7"/>
      <c r="BH130" s="7"/>
      <c r="BI130" s="7"/>
      <c r="BJ130" s="7"/>
      <c r="BK130" s="7"/>
      <c r="BL130" s="7"/>
      <c r="BM130" s="7"/>
      <c r="BO130">
        <v>4</v>
      </c>
      <c r="BP130" s="4">
        <f t="shared" si="75"/>
        <v>714.66666666666902</v>
      </c>
    </row>
    <row r="131" spans="1:68" x14ac:dyDescent="0.25">
      <c r="A131" s="7">
        <v>6</v>
      </c>
      <c r="B131" s="52">
        <f>'הזנת נתונים'!A6</f>
        <v>75</v>
      </c>
      <c r="C131" s="7"/>
      <c r="D131" s="7"/>
      <c r="E131" s="7"/>
      <c r="F131" s="7"/>
      <c r="G131" s="7"/>
      <c r="H131" s="7"/>
      <c r="I131" s="7"/>
      <c r="K131">
        <v>5</v>
      </c>
      <c r="L131" s="4">
        <f t="shared" si="71"/>
        <v>725.66666666666958</v>
      </c>
      <c r="O131" s="7">
        <v>6</v>
      </c>
      <c r="P131" s="52">
        <f>'הזנת נתונים'!A6</f>
        <v>75</v>
      </c>
      <c r="Q131" s="7"/>
      <c r="R131" s="7"/>
      <c r="S131" s="7"/>
      <c r="T131" s="7"/>
      <c r="U131" s="7"/>
      <c r="V131" s="7"/>
      <c r="W131" s="7"/>
      <c r="Y131">
        <v>5</v>
      </c>
      <c r="Z131" s="4">
        <f t="shared" si="72"/>
        <v>722.22916666666924</v>
      </c>
      <c r="AC131" s="7">
        <v>6</v>
      </c>
      <c r="AD131" s="52">
        <f>'הזנת נתונים'!A6</f>
        <v>75</v>
      </c>
      <c r="AE131" s="7"/>
      <c r="AF131" s="7"/>
      <c r="AG131" s="7"/>
      <c r="AH131" s="7"/>
      <c r="AI131" s="7"/>
      <c r="AJ131" s="7"/>
      <c r="AK131" s="7"/>
      <c r="AM131">
        <v>5</v>
      </c>
      <c r="AN131" s="4">
        <f t="shared" si="73"/>
        <v>725.66666666666947</v>
      </c>
      <c r="AQ131" s="7">
        <v>6</v>
      </c>
      <c r="AR131" s="52">
        <f>'הזנת נתונים'!A6</f>
        <v>75</v>
      </c>
      <c r="AS131" s="7"/>
      <c r="AT131" s="7"/>
      <c r="AU131" s="7"/>
      <c r="AV131" s="7"/>
      <c r="AW131" s="7"/>
      <c r="AX131" s="7"/>
      <c r="AY131" s="7"/>
      <c r="BA131">
        <v>5</v>
      </c>
      <c r="BB131" s="4">
        <f t="shared" si="74"/>
        <v>725.6666666666697</v>
      </c>
      <c r="BE131" s="7">
        <v>6</v>
      </c>
      <c r="BF131" s="52">
        <f>'הזנת נתונים'!A6</f>
        <v>75</v>
      </c>
      <c r="BG131" s="7"/>
      <c r="BH131" s="7"/>
      <c r="BI131" s="7"/>
      <c r="BJ131" s="7"/>
      <c r="BK131" s="7"/>
      <c r="BL131" s="7"/>
      <c r="BM131" s="7"/>
      <c r="BO131">
        <v>5</v>
      </c>
      <c r="BP131" s="4">
        <f t="shared" si="75"/>
        <v>725.66666666666902</v>
      </c>
    </row>
    <row r="132" spans="1:68" x14ac:dyDescent="0.25">
      <c r="A132" s="7">
        <v>7</v>
      </c>
      <c r="B132" s="52">
        <f>'הזנת נתונים'!A7</f>
        <v>87.6666666666667</v>
      </c>
      <c r="C132" s="7"/>
      <c r="D132" s="7"/>
      <c r="E132" s="7"/>
      <c r="F132" s="7"/>
      <c r="G132" s="7"/>
      <c r="H132" s="7"/>
      <c r="I132" s="7"/>
      <c r="K132">
        <v>6</v>
      </c>
      <c r="L132" s="4">
        <f t="shared" si="71"/>
        <v>736.6666666666697</v>
      </c>
      <c r="O132" s="7">
        <v>7</v>
      </c>
      <c r="P132" s="52">
        <f>'הזנת נתונים'!A7</f>
        <v>87.6666666666667</v>
      </c>
      <c r="Q132" s="7"/>
      <c r="R132" s="7"/>
      <c r="S132" s="7"/>
      <c r="T132" s="7"/>
      <c r="U132" s="7"/>
      <c r="V132" s="7"/>
      <c r="W132" s="7"/>
      <c r="Y132">
        <v>6</v>
      </c>
      <c r="Z132" s="4">
        <f t="shared" si="72"/>
        <v>732.54166666666924</v>
      </c>
      <c r="AC132" s="7">
        <v>7</v>
      </c>
      <c r="AD132" s="52">
        <f>'הזנת נתונים'!A7</f>
        <v>87.6666666666667</v>
      </c>
      <c r="AE132" s="7"/>
      <c r="AF132" s="7"/>
      <c r="AG132" s="7"/>
      <c r="AH132" s="7"/>
      <c r="AI132" s="7"/>
      <c r="AJ132" s="7"/>
      <c r="AK132" s="7"/>
      <c r="AM132">
        <v>6</v>
      </c>
      <c r="AN132" s="4">
        <f t="shared" si="73"/>
        <v>736.66666666666947</v>
      </c>
      <c r="AQ132" s="7">
        <v>7</v>
      </c>
      <c r="AR132" s="52">
        <f>'הזנת נתונים'!A7</f>
        <v>87.6666666666667</v>
      </c>
      <c r="AS132" s="7"/>
      <c r="AT132" s="7"/>
      <c r="AU132" s="7"/>
      <c r="AV132" s="7"/>
      <c r="AW132" s="7"/>
      <c r="AX132" s="7"/>
      <c r="AY132" s="7"/>
      <c r="BA132">
        <v>6</v>
      </c>
      <c r="BB132" s="4">
        <f t="shared" si="74"/>
        <v>736.66666666666981</v>
      </c>
      <c r="BE132" s="7">
        <v>7</v>
      </c>
      <c r="BF132" s="52">
        <f>'הזנת נתונים'!A7</f>
        <v>87.6666666666667</v>
      </c>
      <c r="BG132" s="7"/>
      <c r="BH132" s="7"/>
      <c r="BI132" s="7"/>
      <c r="BJ132" s="7"/>
      <c r="BK132" s="7"/>
      <c r="BL132" s="7"/>
      <c r="BM132" s="7"/>
      <c r="BO132">
        <v>6</v>
      </c>
      <c r="BP132" s="4">
        <f t="shared" si="75"/>
        <v>736.66666666666902</v>
      </c>
    </row>
    <row r="133" spans="1:68" x14ac:dyDescent="0.25">
      <c r="A133" s="7">
        <v>8</v>
      </c>
      <c r="B133" s="52">
        <f>'הזנת נתונים'!A8</f>
        <v>98.6666666666667</v>
      </c>
      <c r="C133" s="7"/>
      <c r="D133" s="7"/>
      <c r="E133" s="7"/>
      <c r="F133" s="7"/>
      <c r="G133" s="7"/>
      <c r="H133" s="7"/>
      <c r="I133" s="7"/>
      <c r="K133">
        <v>7</v>
      </c>
      <c r="L133" s="4">
        <f t="shared" si="71"/>
        <v>747.6666666666697</v>
      </c>
      <c r="O133" s="7">
        <v>8</v>
      </c>
      <c r="P133" s="52">
        <f>'הזנת נתונים'!A8</f>
        <v>98.6666666666667</v>
      </c>
      <c r="Q133" s="7"/>
      <c r="R133" s="7"/>
      <c r="S133" s="7"/>
      <c r="T133" s="7"/>
      <c r="U133" s="7"/>
      <c r="V133" s="7"/>
      <c r="W133" s="7"/>
      <c r="Y133">
        <v>7</v>
      </c>
      <c r="Z133" s="4">
        <f t="shared" si="72"/>
        <v>742.85416666666936</v>
      </c>
      <c r="AC133" s="7">
        <v>8</v>
      </c>
      <c r="AD133" s="52">
        <f>'הזנת נתונים'!A8</f>
        <v>98.6666666666667</v>
      </c>
      <c r="AE133" s="7"/>
      <c r="AF133" s="7"/>
      <c r="AG133" s="7"/>
      <c r="AH133" s="7"/>
      <c r="AI133" s="7"/>
      <c r="AJ133" s="7"/>
      <c r="AK133" s="7"/>
      <c r="AM133">
        <v>7</v>
      </c>
      <c r="AN133" s="4">
        <f t="shared" si="73"/>
        <v>747.66666666666947</v>
      </c>
      <c r="AQ133" s="7">
        <v>8</v>
      </c>
      <c r="AR133" s="52">
        <f>'הזנת נתונים'!A8</f>
        <v>98.6666666666667</v>
      </c>
      <c r="AS133" s="7"/>
      <c r="AT133" s="7"/>
      <c r="AU133" s="7"/>
      <c r="AV133" s="7"/>
      <c r="AW133" s="7"/>
      <c r="AX133" s="7"/>
      <c r="AY133" s="7"/>
      <c r="BA133">
        <v>7</v>
      </c>
      <c r="BB133" s="4">
        <f t="shared" si="74"/>
        <v>747.66666666666981</v>
      </c>
      <c r="BE133" s="7">
        <v>8</v>
      </c>
      <c r="BF133" s="52">
        <f>'הזנת נתונים'!A8</f>
        <v>98.6666666666667</v>
      </c>
      <c r="BG133" s="7"/>
      <c r="BH133" s="7"/>
      <c r="BI133" s="7"/>
      <c r="BJ133" s="7"/>
      <c r="BK133" s="7"/>
      <c r="BL133" s="7"/>
      <c r="BM133" s="7"/>
      <c r="BO133">
        <v>7</v>
      </c>
      <c r="BP133" s="4">
        <f t="shared" si="75"/>
        <v>747.66666666666902</v>
      </c>
    </row>
    <row r="134" spans="1:68" x14ac:dyDescent="0.25">
      <c r="A134" s="7">
        <v>9</v>
      </c>
      <c r="B134" s="52">
        <f>'הזנת נתונים'!A9</f>
        <v>109.666666666667</v>
      </c>
      <c r="C134" s="7"/>
      <c r="D134" s="7"/>
      <c r="E134" s="7"/>
      <c r="F134" s="7"/>
      <c r="G134" s="7"/>
      <c r="H134" s="7"/>
      <c r="I134" s="7"/>
      <c r="K134">
        <v>8</v>
      </c>
      <c r="L134" s="4">
        <f t="shared" si="71"/>
        <v>758.6666666666697</v>
      </c>
      <c r="O134" s="7">
        <v>9</v>
      </c>
      <c r="P134" s="52">
        <f>'הזנת נתונים'!A9</f>
        <v>109.666666666667</v>
      </c>
      <c r="Q134" s="7"/>
      <c r="R134" s="7"/>
      <c r="S134" s="7"/>
      <c r="T134" s="7"/>
      <c r="U134" s="7"/>
      <c r="V134" s="7"/>
      <c r="W134" s="7"/>
      <c r="Y134">
        <v>8</v>
      </c>
      <c r="Z134" s="4">
        <f t="shared" si="72"/>
        <v>753.16666666666936</v>
      </c>
      <c r="AC134" s="7">
        <v>9</v>
      </c>
      <c r="AD134" s="52">
        <f>'הזנת נתונים'!A9</f>
        <v>109.666666666667</v>
      </c>
      <c r="AE134" s="7"/>
      <c r="AF134" s="7"/>
      <c r="AG134" s="7"/>
      <c r="AH134" s="7"/>
      <c r="AI134" s="7"/>
      <c r="AJ134" s="7"/>
      <c r="AK134" s="7"/>
      <c r="AM134">
        <v>8</v>
      </c>
      <c r="AN134" s="4">
        <f t="shared" si="73"/>
        <v>758.66666666666947</v>
      </c>
      <c r="AQ134" s="7">
        <v>9</v>
      </c>
      <c r="AR134" s="52">
        <f>'הזנת נתונים'!A9</f>
        <v>109.666666666667</v>
      </c>
      <c r="AS134" s="7"/>
      <c r="AT134" s="7"/>
      <c r="AU134" s="7"/>
      <c r="AV134" s="7"/>
      <c r="AW134" s="7"/>
      <c r="AX134" s="7"/>
      <c r="AY134" s="7"/>
      <c r="BA134">
        <v>8</v>
      </c>
      <c r="BB134" s="4">
        <f t="shared" si="74"/>
        <v>758.66666666666993</v>
      </c>
      <c r="BE134" s="7">
        <v>9</v>
      </c>
      <c r="BF134" s="52">
        <f>'הזנת נתונים'!A9</f>
        <v>109.666666666667</v>
      </c>
      <c r="BG134" s="7"/>
      <c r="BH134" s="7"/>
      <c r="BI134" s="7"/>
      <c r="BJ134" s="7"/>
      <c r="BK134" s="7"/>
      <c r="BL134" s="7"/>
      <c r="BM134" s="7"/>
      <c r="BO134">
        <v>8</v>
      </c>
      <c r="BP134" s="4">
        <f t="shared" si="75"/>
        <v>758.66666666666902</v>
      </c>
    </row>
    <row r="135" spans="1:68" x14ac:dyDescent="0.25">
      <c r="A135" s="7">
        <v>10</v>
      </c>
      <c r="B135" s="52">
        <f>'הזנת נתונים'!A10</f>
        <v>120.666666666667</v>
      </c>
      <c r="C135" s="7"/>
      <c r="D135" s="7"/>
      <c r="E135" s="7"/>
      <c r="F135" s="7"/>
      <c r="G135" s="7"/>
      <c r="H135" s="7"/>
      <c r="I135" s="7"/>
      <c r="K135">
        <v>9</v>
      </c>
      <c r="L135" s="4">
        <f t="shared" si="71"/>
        <v>769.66666666666981</v>
      </c>
      <c r="O135" s="7">
        <v>10</v>
      </c>
      <c r="P135" s="52">
        <f>'הזנת נתונים'!A10</f>
        <v>120.666666666667</v>
      </c>
      <c r="Q135" s="7"/>
      <c r="R135" s="7"/>
      <c r="S135" s="7"/>
      <c r="T135" s="7"/>
      <c r="U135" s="7"/>
      <c r="V135" s="7"/>
      <c r="W135" s="7"/>
      <c r="Y135">
        <v>9</v>
      </c>
      <c r="Z135" s="4">
        <f t="shared" si="72"/>
        <v>763.47916666666936</v>
      </c>
      <c r="AC135" s="7">
        <v>10</v>
      </c>
      <c r="AD135" s="52">
        <f>'הזנת נתונים'!A10</f>
        <v>120.666666666667</v>
      </c>
      <c r="AE135" s="7"/>
      <c r="AF135" s="7"/>
      <c r="AG135" s="7"/>
      <c r="AH135" s="7"/>
      <c r="AI135" s="7"/>
      <c r="AJ135" s="7"/>
      <c r="AK135" s="7"/>
      <c r="AM135">
        <v>9</v>
      </c>
      <c r="AN135" s="4">
        <f t="shared" si="73"/>
        <v>769.66666666666958</v>
      </c>
      <c r="AQ135" s="7">
        <v>10</v>
      </c>
      <c r="AR135" s="52">
        <f>'הזנת נתונים'!A10</f>
        <v>120.666666666667</v>
      </c>
      <c r="AS135" s="7"/>
      <c r="AT135" s="7"/>
      <c r="AU135" s="7"/>
      <c r="AV135" s="7"/>
      <c r="AW135" s="7"/>
      <c r="AX135" s="7"/>
      <c r="AY135" s="7"/>
      <c r="BA135">
        <v>9</v>
      </c>
      <c r="BB135" s="4">
        <f t="shared" si="74"/>
        <v>769.66666666666993</v>
      </c>
      <c r="BE135" s="7">
        <v>10</v>
      </c>
      <c r="BF135" s="52">
        <f>'הזנת נתונים'!A10</f>
        <v>120.666666666667</v>
      </c>
      <c r="BG135" s="7"/>
      <c r="BH135" s="7"/>
      <c r="BI135" s="7"/>
      <c r="BJ135" s="7"/>
      <c r="BK135" s="7"/>
      <c r="BL135" s="7"/>
      <c r="BM135" s="7"/>
      <c r="BO135">
        <v>9</v>
      </c>
      <c r="BP135" s="4">
        <f t="shared" si="75"/>
        <v>769.66666666666902</v>
      </c>
    </row>
    <row r="136" spans="1:68" x14ac:dyDescent="0.25">
      <c r="A136" s="7">
        <v>11</v>
      </c>
      <c r="B136" s="52">
        <f>'הזנת נתונים'!A11</f>
        <v>131.666666666667</v>
      </c>
      <c r="C136" s="7"/>
      <c r="D136" s="7"/>
      <c r="E136" s="7"/>
      <c r="F136" s="7"/>
      <c r="G136" s="7"/>
      <c r="H136" s="7"/>
      <c r="I136" s="7"/>
      <c r="K136">
        <v>10</v>
      </c>
      <c r="L136" s="4">
        <f t="shared" si="71"/>
        <v>780.66666666666981</v>
      </c>
      <c r="O136" s="7">
        <v>11</v>
      </c>
      <c r="P136" s="52">
        <f>'הזנת נתונים'!A11</f>
        <v>131.666666666667</v>
      </c>
      <c r="Q136" s="7"/>
      <c r="R136" s="7"/>
      <c r="S136" s="7"/>
      <c r="T136" s="7"/>
      <c r="U136" s="7"/>
      <c r="V136" s="7"/>
      <c r="W136" s="7"/>
      <c r="Y136">
        <v>10</v>
      </c>
      <c r="Z136" s="4">
        <f t="shared" si="72"/>
        <v>773.79166666666947</v>
      </c>
      <c r="AC136" s="7">
        <v>11</v>
      </c>
      <c r="AD136" s="52">
        <f>'הזנת נתונים'!A11</f>
        <v>131.666666666667</v>
      </c>
      <c r="AE136" s="7"/>
      <c r="AF136" s="7"/>
      <c r="AG136" s="7"/>
      <c r="AH136" s="7"/>
      <c r="AI136" s="7"/>
      <c r="AJ136" s="7"/>
      <c r="AK136" s="7"/>
      <c r="AM136">
        <v>10</v>
      </c>
      <c r="AN136" s="4">
        <f t="shared" si="73"/>
        <v>780.66666666666958</v>
      </c>
      <c r="AQ136" s="7">
        <v>11</v>
      </c>
      <c r="AR136" s="52">
        <f>'הזנת נתונים'!A11</f>
        <v>131.666666666667</v>
      </c>
      <c r="AS136" s="7"/>
      <c r="AT136" s="7"/>
      <c r="AU136" s="7"/>
      <c r="AV136" s="7"/>
      <c r="AW136" s="7"/>
      <c r="AX136" s="7"/>
      <c r="AY136" s="7"/>
      <c r="BA136">
        <v>10</v>
      </c>
      <c r="BB136" s="4">
        <f t="shared" si="74"/>
        <v>780.66666666667004</v>
      </c>
      <c r="BE136" s="7">
        <v>11</v>
      </c>
      <c r="BF136" s="52">
        <f>'הזנת נתונים'!A11</f>
        <v>131.666666666667</v>
      </c>
      <c r="BG136" s="7"/>
      <c r="BH136" s="7"/>
      <c r="BI136" s="7"/>
      <c r="BJ136" s="7"/>
      <c r="BK136" s="7"/>
      <c r="BL136" s="7"/>
      <c r="BM136" s="7"/>
      <c r="BO136">
        <v>10</v>
      </c>
      <c r="BP136" s="4">
        <f t="shared" si="75"/>
        <v>780.66666666666902</v>
      </c>
    </row>
    <row r="137" spans="1:68" x14ac:dyDescent="0.25">
      <c r="A137" s="7">
        <v>12</v>
      </c>
      <c r="B137" s="52">
        <f>'הזנת נתונים'!A12</f>
        <v>142.666666666667</v>
      </c>
      <c r="C137" s="7"/>
      <c r="D137" s="7"/>
      <c r="E137" s="7"/>
      <c r="F137" s="7"/>
      <c r="G137" s="7"/>
      <c r="H137" s="7"/>
      <c r="I137" s="7"/>
      <c r="K137">
        <v>11</v>
      </c>
      <c r="L137" s="4">
        <f t="shared" si="71"/>
        <v>791.66666666666993</v>
      </c>
      <c r="O137" s="7">
        <v>12</v>
      </c>
      <c r="P137" s="52">
        <f>'הזנת נתונים'!A12</f>
        <v>142.666666666667</v>
      </c>
      <c r="Q137" s="7"/>
      <c r="R137" s="7"/>
      <c r="S137" s="7"/>
      <c r="T137" s="7"/>
      <c r="U137" s="7"/>
      <c r="V137" s="7"/>
      <c r="W137" s="7"/>
      <c r="Y137">
        <v>11</v>
      </c>
      <c r="Z137" s="4">
        <f t="shared" si="72"/>
        <v>784.10416666666947</v>
      </c>
      <c r="AC137" s="7">
        <v>12</v>
      </c>
      <c r="AD137" s="52">
        <f>'הזנת נתונים'!A12</f>
        <v>142.666666666667</v>
      </c>
      <c r="AE137" s="7"/>
      <c r="AF137" s="7"/>
      <c r="AG137" s="7"/>
      <c r="AH137" s="7"/>
      <c r="AI137" s="7"/>
      <c r="AJ137" s="7"/>
      <c r="AK137" s="7"/>
      <c r="AM137">
        <v>11</v>
      </c>
      <c r="AN137" s="4">
        <f t="shared" si="73"/>
        <v>791.6666666666697</v>
      </c>
      <c r="AQ137" s="7">
        <v>12</v>
      </c>
      <c r="AR137" s="52">
        <f>'הזנת נתונים'!A12</f>
        <v>142.666666666667</v>
      </c>
      <c r="AS137" s="7"/>
      <c r="AT137" s="7"/>
      <c r="AU137" s="7"/>
      <c r="AV137" s="7"/>
      <c r="AW137" s="7"/>
      <c r="AX137" s="7"/>
      <c r="AY137" s="7"/>
      <c r="BA137">
        <v>11</v>
      </c>
      <c r="BB137" s="4">
        <f t="shared" si="74"/>
        <v>791.66666666667004</v>
      </c>
      <c r="BE137" s="7">
        <v>12</v>
      </c>
      <c r="BF137" s="52">
        <f>'הזנת נתונים'!A12</f>
        <v>142.666666666667</v>
      </c>
      <c r="BG137" s="7"/>
      <c r="BH137" s="7"/>
      <c r="BI137" s="7"/>
      <c r="BJ137" s="7"/>
      <c r="BK137" s="7"/>
      <c r="BL137" s="7"/>
      <c r="BM137" s="7"/>
      <c r="BO137">
        <v>11</v>
      </c>
      <c r="BP137" s="4">
        <f t="shared" si="75"/>
        <v>791.66666666666902</v>
      </c>
    </row>
    <row r="138" spans="1:68" x14ac:dyDescent="0.25">
      <c r="A138" s="7">
        <v>13</v>
      </c>
      <c r="B138" s="52">
        <f>'הזנת נתונים'!A13</f>
        <v>153.666666666667</v>
      </c>
      <c r="C138" s="7"/>
      <c r="D138" s="7"/>
      <c r="E138" s="7"/>
      <c r="F138" s="7"/>
      <c r="G138" s="7"/>
      <c r="H138" s="7"/>
      <c r="I138" s="7"/>
      <c r="K138">
        <v>12</v>
      </c>
      <c r="L138" s="4">
        <f t="shared" si="71"/>
        <v>802.66666666666993</v>
      </c>
      <c r="O138" s="7">
        <v>13</v>
      </c>
      <c r="P138" s="52">
        <f>'הזנת נתונים'!A13</f>
        <v>153.666666666667</v>
      </c>
      <c r="Q138" s="7"/>
      <c r="R138" s="7"/>
      <c r="S138" s="7"/>
      <c r="T138" s="7"/>
      <c r="U138" s="7"/>
      <c r="V138" s="7"/>
      <c r="W138" s="7"/>
      <c r="Y138">
        <v>12</v>
      </c>
      <c r="Z138" s="4">
        <f t="shared" si="72"/>
        <v>794.41666666666947</v>
      </c>
      <c r="AC138" s="7">
        <v>13</v>
      </c>
      <c r="AD138" s="52">
        <f>'הזנת נתונים'!A13</f>
        <v>153.666666666667</v>
      </c>
      <c r="AE138" s="7"/>
      <c r="AF138" s="7"/>
      <c r="AG138" s="7"/>
      <c r="AH138" s="7"/>
      <c r="AI138" s="7"/>
      <c r="AJ138" s="7"/>
      <c r="AK138" s="7"/>
      <c r="AM138">
        <v>12</v>
      </c>
      <c r="AN138" s="4">
        <f t="shared" si="73"/>
        <v>802.6666666666697</v>
      </c>
      <c r="AQ138" s="7">
        <v>13</v>
      </c>
      <c r="AR138" s="52">
        <f>'הזנת נתונים'!A13</f>
        <v>153.666666666667</v>
      </c>
      <c r="AS138" s="7"/>
      <c r="AT138" s="7"/>
      <c r="AU138" s="7"/>
      <c r="AV138" s="7"/>
      <c r="AW138" s="7"/>
      <c r="AX138" s="7"/>
      <c r="AY138" s="7"/>
      <c r="BA138">
        <v>12</v>
      </c>
      <c r="BB138" s="4">
        <f t="shared" si="74"/>
        <v>802.66666666667015</v>
      </c>
      <c r="BE138" s="7">
        <v>13</v>
      </c>
      <c r="BF138" s="52">
        <f>'הזנת נתונים'!A13</f>
        <v>153.666666666667</v>
      </c>
      <c r="BG138" s="7"/>
      <c r="BH138" s="7"/>
      <c r="BI138" s="7"/>
      <c r="BJ138" s="7"/>
      <c r="BK138" s="7"/>
      <c r="BL138" s="7"/>
      <c r="BM138" s="7"/>
      <c r="BO138">
        <v>12</v>
      </c>
      <c r="BP138" s="4">
        <f t="shared" si="75"/>
        <v>802.66666666666902</v>
      </c>
    </row>
    <row r="139" spans="1:68" x14ac:dyDescent="0.25">
      <c r="A139" s="7">
        <v>14</v>
      </c>
      <c r="B139" s="52">
        <f>'הזנת נתונים'!A14</f>
        <v>164.666666666667</v>
      </c>
      <c r="C139" s="7"/>
      <c r="D139" s="7"/>
      <c r="E139" s="7"/>
      <c r="F139" s="7"/>
      <c r="G139" s="7"/>
      <c r="H139" s="7"/>
      <c r="I139" s="7"/>
      <c r="O139" s="7">
        <v>14</v>
      </c>
      <c r="P139" s="52">
        <f>'הזנת נתונים'!A14</f>
        <v>164.666666666667</v>
      </c>
      <c r="Q139" s="7"/>
      <c r="R139" s="7"/>
      <c r="S139" s="7"/>
      <c r="T139" s="7"/>
      <c r="U139" s="7"/>
      <c r="V139" s="7"/>
      <c r="W139" s="7"/>
      <c r="AC139" s="7">
        <v>14</v>
      </c>
      <c r="AD139" s="52">
        <f>'הזנת נתונים'!A14</f>
        <v>164.666666666667</v>
      </c>
      <c r="AE139" s="7"/>
      <c r="AF139" s="7"/>
      <c r="AG139" s="7"/>
      <c r="AH139" s="7"/>
      <c r="AI139" s="7"/>
      <c r="AJ139" s="7"/>
      <c r="AK139" s="7"/>
      <c r="AQ139" s="7">
        <v>14</v>
      </c>
      <c r="AR139" s="52">
        <f>'הזנת נתונים'!A14</f>
        <v>164.666666666667</v>
      </c>
      <c r="AS139" s="7"/>
      <c r="AT139" s="7"/>
      <c r="AU139" s="7"/>
      <c r="AV139" s="7"/>
      <c r="AW139" s="7"/>
      <c r="AX139" s="7"/>
      <c r="AY139" s="7"/>
      <c r="BE139" s="7">
        <v>14</v>
      </c>
      <c r="BF139" s="52">
        <f>'הזנת נתונים'!A14</f>
        <v>164.666666666667</v>
      </c>
      <c r="BG139" s="7"/>
      <c r="BH139" s="7"/>
      <c r="BI139" s="7"/>
      <c r="BJ139" s="7"/>
      <c r="BK139" s="7"/>
      <c r="BL139" s="7"/>
      <c r="BM139" s="7"/>
    </row>
    <row r="140" spans="1:68" x14ac:dyDescent="0.25">
      <c r="A140" s="7">
        <v>15</v>
      </c>
      <c r="B140" s="52">
        <f>'הזנת נתונים'!A15</f>
        <v>175.666666666667</v>
      </c>
      <c r="C140" s="7">
        <f>AVERAGE(B126:B140)</f>
        <v>99.200000000000145</v>
      </c>
      <c r="D140" s="7"/>
      <c r="E140" s="7"/>
      <c r="F140" s="7"/>
      <c r="G140" s="7"/>
      <c r="H140" s="7"/>
      <c r="I140" s="7"/>
      <c r="O140" s="7">
        <v>15</v>
      </c>
      <c r="P140" s="52">
        <f>'הזנת נתונים'!A15</f>
        <v>175.666666666667</v>
      </c>
      <c r="Q140" s="7"/>
      <c r="R140" s="7"/>
      <c r="S140" s="7"/>
      <c r="T140" s="7"/>
      <c r="U140" s="7"/>
      <c r="V140" s="7"/>
      <c r="W140" s="7"/>
      <c r="AC140" s="7">
        <v>15</v>
      </c>
      <c r="AD140" s="52">
        <f>'הזנת נתונים'!A15</f>
        <v>175.666666666667</v>
      </c>
      <c r="AE140" s="7"/>
      <c r="AF140" s="7"/>
      <c r="AG140" s="7"/>
      <c r="AH140" s="7"/>
      <c r="AI140" s="7"/>
      <c r="AJ140" s="7"/>
      <c r="AK140" s="7"/>
      <c r="AQ140" s="7">
        <v>15</v>
      </c>
      <c r="AR140" s="52">
        <f>'הזנת נתונים'!A15</f>
        <v>175.666666666667</v>
      </c>
      <c r="AS140" s="7"/>
      <c r="AT140" s="7"/>
      <c r="AU140" s="7"/>
      <c r="AV140" s="7"/>
      <c r="AW140" s="7"/>
      <c r="AX140" s="7"/>
      <c r="AY140" s="7"/>
      <c r="BE140" s="7">
        <v>15</v>
      </c>
      <c r="BF140" s="52">
        <f>'הזנת נתונים'!A15</f>
        <v>175.666666666667</v>
      </c>
      <c r="BG140" s="7"/>
      <c r="BH140" s="7"/>
      <c r="BI140" s="7"/>
      <c r="BJ140" s="7"/>
      <c r="BK140" s="7"/>
      <c r="BL140" s="7"/>
      <c r="BM140" s="7"/>
    </row>
    <row r="141" spans="1:68" x14ac:dyDescent="0.25">
      <c r="A141" s="7">
        <v>16</v>
      </c>
      <c r="B141" s="52">
        <f>'הזנת נתונים'!A16</f>
        <v>186.666666666667</v>
      </c>
      <c r="C141" s="7">
        <f t="shared" ref="C141:D185" si="76">AVERAGE(B127:B141)</f>
        <v>109.77777777777796</v>
      </c>
      <c r="D141" s="7"/>
      <c r="E141" s="7"/>
      <c r="F141" s="7"/>
      <c r="G141" s="7"/>
      <c r="H141" s="7"/>
      <c r="I141" s="7"/>
      <c r="O141" s="7">
        <v>16</v>
      </c>
      <c r="P141" s="52">
        <f>'הזנת נתונים'!A16</f>
        <v>186.666666666667</v>
      </c>
      <c r="Q141" s="7">
        <f>AVERAGE(P126:P141)</f>
        <v>104.66666666666683</v>
      </c>
      <c r="R141" s="7"/>
      <c r="S141" s="7"/>
      <c r="T141" s="7"/>
      <c r="U141" s="7"/>
      <c r="V141" s="7"/>
      <c r="W141" s="7"/>
      <c r="AC141" s="7">
        <v>16</v>
      </c>
      <c r="AD141" s="52">
        <f>'הזנת נתונים'!A16</f>
        <v>186.666666666667</v>
      </c>
      <c r="AE141" s="7"/>
      <c r="AF141" s="7"/>
      <c r="AG141" s="7"/>
      <c r="AH141" s="7"/>
      <c r="AI141" s="7"/>
      <c r="AJ141" s="7"/>
      <c r="AK141" s="7"/>
      <c r="AQ141" s="7">
        <v>16</v>
      </c>
      <c r="AR141" s="52">
        <f>'הזנת נתונים'!A16</f>
        <v>186.666666666667</v>
      </c>
      <c r="AS141" s="7"/>
      <c r="AT141" s="7"/>
      <c r="AU141" s="7"/>
      <c r="AV141" s="7"/>
      <c r="AW141" s="7"/>
      <c r="AX141" s="7"/>
      <c r="AY141" s="7"/>
      <c r="BE141" s="7">
        <v>16</v>
      </c>
      <c r="BF141" s="52">
        <f>'הזנת נתונים'!A16</f>
        <v>186.666666666667</v>
      </c>
      <c r="BG141" s="7"/>
      <c r="BH141" s="7"/>
      <c r="BI141" s="7"/>
      <c r="BJ141" s="7"/>
      <c r="BK141" s="7"/>
      <c r="BL141" s="7"/>
      <c r="BM141" s="7"/>
    </row>
    <row r="142" spans="1:68" x14ac:dyDescent="0.25">
      <c r="A142" s="7">
        <v>17</v>
      </c>
      <c r="B142" s="52">
        <f>'הזנת נתונים'!A17</f>
        <v>197.666666666667</v>
      </c>
      <c r="C142" s="7">
        <f t="shared" si="76"/>
        <v>120.62222222222242</v>
      </c>
      <c r="D142" s="7"/>
      <c r="E142" s="7"/>
      <c r="F142" s="7"/>
      <c r="G142" s="7"/>
      <c r="H142" s="7"/>
      <c r="I142" s="7"/>
      <c r="O142" s="7">
        <v>17</v>
      </c>
      <c r="P142" s="52">
        <f>'הזנת נתונים'!A17</f>
        <v>197.666666666667</v>
      </c>
      <c r="Q142" s="7">
        <f t="shared" ref="Q142:R185" si="77">AVERAGE(P127:P142)</f>
        <v>115.27083333333351</v>
      </c>
      <c r="R142" s="7"/>
      <c r="S142" s="7"/>
      <c r="T142" s="7"/>
      <c r="U142" s="7"/>
      <c r="V142" s="7"/>
      <c r="W142" s="7"/>
      <c r="AC142" s="7">
        <v>17</v>
      </c>
      <c r="AD142" s="52">
        <f>'הזנת נתונים'!A17</f>
        <v>197.666666666667</v>
      </c>
      <c r="AE142" s="7">
        <f>AVERAGE(AD126:AD142)</f>
        <v>110.13725490196096</v>
      </c>
      <c r="AF142" s="7"/>
      <c r="AG142" s="7"/>
      <c r="AH142" s="7"/>
      <c r="AI142" s="7"/>
      <c r="AJ142" s="7"/>
      <c r="AK142" s="7"/>
      <c r="AQ142" s="7">
        <v>17</v>
      </c>
      <c r="AR142" s="52">
        <f>'הזנת נתונים'!A17</f>
        <v>197.666666666667</v>
      </c>
      <c r="AS142" s="7"/>
      <c r="AT142" s="7"/>
      <c r="AU142" s="7"/>
      <c r="AV142" s="7"/>
      <c r="AW142" s="7"/>
      <c r="AX142" s="7"/>
      <c r="AY142" s="7"/>
      <c r="BE142" s="7">
        <v>17</v>
      </c>
      <c r="BF142" s="52">
        <f>'הזנת נתונים'!A17</f>
        <v>197.666666666667</v>
      </c>
      <c r="BG142" s="7"/>
      <c r="BH142" s="7"/>
      <c r="BI142" s="7"/>
      <c r="BJ142" s="7"/>
      <c r="BK142" s="7"/>
      <c r="BL142" s="7"/>
      <c r="BM142" s="7"/>
    </row>
    <row r="143" spans="1:68" x14ac:dyDescent="0.25">
      <c r="A143" s="7">
        <v>18</v>
      </c>
      <c r="B143" s="52">
        <f>'הזנת נתונים'!A18</f>
        <v>208.666666666667</v>
      </c>
      <c r="C143" s="7">
        <f t="shared" si="76"/>
        <v>131.86666666666687</v>
      </c>
      <c r="D143" s="7"/>
      <c r="E143" s="7"/>
      <c r="F143" s="7"/>
      <c r="G143" s="7"/>
      <c r="H143" s="7"/>
      <c r="I143" s="7"/>
      <c r="O143" s="7">
        <v>18</v>
      </c>
      <c r="P143" s="52">
        <f>'הזנת נתונים'!A18</f>
        <v>208.666666666667</v>
      </c>
      <c r="Q143" s="7">
        <f t="shared" si="77"/>
        <v>126.1250000000002</v>
      </c>
      <c r="R143" s="7"/>
      <c r="S143" s="7"/>
      <c r="T143" s="7"/>
      <c r="U143" s="7"/>
      <c r="V143" s="7"/>
      <c r="W143" s="7"/>
      <c r="AC143" s="7">
        <v>18</v>
      </c>
      <c r="AD143" s="52">
        <f>'הזנת נתונים'!A18</f>
        <v>208.666666666667</v>
      </c>
      <c r="AE143" s="7">
        <f t="shared" ref="AE143:AF185" si="78">AVERAGE(AD127:AD143)</f>
        <v>120.76470588235313</v>
      </c>
      <c r="AF143" s="7"/>
      <c r="AG143" s="7"/>
      <c r="AH143" s="7"/>
      <c r="AI143" s="7"/>
      <c r="AJ143" s="7"/>
      <c r="AK143" s="7"/>
      <c r="AQ143" s="7">
        <v>18</v>
      </c>
      <c r="AR143" s="52">
        <f>'הזנת נתונים'!A18</f>
        <v>208.666666666667</v>
      </c>
      <c r="AS143" s="7">
        <f>AVERAGE(AR126:AR143)</f>
        <v>115.61111111111128</v>
      </c>
      <c r="AT143" s="7"/>
      <c r="AU143" s="7"/>
      <c r="AV143" s="7"/>
      <c r="AW143" s="7"/>
      <c r="AX143" s="7"/>
      <c r="AY143" s="7"/>
      <c r="BE143" s="7">
        <v>18</v>
      </c>
      <c r="BF143" s="52">
        <f>'הזנת נתונים'!A18</f>
        <v>208.666666666667</v>
      </c>
      <c r="BG143" s="7"/>
      <c r="BH143" s="7"/>
      <c r="BI143" s="7"/>
      <c r="BJ143" s="7"/>
      <c r="BK143" s="7"/>
      <c r="BL143" s="7"/>
      <c r="BM143" s="7"/>
    </row>
    <row r="144" spans="1:68" x14ac:dyDescent="0.25">
      <c r="A144" s="7">
        <v>19</v>
      </c>
      <c r="B144" s="52">
        <f>'הזנת נתונים'!A19</f>
        <v>219.666666666667</v>
      </c>
      <c r="C144" s="7">
        <f t="shared" si="76"/>
        <v>142.84444444444469</v>
      </c>
      <c r="D144" s="7"/>
      <c r="E144" s="7"/>
      <c r="F144" s="7"/>
      <c r="G144" s="7"/>
      <c r="H144" s="7"/>
      <c r="I144" s="7"/>
      <c r="O144" s="7">
        <v>19</v>
      </c>
      <c r="P144" s="52">
        <f>'הזנת נתונים'!A19</f>
        <v>219.666666666667</v>
      </c>
      <c r="Q144" s="7">
        <f t="shared" si="77"/>
        <v>137.35416666666688</v>
      </c>
      <c r="R144" s="7"/>
      <c r="S144" s="7"/>
      <c r="T144" s="7"/>
      <c r="U144" s="7"/>
      <c r="V144" s="7"/>
      <c r="W144" s="7"/>
      <c r="AC144" s="7">
        <v>19</v>
      </c>
      <c r="AD144" s="52">
        <f>'הזנת נתונים'!A19</f>
        <v>219.666666666667</v>
      </c>
      <c r="AE144" s="7">
        <f t="shared" si="78"/>
        <v>131.62745098039235</v>
      </c>
      <c r="AF144" s="7"/>
      <c r="AG144" s="7"/>
      <c r="AH144" s="7"/>
      <c r="AI144" s="7"/>
      <c r="AJ144" s="7"/>
      <c r="AK144" s="7"/>
      <c r="AQ144" s="7">
        <v>19</v>
      </c>
      <c r="AR144" s="52">
        <f>'הזנת נתונים'!A19</f>
        <v>219.666666666667</v>
      </c>
      <c r="AS144" s="7">
        <f t="shared" ref="AS144:AT185" si="79">AVERAGE(AR127:AR144)</f>
        <v>126.25925925925945</v>
      </c>
      <c r="AT144" s="7"/>
      <c r="AU144" s="7"/>
      <c r="AV144" s="7"/>
      <c r="AW144" s="7"/>
      <c r="AX144" s="7"/>
      <c r="AY144" s="7"/>
      <c r="BE144" s="7">
        <v>19</v>
      </c>
      <c r="BF144" s="52">
        <f>'הזנת נתונים'!A19</f>
        <v>219.666666666667</v>
      </c>
      <c r="BG144" s="7">
        <f>AVERAGE(BF126:BF144)</f>
        <v>121.0877192982458</v>
      </c>
      <c r="BH144" s="7"/>
      <c r="BI144" s="7"/>
      <c r="BJ144" s="7"/>
      <c r="BK144" s="7"/>
      <c r="BL144" s="7"/>
      <c r="BM144" s="7"/>
    </row>
    <row r="145" spans="1:65" x14ac:dyDescent="0.25">
      <c r="A145" s="7">
        <v>20</v>
      </c>
      <c r="B145" s="52">
        <f>'הזנת נתונים'!A20</f>
        <v>230.666666666667</v>
      </c>
      <c r="C145" s="7">
        <f t="shared" si="76"/>
        <v>153.5555555555558</v>
      </c>
      <c r="D145" s="7"/>
      <c r="E145" s="7"/>
      <c r="F145" s="7"/>
      <c r="G145" s="7"/>
      <c r="H145" s="7"/>
      <c r="I145" s="7"/>
      <c r="O145" s="7">
        <v>20</v>
      </c>
      <c r="P145" s="52">
        <f>'הזנת נתונים'!A20</f>
        <v>230.666666666667</v>
      </c>
      <c r="Q145" s="7">
        <f t="shared" si="77"/>
        <v>148.33333333333357</v>
      </c>
      <c r="R145" s="7"/>
      <c r="S145" s="7"/>
      <c r="T145" s="7"/>
      <c r="U145" s="7"/>
      <c r="V145" s="7"/>
      <c r="W145" s="7"/>
      <c r="AC145" s="7">
        <v>20</v>
      </c>
      <c r="AD145" s="52">
        <f>'הזנת נתונים'!A20</f>
        <v>230.666666666667</v>
      </c>
      <c r="AE145" s="7">
        <f t="shared" si="78"/>
        <v>142.84313725490219</v>
      </c>
      <c r="AF145" s="7"/>
      <c r="AG145" s="7"/>
      <c r="AH145" s="7"/>
      <c r="AI145" s="7"/>
      <c r="AJ145" s="7"/>
      <c r="AK145" s="7"/>
      <c r="AQ145" s="7">
        <v>20</v>
      </c>
      <c r="AR145" s="52">
        <f>'הזנת נתונים'!A20</f>
        <v>230.666666666667</v>
      </c>
      <c r="AS145" s="7">
        <f t="shared" si="79"/>
        <v>137.12962962962985</v>
      </c>
      <c r="AT145" s="7"/>
      <c r="AU145" s="7"/>
      <c r="AV145" s="7"/>
      <c r="AW145" s="7"/>
      <c r="AX145" s="7"/>
      <c r="AY145" s="7"/>
      <c r="BE145" s="7">
        <v>20</v>
      </c>
      <c r="BF145" s="52">
        <f>'הזנת נתונים'!A20</f>
        <v>230.666666666667</v>
      </c>
      <c r="BG145" s="7">
        <f t="shared" ref="BG145:BH185" si="80">AVERAGE(BF127:BF145)</f>
        <v>131.75438596491247</v>
      </c>
      <c r="BH145" s="7"/>
      <c r="BI145" s="7"/>
      <c r="BJ145" s="7"/>
      <c r="BK145" s="7"/>
      <c r="BL145" s="7"/>
      <c r="BM145" s="7"/>
    </row>
    <row r="146" spans="1:65" x14ac:dyDescent="0.25">
      <c r="A146" s="7">
        <v>21</v>
      </c>
      <c r="B146" s="52">
        <f>'הזנת נתונים'!A21</f>
        <v>241.666666666667</v>
      </c>
      <c r="C146" s="7">
        <f t="shared" si="76"/>
        <v>164.66666666666694</v>
      </c>
      <c r="D146" s="7"/>
      <c r="E146" s="7"/>
      <c r="F146" s="7"/>
      <c r="G146" s="7"/>
      <c r="H146" s="7"/>
      <c r="I146" s="7"/>
      <c r="O146" s="7">
        <v>21</v>
      </c>
      <c r="P146" s="52">
        <f>'הזנת נתונים'!A21</f>
        <v>241.666666666667</v>
      </c>
      <c r="Q146" s="7">
        <f t="shared" si="77"/>
        <v>159.06250000000026</v>
      </c>
      <c r="R146" s="7"/>
      <c r="S146" s="7"/>
      <c r="T146" s="7"/>
      <c r="U146" s="7"/>
      <c r="V146" s="7"/>
      <c r="W146" s="7"/>
      <c r="AC146" s="7">
        <v>21</v>
      </c>
      <c r="AD146" s="52">
        <f>'הזנת נתונים'!A21</f>
        <v>241.666666666667</v>
      </c>
      <c r="AE146" s="7">
        <f t="shared" si="78"/>
        <v>153.82352941176495</v>
      </c>
      <c r="AF146" s="7"/>
      <c r="AG146" s="7"/>
      <c r="AH146" s="7"/>
      <c r="AI146" s="7"/>
      <c r="AJ146" s="7"/>
      <c r="AK146" s="7"/>
      <c r="AQ146" s="7">
        <v>21</v>
      </c>
      <c r="AR146" s="52">
        <f>'הזנת נתונים'!A21</f>
        <v>241.666666666667</v>
      </c>
      <c r="AS146" s="7">
        <f t="shared" si="79"/>
        <v>148.33333333333357</v>
      </c>
      <c r="AT146" s="7"/>
      <c r="AU146" s="7"/>
      <c r="AV146" s="7"/>
      <c r="AW146" s="7"/>
      <c r="AX146" s="7"/>
      <c r="AY146" s="7"/>
      <c r="BE146" s="7">
        <v>21</v>
      </c>
      <c r="BF146" s="52">
        <f>'הזנת נתונים'!A21</f>
        <v>241.666666666667</v>
      </c>
      <c r="BG146" s="7">
        <f t="shared" si="80"/>
        <v>142.63157894736864</v>
      </c>
      <c r="BH146" s="7"/>
      <c r="BI146" s="7"/>
      <c r="BJ146" s="7"/>
      <c r="BK146" s="7"/>
      <c r="BL146" s="7"/>
      <c r="BM146" s="7"/>
    </row>
    <row r="147" spans="1:65" x14ac:dyDescent="0.25">
      <c r="A147" s="7">
        <v>22</v>
      </c>
      <c r="B147" s="52">
        <f>'הזנת נתונים'!A22</f>
        <v>252.666666666667</v>
      </c>
      <c r="C147" s="7">
        <f t="shared" si="76"/>
        <v>175.66666666666697</v>
      </c>
      <c r="D147" s="7"/>
      <c r="E147" s="7"/>
      <c r="F147" s="7"/>
      <c r="G147" s="7"/>
      <c r="H147" s="7"/>
      <c r="I147" s="7"/>
      <c r="O147" s="7">
        <v>22</v>
      </c>
      <c r="P147" s="52">
        <f>'הזנת נתונים'!A22</f>
        <v>252.666666666667</v>
      </c>
      <c r="Q147" s="7">
        <f t="shared" si="77"/>
        <v>170.16666666666694</v>
      </c>
      <c r="R147" s="7"/>
      <c r="S147" s="7"/>
      <c r="T147" s="7"/>
      <c r="U147" s="7"/>
      <c r="V147" s="7"/>
      <c r="W147" s="7"/>
      <c r="AC147" s="7">
        <v>22</v>
      </c>
      <c r="AD147" s="52">
        <f>'הזנת נתונים'!A22</f>
        <v>252.666666666667</v>
      </c>
      <c r="AE147" s="7">
        <f t="shared" si="78"/>
        <v>164.56862745098064</v>
      </c>
      <c r="AF147" s="7"/>
      <c r="AG147" s="7"/>
      <c r="AH147" s="7"/>
      <c r="AI147" s="7"/>
      <c r="AJ147" s="7"/>
      <c r="AK147" s="7"/>
      <c r="AQ147" s="7">
        <v>22</v>
      </c>
      <c r="AR147" s="52">
        <f>'הזנת נתונים'!A22</f>
        <v>252.666666666667</v>
      </c>
      <c r="AS147" s="7">
        <f t="shared" si="79"/>
        <v>159.31481481481507</v>
      </c>
      <c r="AT147" s="7"/>
      <c r="AU147" s="7"/>
      <c r="AV147" s="7"/>
      <c r="AW147" s="7"/>
      <c r="AX147" s="7"/>
      <c r="AY147" s="7"/>
      <c r="BE147" s="7">
        <v>22</v>
      </c>
      <c r="BF147" s="52">
        <f>'הזנת נתונים'!A22</f>
        <v>252.666666666667</v>
      </c>
      <c r="BG147" s="7">
        <f t="shared" si="80"/>
        <v>153.82456140350899</v>
      </c>
      <c r="BH147" s="7"/>
      <c r="BI147" s="7"/>
      <c r="BJ147" s="7"/>
      <c r="BK147" s="7"/>
      <c r="BL147" s="7"/>
      <c r="BM147" s="7"/>
    </row>
    <row r="148" spans="1:65" x14ac:dyDescent="0.25">
      <c r="A148" s="7">
        <v>23</v>
      </c>
      <c r="B148" s="52">
        <f>'הזנת נתונים'!A23</f>
        <v>263.66666666666703</v>
      </c>
      <c r="C148" s="7">
        <f t="shared" si="76"/>
        <v>186.666666666667</v>
      </c>
      <c r="D148" s="7"/>
      <c r="E148" s="7"/>
      <c r="F148" s="7"/>
      <c r="G148" s="7"/>
      <c r="H148" s="7"/>
      <c r="I148" s="7"/>
      <c r="O148" s="7">
        <v>23</v>
      </c>
      <c r="P148" s="52">
        <f>'הזנת נתונים'!A23</f>
        <v>263.66666666666703</v>
      </c>
      <c r="Q148" s="7">
        <f t="shared" si="77"/>
        <v>181.16666666666697</v>
      </c>
      <c r="R148" s="7"/>
      <c r="S148" s="7"/>
      <c r="T148" s="7"/>
      <c r="U148" s="7"/>
      <c r="V148" s="7"/>
      <c r="W148" s="7"/>
      <c r="AC148" s="7">
        <v>23</v>
      </c>
      <c r="AD148" s="52">
        <f>'הזנת נתונים'!A23</f>
        <v>263.66666666666703</v>
      </c>
      <c r="AE148" s="7">
        <f t="shared" si="78"/>
        <v>175.66666666666694</v>
      </c>
      <c r="AF148" s="7"/>
      <c r="AG148" s="7"/>
      <c r="AH148" s="7"/>
      <c r="AI148" s="7"/>
      <c r="AJ148" s="7"/>
      <c r="AK148" s="7"/>
      <c r="AQ148" s="7">
        <v>23</v>
      </c>
      <c r="AR148" s="52">
        <f>'הזנת נתונים'!A23</f>
        <v>263.66666666666703</v>
      </c>
      <c r="AS148" s="7">
        <f t="shared" si="79"/>
        <v>170.07407407407433</v>
      </c>
      <c r="AT148" s="7"/>
      <c r="AU148" s="7"/>
      <c r="AV148" s="7"/>
      <c r="AW148" s="7"/>
      <c r="AX148" s="7"/>
      <c r="AY148" s="7"/>
      <c r="BE148" s="7">
        <v>23</v>
      </c>
      <c r="BF148" s="52">
        <f>'הזנת נתונים'!A23</f>
        <v>263.66666666666703</v>
      </c>
      <c r="BG148" s="7">
        <f t="shared" si="80"/>
        <v>164.8070175438599</v>
      </c>
      <c r="BH148" s="7"/>
      <c r="BI148" s="7"/>
      <c r="BJ148" s="7"/>
      <c r="BK148" s="7"/>
      <c r="BL148" s="7"/>
      <c r="BM148" s="7"/>
    </row>
    <row r="149" spans="1:65" x14ac:dyDescent="0.25">
      <c r="A149" s="7">
        <v>24</v>
      </c>
      <c r="B149" s="52">
        <f>'הזנת נתונים'!A24</f>
        <v>274.66666666666703</v>
      </c>
      <c r="C149" s="7">
        <f t="shared" si="76"/>
        <v>197.666666666667</v>
      </c>
      <c r="D149" s="7"/>
      <c r="E149" s="7"/>
      <c r="F149" s="7"/>
      <c r="G149" s="7"/>
      <c r="H149" s="7"/>
      <c r="I149" s="7"/>
      <c r="O149" s="7">
        <v>24</v>
      </c>
      <c r="P149" s="52">
        <f>'הזנת נתונים'!A24</f>
        <v>274.66666666666703</v>
      </c>
      <c r="Q149" s="7">
        <f t="shared" si="77"/>
        <v>192.166666666667</v>
      </c>
      <c r="R149" s="7"/>
      <c r="S149" s="7"/>
      <c r="T149" s="7"/>
      <c r="U149" s="7"/>
      <c r="V149" s="7"/>
      <c r="W149" s="7"/>
      <c r="AC149" s="7">
        <v>24</v>
      </c>
      <c r="AD149" s="52">
        <f>'הזנת נתונים'!A24</f>
        <v>274.66666666666703</v>
      </c>
      <c r="AE149" s="7">
        <f t="shared" si="78"/>
        <v>186.66666666666697</v>
      </c>
      <c r="AF149" s="7"/>
      <c r="AG149" s="7"/>
      <c r="AH149" s="7"/>
      <c r="AI149" s="7"/>
      <c r="AJ149" s="7"/>
      <c r="AK149" s="7"/>
      <c r="AQ149" s="7">
        <v>24</v>
      </c>
      <c r="AR149" s="52">
        <f>'הזנת נתונים'!A24</f>
        <v>274.66666666666703</v>
      </c>
      <c r="AS149" s="7">
        <f t="shared" si="79"/>
        <v>181.16666666666694</v>
      </c>
      <c r="AT149" s="7"/>
      <c r="AU149" s="7"/>
      <c r="AV149" s="7"/>
      <c r="AW149" s="7"/>
      <c r="AX149" s="7"/>
      <c r="AY149" s="7"/>
      <c r="BE149" s="7">
        <v>24</v>
      </c>
      <c r="BF149" s="52">
        <f>'הזנת נתונים'!A24</f>
        <v>274.66666666666703</v>
      </c>
      <c r="BG149" s="7">
        <f t="shared" si="80"/>
        <v>175.57894736842132</v>
      </c>
      <c r="BH149" s="7"/>
      <c r="BI149" s="7"/>
      <c r="BJ149" s="7"/>
      <c r="BK149" s="7"/>
      <c r="BL149" s="7"/>
      <c r="BM149" s="7"/>
    </row>
    <row r="150" spans="1:65" x14ac:dyDescent="0.25">
      <c r="A150" s="7">
        <v>25</v>
      </c>
      <c r="B150" s="52">
        <f>'הזנת נתונים'!A25</f>
        <v>285.66666666666799</v>
      </c>
      <c r="C150" s="7">
        <f t="shared" si="76"/>
        <v>208.66666666666706</v>
      </c>
      <c r="D150" s="7"/>
      <c r="E150" s="7"/>
      <c r="F150" s="7"/>
      <c r="G150" s="7"/>
      <c r="H150" s="7"/>
      <c r="I150" s="7"/>
      <c r="O150" s="7">
        <v>25</v>
      </c>
      <c r="P150" s="52">
        <f>'הזנת נתונים'!A25</f>
        <v>285.66666666666799</v>
      </c>
      <c r="Q150" s="7">
        <f t="shared" si="77"/>
        <v>203.16666666666706</v>
      </c>
      <c r="R150" s="7"/>
      <c r="S150" s="7"/>
      <c r="T150" s="7"/>
      <c r="U150" s="7"/>
      <c r="V150" s="7"/>
      <c r="W150" s="7"/>
      <c r="AC150" s="7">
        <v>25</v>
      </c>
      <c r="AD150" s="52">
        <f>'הזנת נתונים'!A25</f>
        <v>285.66666666666799</v>
      </c>
      <c r="AE150" s="7">
        <f t="shared" si="78"/>
        <v>197.66666666666706</v>
      </c>
      <c r="AF150" s="7"/>
      <c r="AG150" s="7"/>
      <c r="AH150" s="7"/>
      <c r="AI150" s="7"/>
      <c r="AJ150" s="7"/>
      <c r="AK150" s="7"/>
      <c r="AQ150" s="7">
        <v>25</v>
      </c>
      <c r="AR150" s="52">
        <f>'הזנת נתונים'!A25</f>
        <v>285.66666666666799</v>
      </c>
      <c r="AS150" s="7">
        <f t="shared" si="79"/>
        <v>192.16666666666703</v>
      </c>
      <c r="AT150" s="7"/>
      <c r="AU150" s="7"/>
      <c r="AV150" s="7"/>
      <c r="AW150" s="7"/>
      <c r="AX150" s="7"/>
      <c r="AY150" s="7"/>
      <c r="BE150" s="7">
        <v>25</v>
      </c>
      <c r="BF150" s="52">
        <f>'הזנת נתונים'!A25</f>
        <v>285.66666666666799</v>
      </c>
      <c r="BG150" s="7">
        <f t="shared" si="80"/>
        <v>186.666666666667</v>
      </c>
      <c r="BH150" s="7"/>
      <c r="BI150" s="7"/>
      <c r="BJ150" s="7"/>
      <c r="BK150" s="7"/>
      <c r="BL150" s="7"/>
      <c r="BM150" s="7"/>
    </row>
    <row r="151" spans="1:65" x14ac:dyDescent="0.25">
      <c r="A151" s="7">
        <v>26</v>
      </c>
      <c r="B151" s="52">
        <f>'הזנת נתונים'!A26</f>
        <v>296.66666666666799</v>
      </c>
      <c r="C151" s="7">
        <f t="shared" si="76"/>
        <v>219.66666666666711</v>
      </c>
      <c r="D151" s="7"/>
      <c r="E151" s="7"/>
      <c r="F151" s="7"/>
      <c r="G151" s="7"/>
      <c r="H151" s="7"/>
      <c r="I151" s="7"/>
      <c r="O151" s="7">
        <v>26</v>
      </c>
      <c r="P151" s="52">
        <f>'הזנת נתונים'!A26</f>
        <v>296.66666666666799</v>
      </c>
      <c r="Q151" s="7">
        <f t="shared" si="77"/>
        <v>214.16666666666711</v>
      </c>
      <c r="R151" s="7"/>
      <c r="S151" s="7"/>
      <c r="T151" s="7"/>
      <c r="U151" s="7"/>
      <c r="V151" s="7"/>
      <c r="W151" s="7"/>
      <c r="AC151" s="7">
        <v>26</v>
      </c>
      <c r="AD151" s="52">
        <f>'הזנת נתונים'!A26</f>
        <v>296.66666666666799</v>
      </c>
      <c r="AE151" s="7">
        <f t="shared" si="78"/>
        <v>208.66666666666711</v>
      </c>
      <c r="AF151" s="7"/>
      <c r="AG151" s="7"/>
      <c r="AH151" s="7"/>
      <c r="AI151" s="7"/>
      <c r="AJ151" s="7"/>
      <c r="AK151" s="7"/>
      <c r="AQ151" s="7">
        <v>26</v>
      </c>
      <c r="AR151" s="52">
        <f>'הזנת נתונים'!A26</f>
        <v>296.66666666666799</v>
      </c>
      <c r="AS151" s="7">
        <f t="shared" si="79"/>
        <v>203.16666666666708</v>
      </c>
      <c r="AT151" s="7"/>
      <c r="AU151" s="7"/>
      <c r="AV151" s="7"/>
      <c r="AW151" s="7"/>
      <c r="AX151" s="7"/>
      <c r="AY151" s="7"/>
      <c r="BE151" s="7">
        <v>26</v>
      </c>
      <c r="BF151" s="52">
        <f>'הזנת נתונים'!A26</f>
        <v>296.66666666666799</v>
      </c>
      <c r="BG151" s="7">
        <f t="shared" si="80"/>
        <v>197.66666666666706</v>
      </c>
      <c r="BH151" s="7"/>
      <c r="BI151" s="7"/>
      <c r="BJ151" s="7"/>
      <c r="BK151" s="7"/>
      <c r="BL151" s="7"/>
      <c r="BM151" s="7"/>
    </row>
    <row r="152" spans="1:65" x14ac:dyDescent="0.25">
      <c r="A152" s="7">
        <v>27</v>
      </c>
      <c r="B152" s="52">
        <f>'הזנת נתונים'!A27</f>
        <v>307.66666666666799</v>
      </c>
      <c r="C152" s="7">
        <f t="shared" si="76"/>
        <v>230.66666666666717</v>
      </c>
      <c r="D152" s="7"/>
      <c r="E152" s="7"/>
      <c r="F152" s="7"/>
      <c r="G152" s="7"/>
      <c r="H152" s="7"/>
      <c r="I152" s="7"/>
      <c r="O152" s="7">
        <v>27</v>
      </c>
      <c r="P152" s="52">
        <f>'הזנת נתונים'!A27</f>
        <v>307.66666666666799</v>
      </c>
      <c r="Q152" s="7">
        <f t="shared" si="77"/>
        <v>225.16666666666717</v>
      </c>
      <c r="R152" s="7"/>
      <c r="S152" s="7"/>
      <c r="T152" s="7"/>
      <c r="U152" s="7"/>
      <c r="V152" s="7"/>
      <c r="W152" s="7"/>
      <c r="AC152" s="7">
        <v>27</v>
      </c>
      <c r="AD152" s="52">
        <f>'הזנת נתונים'!A27</f>
        <v>307.66666666666799</v>
      </c>
      <c r="AE152" s="7">
        <f t="shared" si="78"/>
        <v>219.66666666666717</v>
      </c>
      <c r="AF152" s="7"/>
      <c r="AG152" s="7"/>
      <c r="AH152" s="7"/>
      <c r="AI152" s="7"/>
      <c r="AJ152" s="7"/>
      <c r="AK152" s="7"/>
      <c r="AQ152" s="7">
        <v>27</v>
      </c>
      <c r="AR152" s="52">
        <f>'הזנת נתונים'!A27</f>
        <v>307.66666666666799</v>
      </c>
      <c r="AS152" s="7">
        <f t="shared" si="79"/>
        <v>214.16666666666714</v>
      </c>
      <c r="AT152" s="7"/>
      <c r="AU152" s="7"/>
      <c r="AV152" s="7"/>
      <c r="AW152" s="7"/>
      <c r="AX152" s="7"/>
      <c r="AY152" s="7"/>
      <c r="BE152" s="7">
        <v>27</v>
      </c>
      <c r="BF152" s="52">
        <f>'הזנת נתונים'!A27</f>
        <v>307.66666666666799</v>
      </c>
      <c r="BG152" s="7">
        <f t="shared" si="80"/>
        <v>208.66666666666714</v>
      </c>
      <c r="BH152" s="7"/>
      <c r="BI152" s="7"/>
      <c r="BJ152" s="7"/>
      <c r="BK152" s="7"/>
      <c r="BL152" s="7"/>
      <c r="BM152" s="7"/>
    </row>
    <row r="153" spans="1:65" x14ac:dyDescent="0.25">
      <c r="A153" s="7">
        <v>28</v>
      </c>
      <c r="B153" s="52">
        <f>'הזנת נתונים'!A28</f>
        <v>318.66666666666799</v>
      </c>
      <c r="C153" s="7">
        <f t="shared" si="76"/>
        <v>241.66666666666725</v>
      </c>
      <c r="D153" s="7"/>
      <c r="E153" s="7"/>
      <c r="F153" s="7"/>
      <c r="G153" s="7"/>
      <c r="H153" s="7"/>
      <c r="I153" s="7"/>
      <c r="O153" s="7">
        <v>28</v>
      </c>
      <c r="P153" s="52">
        <f>'הזנת נתונים'!A28</f>
        <v>318.66666666666799</v>
      </c>
      <c r="Q153" s="7">
        <f t="shared" si="77"/>
        <v>236.16666666666723</v>
      </c>
      <c r="R153" s="7"/>
      <c r="S153" s="7"/>
      <c r="T153" s="7"/>
      <c r="U153" s="7"/>
      <c r="V153" s="7"/>
      <c r="W153" s="7"/>
      <c r="AC153" s="7">
        <v>28</v>
      </c>
      <c r="AD153" s="52">
        <f>'הזנת נתונים'!A28</f>
        <v>318.66666666666799</v>
      </c>
      <c r="AE153" s="7">
        <f t="shared" si="78"/>
        <v>230.6666666666672</v>
      </c>
      <c r="AF153" s="7"/>
      <c r="AG153" s="7"/>
      <c r="AH153" s="7"/>
      <c r="AI153" s="7"/>
      <c r="AJ153" s="7"/>
      <c r="AK153" s="7"/>
      <c r="AQ153" s="7">
        <v>28</v>
      </c>
      <c r="AR153" s="52">
        <f>'הזנת נתונים'!A28</f>
        <v>318.66666666666799</v>
      </c>
      <c r="AS153" s="7">
        <f t="shared" si="79"/>
        <v>225.1666666666672</v>
      </c>
      <c r="AT153" s="7"/>
      <c r="AU153" s="7"/>
      <c r="AV153" s="7"/>
      <c r="AW153" s="7"/>
      <c r="AX153" s="7"/>
      <c r="AY153" s="7"/>
      <c r="BE153" s="7">
        <v>28</v>
      </c>
      <c r="BF153" s="52">
        <f>'הזנת נתונים'!A28</f>
        <v>318.66666666666799</v>
      </c>
      <c r="BG153" s="7">
        <f t="shared" si="80"/>
        <v>219.6666666666672</v>
      </c>
      <c r="BH153" s="7"/>
      <c r="BI153" s="7"/>
      <c r="BJ153" s="7"/>
      <c r="BK153" s="7"/>
      <c r="BL153" s="7"/>
      <c r="BM153" s="7"/>
    </row>
    <row r="154" spans="1:65" x14ac:dyDescent="0.25">
      <c r="A154" s="7">
        <v>29</v>
      </c>
      <c r="B154" s="52">
        <f>'הזנת נתונים'!A29</f>
        <v>329.66666666666799</v>
      </c>
      <c r="C154" s="7">
        <f t="shared" si="76"/>
        <v>252.66666666666731</v>
      </c>
      <c r="D154" s="7">
        <f>AVERAGE(C140:C154)</f>
        <v>175.7244444444448</v>
      </c>
      <c r="E154" s="7">
        <f>2*C154-D154</f>
        <v>329.60888888888985</v>
      </c>
      <c r="F154" s="7">
        <f>2*(C154-D154)/(15-1)</f>
        <v>10.991746031746073</v>
      </c>
      <c r="G154" s="7"/>
      <c r="H154" s="7"/>
      <c r="I154" s="7"/>
      <c r="O154" s="7">
        <v>29</v>
      </c>
      <c r="P154" s="52">
        <f>'הזנת נתונים'!A29</f>
        <v>329.66666666666799</v>
      </c>
      <c r="Q154" s="7">
        <f t="shared" si="77"/>
        <v>247.16666666666728</v>
      </c>
      <c r="R154" s="7"/>
      <c r="S154" s="7"/>
      <c r="T154" s="7"/>
      <c r="U154" s="7"/>
      <c r="V154" s="7"/>
      <c r="W154" s="7"/>
      <c r="AC154" s="7">
        <v>29</v>
      </c>
      <c r="AD154" s="52">
        <f>'הזנת נתונים'!A29</f>
        <v>329.66666666666799</v>
      </c>
      <c r="AE154" s="7">
        <f t="shared" si="78"/>
        <v>241.66666666666728</v>
      </c>
      <c r="AF154" s="7"/>
      <c r="AG154" s="7"/>
      <c r="AH154" s="7"/>
      <c r="AI154" s="7"/>
      <c r="AJ154" s="7"/>
      <c r="AK154" s="7"/>
      <c r="AQ154" s="7">
        <v>29</v>
      </c>
      <c r="AR154" s="52">
        <f>'הזנת נתונים'!A29</f>
        <v>329.66666666666799</v>
      </c>
      <c r="AS154" s="7">
        <f t="shared" si="79"/>
        <v>236.16666666666728</v>
      </c>
      <c r="AT154" s="7"/>
      <c r="AU154" s="7"/>
      <c r="AV154" s="7"/>
      <c r="AW154" s="7"/>
      <c r="AX154" s="7"/>
      <c r="AY154" s="7"/>
      <c r="BE154" s="7">
        <v>29</v>
      </c>
      <c r="BF154" s="52">
        <f>'הזנת נתונים'!A29</f>
        <v>329.66666666666799</v>
      </c>
      <c r="BG154" s="7">
        <f t="shared" si="80"/>
        <v>230.66666666666725</v>
      </c>
      <c r="BH154" s="7"/>
      <c r="BI154" s="7"/>
      <c r="BJ154" s="7"/>
      <c r="BK154" s="7"/>
      <c r="BL154" s="7"/>
      <c r="BM154" s="7"/>
    </row>
    <row r="155" spans="1:65" x14ac:dyDescent="0.25">
      <c r="A155" s="7">
        <v>30</v>
      </c>
      <c r="B155" s="52">
        <f>'הזנת נתונים'!A30</f>
        <v>340.66666666666799</v>
      </c>
      <c r="C155" s="7">
        <f t="shared" si="76"/>
        <v>263.66666666666737</v>
      </c>
      <c r="D155" s="7">
        <f t="shared" si="76"/>
        <v>186.68888888888927</v>
      </c>
      <c r="E155" s="7">
        <f t="shared" ref="E155:E185" si="81">2*C155-D155</f>
        <v>340.64444444444547</v>
      </c>
      <c r="F155" s="7">
        <f t="shared" ref="F155:F185" si="82">2*(C155-D155)/(15-1)</f>
        <v>10.996825396825443</v>
      </c>
      <c r="G155" s="7">
        <f>F154+E154</f>
        <v>340.60063492063591</v>
      </c>
      <c r="H155" s="7">
        <f>G155-B155</f>
        <v>-6.6031746032081173E-2</v>
      </c>
      <c r="I155" s="7">
        <f>H155^2</f>
        <v>4.3601914840452677E-3</v>
      </c>
      <c r="O155" s="7">
        <v>30</v>
      </c>
      <c r="P155" s="52">
        <f>'הזנת נתונים'!A30</f>
        <v>340.66666666666799</v>
      </c>
      <c r="Q155" s="7">
        <f t="shared" si="77"/>
        <v>258.16666666666737</v>
      </c>
      <c r="R155" s="7"/>
      <c r="S155" s="7"/>
      <c r="T155" s="7"/>
      <c r="U155" s="7"/>
      <c r="V155" s="7"/>
      <c r="W155" s="7"/>
      <c r="AC155" s="7">
        <v>30</v>
      </c>
      <c r="AD155" s="52">
        <f>'הזנת נתונים'!A30</f>
        <v>340.66666666666799</v>
      </c>
      <c r="AE155" s="7">
        <f t="shared" si="78"/>
        <v>252.66666666666734</v>
      </c>
      <c r="AF155" s="7"/>
      <c r="AG155" s="7"/>
      <c r="AH155" s="7"/>
      <c r="AI155" s="7"/>
      <c r="AJ155" s="7"/>
      <c r="AK155" s="7"/>
      <c r="AQ155" s="7">
        <v>30</v>
      </c>
      <c r="AR155" s="52">
        <f>'הזנת נתונים'!A30</f>
        <v>340.66666666666799</v>
      </c>
      <c r="AS155" s="7">
        <f t="shared" si="79"/>
        <v>247.16666666666731</v>
      </c>
      <c r="AT155" s="7"/>
      <c r="AU155" s="7"/>
      <c r="AV155" s="7"/>
      <c r="AW155" s="7"/>
      <c r="AX155" s="7"/>
      <c r="AY155" s="7"/>
      <c r="BE155" s="7">
        <v>30</v>
      </c>
      <c r="BF155" s="52">
        <f>'הזנת נתונים'!A30</f>
        <v>340.66666666666799</v>
      </c>
      <c r="BG155" s="7">
        <f t="shared" si="80"/>
        <v>241.66666666666731</v>
      </c>
      <c r="BH155" s="7"/>
      <c r="BI155" s="7"/>
      <c r="BJ155" s="7"/>
      <c r="BK155" s="7"/>
      <c r="BL155" s="7"/>
      <c r="BM155" s="7"/>
    </row>
    <row r="156" spans="1:65" x14ac:dyDescent="0.25">
      <c r="A156" s="7">
        <v>31</v>
      </c>
      <c r="B156" s="52">
        <f>'הזנת נתונים'!A31</f>
        <v>351.66666666666799</v>
      </c>
      <c r="C156" s="7">
        <f t="shared" si="76"/>
        <v>274.66666666666748</v>
      </c>
      <c r="D156" s="7">
        <f t="shared" si="76"/>
        <v>197.68148148148191</v>
      </c>
      <c r="E156" s="7">
        <f t="shared" si="81"/>
        <v>351.65185185185305</v>
      </c>
      <c r="F156" s="7">
        <f t="shared" si="82"/>
        <v>10.997883597883654</v>
      </c>
      <c r="G156" s="7">
        <f t="shared" ref="G156:G185" si="83">F155+E155</f>
        <v>351.64126984127091</v>
      </c>
      <c r="H156" s="7">
        <f t="shared" ref="H156:H185" si="84">G156-B156</f>
        <v>-2.5396825397081102E-2</v>
      </c>
      <c r="I156" s="7">
        <f t="shared" ref="I156:I185" si="85">H156^2</f>
        <v>6.4499874024982371E-4</v>
      </c>
      <c r="O156" s="7">
        <v>31</v>
      </c>
      <c r="P156" s="52">
        <f>'הזנת נתונים'!A31</f>
        <v>351.66666666666799</v>
      </c>
      <c r="Q156" s="7">
        <f t="shared" si="77"/>
        <v>269.16666666666742</v>
      </c>
      <c r="R156" s="7">
        <f>AVERAGE(Q141:Q156)</f>
        <v>186.71744791666708</v>
      </c>
      <c r="S156" s="7">
        <f>2*Q156-R156</f>
        <v>351.61588541666777</v>
      </c>
      <c r="T156" s="7">
        <f>2*(Q156-R156)/(17-1)</f>
        <v>10.306152343750043</v>
      </c>
      <c r="U156" s="7"/>
      <c r="V156" s="7"/>
      <c r="W156" s="7"/>
      <c r="AC156" s="7">
        <v>31</v>
      </c>
      <c r="AD156" s="52">
        <f>'הזנת נתונים'!A31</f>
        <v>351.66666666666799</v>
      </c>
      <c r="AE156" s="7">
        <f t="shared" si="78"/>
        <v>263.66666666666742</v>
      </c>
      <c r="AF156" s="7"/>
      <c r="AG156" s="7"/>
      <c r="AH156" s="7"/>
      <c r="AI156" s="7"/>
      <c r="AJ156" s="7"/>
      <c r="AK156" s="7"/>
      <c r="AQ156" s="7">
        <v>31</v>
      </c>
      <c r="AR156" s="52">
        <f>'הזנת נתונים'!A31</f>
        <v>351.66666666666799</v>
      </c>
      <c r="AS156" s="7">
        <f t="shared" si="79"/>
        <v>258.16666666666737</v>
      </c>
      <c r="AT156" s="7"/>
      <c r="AU156" s="7"/>
      <c r="AV156" s="7"/>
      <c r="AW156" s="7"/>
      <c r="AX156" s="7"/>
      <c r="AY156" s="7"/>
      <c r="BE156" s="7">
        <v>31</v>
      </c>
      <c r="BF156" s="52">
        <f>'הזנת נתונים'!A31</f>
        <v>351.66666666666799</v>
      </c>
      <c r="BG156" s="7">
        <f t="shared" si="80"/>
        <v>252.66666666666734</v>
      </c>
      <c r="BH156" s="7"/>
      <c r="BI156" s="7"/>
      <c r="BJ156" s="7"/>
      <c r="BK156" s="7"/>
      <c r="BL156" s="7"/>
      <c r="BM156" s="7"/>
    </row>
    <row r="157" spans="1:65" x14ac:dyDescent="0.25">
      <c r="A157" s="7">
        <v>32</v>
      </c>
      <c r="B157" s="52">
        <f>'הזנת נתונים'!A32</f>
        <v>362.66666666666799</v>
      </c>
      <c r="C157" s="7">
        <f t="shared" si="76"/>
        <v>285.66666666666754</v>
      </c>
      <c r="D157" s="7">
        <f t="shared" si="76"/>
        <v>208.68444444444492</v>
      </c>
      <c r="E157" s="7">
        <f t="shared" si="81"/>
        <v>362.64888888889016</v>
      </c>
      <c r="F157" s="7">
        <f t="shared" si="82"/>
        <v>10.997460317460375</v>
      </c>
      <c r="G157" s="7">
        <f t="shared" si="83"/>
        <v>362.64973544973668</v>
      </c>
      <c r="H157" s="7">
        <f t="shared" si="84"/>
        <v>-1.693121693131161E-2</v>
      </c>
      <c r="I157" s="7">
        <f t="shared" si="85"/>
        <v>2.8666610677513293E-4</v>
      </c>
      <c r="O157" s="7">
        <v>32</v>
      </c>
      <c r="P157" s="52">
        <f>'הזנת נתונים'!A32</f>
        <v>362.66666666666799</v>
      </c>
      <c r="Q157" s="7">
        <f t="shared" si="77"/>
        <v>280.16666666666748</v>
      </c>
      <c r="R157" s="7">
        <f t="shared" si="77"/>
        <v>197.68619791666711</v>
      </c>
      <c r="S157" s="7">
        <f t="shared" ref="S157:S185" si="86">2*Q157-R157</f>
        <v>362.64713541666788</v>
      </c>
      <c r="T157" s="7">
        <f t="shared" ref="T157:T185" si="87">2*(Q157-R157)/(17-1)</f>
        <v>10.310058593750046</v>
      </c>
      <c r="U157" s="7">
        <f>T156+S156</f>
        <v>361.92203776041782</v>
      </c>
      <c r="V157" s="7">
        <f>U157-P157</f>
        <v>-0.74462890625017053</v>
      </c>
      <c r="W157" s="7">
        <f>V157^2</f>
        <v>0.55447220802332531</v>
      </c>
      <c r="AC157" s="7">
        <v>32</v>
      </c>
      <c r="AD157" s="52">
        <f>'הזנת נתונים'!A32</f>
        <v>362.66666666666799</v>
      </c>
      <c r="AE157" s="7">
        <f t="shared" si="78"/>
        <v>274.66666666666742</v>
      </c>
      <c r="AF157" s="7"/>
      <c r="AG157" s="7"/>
      <c r="AH157" s="7"/>
      <c r="AI157" s="7"/>
      <c r="AJ157" s="7"/>
      <c r="AK157" s="7"/>
      <c r="AQ157" s="7">
        <v>32</v>
      </c>
      <c r="AR157" s="52">
        <f>'הזנת נתונים'!A32</f>
        <v>362.66666666666799</v>
      </c>
      <c r="AS157" s="7">
        <f t="shared" si="79"/>
        <v>269.16666666666742</v>
      </c>
      <c r="AT157" s="7"/>
      <c r="AU157" s="7"/>
      <c r="AV157" s="7"/>
      <c r="AW157" s="7"/>
      <c r="AX157" s="7"/>
      <c r="AY157" s="7"/>
      <c r="BE157" s="7">
        <v>32</v>
      </c>
      <c r="BF157" s="52">
        <f>'הזנת נתונים'!A32</f>
        <v>362.66666666666799</v>
      </c>
      <c r="BG157" s="7">
        <f t="shared" si="80"/>
        <v>263.66666666666742</v>
      </c>
      <c r="BH157" s="7"/>
      <c r="BI157" s="7"/>
      <c r="BJ157" s="7"/>
      <c r="BK157" s="7"/>
      <c r="BL157" s="7"/>
      <c r="BM157" s="7"/>
    </row>
    <row r="158" spans="1:65" x14ac:dyDescent="0.25">
      <c r="A158" s="7">
        <v>33</v>
      </c>
      <c r="B158" s="52">
        <f>'הזנת נתונים'!A33</f>
        <v>373.66666666666799</v>
      </c>
      <c r="C158" s="7">
        <f t="shared" si="76"/>
        <v>296.6666666666676</v>
      </c>
      <c r="D158" s="7">
        <f t="shared" si="76"/>
        <v>219.6711111111116</v>
      </c>
      <c r="E158" s="7">
        <f t="shared" si="81"/>
        <v>373.66222222222359</v>
      </c>
      <c r="F158" s="7">
        <f t="shared" si="82"/>
        <v>10.999365079365143</v>
      </c>
      <c r="G158" s="7">
        <f t="shared" si="83"/>
        <v>373.64634920635052</v>
      </c>
      <c r="H158" s="7">
        <f t="shared" si="84"/>
        <v>-2.0317460317471614E-2</v>
      </c>
      <c r="I158" s="7">
        <f t="shared" si="85"/>
        <v>4.1279919375203372E-4</v>
      </c>
      <c r="O158" s="7">
        <v>33</v>
      </c>
      <c r="P158" s="52">
        <f>'הזנת נתונים'!A33</f>
        <v>373.66666666666799</v>
      </c>
      <c r="Q158" s="7">
        <f t="shared" si="77"/>
        <v>291.16666666666754</v>
      </c>
      <c r="R158" s="7">
        <f t="shared" si="77"/>
        <v>208.67968750000045</v>
      </c>
      <c r="S158" s="7">
        <f t="shared" si="86"/>
        <v>373.65364583333462</v>
      </c>
      <c r="T158" s="7">
        <f t="shared" si="87"/>
        <v>10.310872395833385</v>
      </c>
      <c r="U158" s="7">
        <f t="shared" ref="U158:U185" si="88">T157+S157</f>
        <v>372.95719401041794</v>
      </c>
      <c r="V158" s="7">
        <f t="shared" ref="V158:V185" si="89">U158-P158</f>
        <v>-0.70947265625005684</v>
      </c>
      <c r="W158" s="7">
        <f t="shared" ref="W158:W185" si="90">V158^2</f>
        <v>0.50335144996651127</v>
      </c>
      <c r="AC158" s="7">
        <v>33</v>
      </c>
      <c r="AD158" s="52">
        <f>'הזנת נתונים'!A33</f>
        <v>373.66666666666799</v>
      </c>
      <c r="AE158" s="7">
        <f t="shared" si="78"/>
        <v>285.66666666666748</v>
      </c>
      <c r="AF158" s="7">
        <f>AVERAGE(AE142:AE158)</f>
        <v>197.71164936562906</v>
      </c>
      <c r="AG158" s="7">
        <f>2*AE158-AF158</f>
        <v>373.62168396770591</v>
      </c>
      <c r="AH158" s="7">
        <f>2*(AE158-AF158)/(17-1)</f>
        <v>10.994377162629803</v>
      </c>
      <c r="AI158" s="7"/>
      <c r="AJ158" s="7"/>
      <c r="AK158" s="7"/>
      <c r="AQ158" s="7">
        <v>33</v>
      </c>
      <c r="AR158" s="52">
        <f>'הזנת נתונים'!A33</f>
        <v>373.66666666666799</v>
      </c>
      <c r="AS158" s="7">
        <f t="shared" si="79"/>
        <v>280.16666666666748</v>
      </c>
      <c r="AT158" s="7"/>
      <c r="AU158" s="7"/>
      <c r="AV158" s="7"/>
      <c r="AW158" s="7"/>
      <c r="AX158" s="7"/>
      <c r="AY158" s="7"/>
      <c r="BE158" s="7">
        <v>33</v>
      </c>
      <c r="BF158" s="52">
        <f>'הזנת נתונים'!A33</f>
        <v>373.66666666666799</v>
      </c>
      <c r="BG158" s="7">
        <f t="shared" si="80"/>
        <v>274.66666666666742</v>
      </c>
      <c r="BH158" s="7"/>
      <c r="BI158" s="7"/>
      <c r="BJ158" s="7"/>
      <c r="BK158" s="7"/>
      <c r="BL158" s="7"/>
      <c r="BM158" s="7"/>
    </row>
    <row r="159" spans="1:65" x14ac:dyDescent="0.25">
      <c r="A159" s="7">
        <v>34</v>
      </c>
      <c r="B159" s="52">
        <f>'הזנת נתונים'!A34</f>
        <v>384.66666666666799</v>
      </c>
      <c r="C159" s="7">
        <f t="shared" si="76"/>
        <v>307.66666666666765</v>
      </c>
      <c r="D159" s="7">
        <f t="shared" si="76"/>
        <v>230.65925925925978</v>
      </c>
      <c r="E159" s="7">
        <f t="shared" si="81"/>
        <v>384.67407407407552</v>
      </c>
      <c r="F159" s="7">
        <f t="shared" si="82"/>
        <v>11.001058201058267</v>
      </c>
      <c r="G159" s="7">
        <f t="shared" si="83"/>
        <v>384.66158730158872</v>
      </c>
      <c r="H159" s="7">
        <f t="shared" si="84"/>
        <v>-5.0793650792684275E-3</v>
      </c>
      <c r="I159" s="7">
        <f t="shared" si="85"/>
        <v>2.579994960849156E-5</v>
      </c>
      <c r="O159" s="7">
        <v>34</v>
      </c>
      <c r="P159" s="52">
        <f>'הזנת נתונים'!A34</f>
        <v>384.66666666666799</v>
      </c>
      <c r="Q159" s="7">
        <f t="shared" si="77"/>
        <v>302.1666666666676</v>
      </c>
      <c r="R159" s="7">
        <f t="shared" si="77"/>
        <v>219.68229166666717</v>
      </c>
      <c r="S159" s="7">
        <f t="shared" si="86"/>
        <v>384.65104166666799</v>
      </c>
      <c r="T159" s="7">
        <f t="shared" si="87"/>
        <v>10.310546875000053</v>
      </c>
      <c r="U159" s="7">
        <f t="shared" si="88"/>
        <v>383.96451822916799</v>
      </c>
      <c r="V159" s="7">
        <f t="shared" si="89"/>
        <v>-0.7021484375</v>
      </c>
      <c r="W159" s="7">
        <f t="shared" si="90"/>
        <v>0.49301242828369141</v>
      </c>
      <c r="AC159" s="7">
        <v>34</v>
      </c>
      <c r="AD159" s="52">
        <f>'הזנת נתונים'!A34</f>
        <v>384.66666666666799</v>
      </c>
      <c r="AE159" s="7">
        <f t="shared" si="78"/>
        <v>296.66666666666754</v>
      </c>
      <c r="AF159" s="7">
        <f t="shared" si="78"/>
        <v>208.68396770472941</v>
      </c>
      <c r="AG159" s="7">
        <f t="shared" ref="AG159:AG185" si="91">2*AE159-AF159</f>
        <v>384.64936562860566</v>
      </c>
      <c r="AH159" s="7">
        <f t="shared" ref="AH159:AH185" si="92">2*(AE159-AF159)/(17-1)</f>
        <v>10.997837370242266</v>
      </c>
      <c r="AI159" s="7">
        <f>AH158+AG158</f>
        <v>384.61606113033571</v>
      </c>
      <c r="AJ159" s="7">
        <f>AI159-AD159</f>
        <v>-5.0605536332284373E-2</v>
      </c>
      <c r="AK159" s="7">
        <f>AJ159^2</f>
        <v>2.5609203074781536E-3</v>
      </c>
      <c r="AQ159" s="7">
        <v>34</v>
      </c>
      <c r="AR159" s="52">
        <f>'הזנת נתונים'!A34</f>
        <v>384.66666666666799</v>
      </c>
      <c r="AS159" s="7">
        <f t="shared" si="79"/>
        <v>291.16666666666754</v>
      </c>
      <c r="AT159" s="7"/>
      <c r="AU159" s="7"/>
      <c r="AV159" s="7"/>
      <c r="AW159" s="7"/>
      <c r="AX159" s="7"/>
      <c r="AY159" s="7"/>
      <c r="BE159" s="7">
        <v>34</v>
      </c>
      <c r="BF159" s="52">
        <f>'הזנת נתונים'!A34</f>
        <v>384.66666666666799</v>
      </c>
      <c r="BG159" s="7">
        <f t="shared" si="80"/>
        <v>285.66666666666748</v>
      </c>
      <c r="BH159" s="7"/>
      <c r="BI159" s="7"/>
      <c r="BJ159" s="7"/>
      <c r="BK159" s="7"/>
      <c r="BL159" s="7"/>
      <c r="BM159" s="7"/>
    </row>
    <row r="160" spans="1:65" x14ac:dyDescent="0.25">
      <c r="A160" s="7">
        <v>35</v>
      </c>
      <c r="B160" s="52">
        <f>'הזנת נתונים'!A35</f>
        <v>395.66666666666799</v>
      </c>
      <c r="C160" s="7">
        <f t="shared" si="76"/>
        <v>318.66666666666771</v>
      </c>
      <c r="D160" s="7">
        <f t="shared" si="76"/>
        <v>241.66666666666728</v>
      </c>
      <c r="E160" s="7">
        <f t="shared" si="81"/>
        <v>395.66666666666811</v>
      </c>
      <c r="F160" s="7">
        <f t="shared" si="82"/>
        <v>11.00000000000006</v>
      </c>
      <c r="G160" s="7">
        <f t="shared" si="83"/>
        <v>395.67513227513376</v>
      </c>
      <c r="H160" s="7">
        <f t="shared" si="84"/>
        <v>8.4656084657694919E-3</v>
      </c>
      <c r="I160" s="7">
        <f t="shared" si="85"/>
        <v>7.1666526695708085E-5</v>
      </c>
      <c r="O160" s="7">
        <v>35</v>
      </c>
      <c r="P160" s="52">
        <f>'הזנת נתונים'!A35</f>
        <v>395.66666666666799</v>
      </c>
      <c r="Q160" s="7">
        <f t="shared" si="77"/>
        <v>313.16666666666765</v>
      </c>
      <c r="R160" s="7">
        <f t="shared" si="77"/>
        <v>230.6705729166672</v>
      </c>
      <c r="S160" s="7">
        <f t="shared" si="86"/>
        <v>395.66276041666811</v>
      </c>
      <c r="T160" s="7">
        <f t="shared" si="87"/>
        <v>10.312011718750057</v>
      </c>
      <c r="U160" s="7">
        <f t="shared" si="88"/>
        <v>394.96158854166805</v>
      </c>
      <c r="V160" s="7">
        <f t="shared" si="89"/>
        <v>-0.70507812499994316</v>
      </c>
      <c r="W160" s="7">
        <f t="shared" si="90"/>
        <v>0.49713516235343547</v>
      </c>
      <c r="AC160" s="7">
        <v>35</v>
      </c>
      <c r="AD160" s="52">
        <f>'הזנת נתונים'!A35</f>
        <v>395.66666666666799</v>
      </c>
      <c r="AE160" s="7">
        <f t="shared" si="78"/>
        <v>307.6666666666676</v>
      </c>
      <c r="AF160" s="7">
        <f t="shared" si="78"/>
        <v>219.67820069204203</v>
      </c>
      <c r="AG160" s="7">
        <f t="shared" si="91"/>
        <v>395.65513264129316</v>
      </c>
      <c r="AH160" s="7">
        <f t="shared" si="92"/>
        <v>10.998558246828196</v>
      </c>
      <c r="AI160" s="7">
        <f t="shared" ref="AI160:AI185" si="93">AH159+AG159</f>
        <v>395.64720299884794</v>
      </c>
      <c r="AJ160" s="7">
        <f t="shared" ref="AJ160:AJ185" si="94">AI160-AD160</f>
        <v>-1.9463667820048158E-2</v>
      </c>
      <c r="AK160" s="7">
        <f t="shared" ref="AK160:AK185" si="95">AJ160^2</f>
        <v>3.7883436500917825E-4</v>
      </c>
      <c r="AQ160" s="7">
        <v>35</v>
      </c>
      <c r="AR160" s="52">
        <f>'הזנת נתונים'!A35</f>
        <v>395.66666666666799</v>
      </c>
      <c r="AS160" s="7">
        <f t="shared" si="79"/>
        <v>302.1666666666676</v>
      </c>
      <c r="AT160" s="7">
        <f>AVERAGE(AS143:AS160)</f>
        <v>208.70679012345727</v>
      </c>
      <c r="AU160" s="7">
        <f>2*AS160-AT160</f>
        <v>395.62654320987792</v>
      </c>
      <c r="AV160" s="7">
        <f>2*(AS160-AT160)/(18-1)</f>
        <v>10.995279593318863</v>
      </c>
      <c r="AW160" s="7"/>
      <c r="AX160" s="7"/>
      <c r="AY160" s="7"/>
      <c r="BE160" s="7">
        <v>35</v>
      </c>
      <c r="BF160" s="52">
        <f>'הזנת נתונים'!A35</f>
        <v>395.66666666666799</v>
      </c>
      <c r="BG160" s="7">
        <f t="shared" si="80"/>
        <v>296.66666666666754</v>
      </c>
      <c r="BH160" s="7"/>
      <c r="BI160" s="7"/>
      <c r="BJ160" s="7"/>
      <c r="BK160" s="7"/>
      <c r="BL160" s="7"/>
      <c r="BM160" s="7"/>
    </row>
    <row r="161" spans="1:65" x14ac:dyDescent="0.25">
      <c r="A161" s="7">
        <v>36</v>
      </c>
      <c r="B161" s="52">
        <f>'הזנת נתונים'!A36</f>
        <v>406.66666666666799</v>
      </c>
      <c r="C161" s="7">
        <f t="shared" si="76"/>
        <v>329.66666666666777</v>
      </c>
      <c r="D161" s="7">
        <f t="shared" si="76"/>
        <v>252.66666666666734</v>
      </c>
      <c r="E161" s="7">
        <f t="shared" si="81"/>
        <v>406.66666666666822</v>
      </c>
      <c r="F161" s="7">
        <f t="shared" si="82"/>
        <v>11.00000000000006</v>
      </c>
      <c r="G161" s="7">
        <f t="shared" si="83"/>
        <v>406.66666666666816</v>
      </c>
      <c r="H161" s="7">
        <f t="shared" si="84"/>
        <v>0</v>
      </c>
      <c r="I161" s="7">
        <f t="shared" si="85"/>
        <v>0</v>
      </c>
      <c r="O161" s="7">
        <v>36</v>
      </c>
      <c r="P161" s="52">
        <f>'הזנת נתונים'!A36</f>
        <v>406.66666666666799</v>
      </c>
      <c r="Q161" s="7">
        <f t="shared" si="77"/>
        <v>324.16666666666771</v>
      </c>
      <c r="R161" s="7">
        <f t="shared" si="77"/>
        <v>241.66015625000057</v>
      </c>
      <c r="S161" s="7">
        <f t="shared" si="86"/>
        <v>406.67317708333485</v>
      </c>
      <c r="T161" s="7">
        <f t="shared" si="87"/>
        <v>10.313313802083393</v>
      </c>
      <c r="U161" s="7">
        <f t="shared" si="88"/>
        <v>405.97477213541816</v>
      </c>
      <c r="V161" s="7">
        <f t="shared" si="89"/>
        <v>-0.69189453124982947</v>
      </c>
      <c r="W161" s="7">
        <f t="shared" si="90"/>
        <v>0.47871804237342125</v>
      </c>
      <c r="AC161" s="7">
        <v>36</v>
      </c>
      <c r="AD161" s="52">
        <f>'הזנת נתונים'!A36</f>
        <v>406.66666666666799</v>
      </c>
      <c r="AE161" s="7">
        <f t="shared" si="78"/>
        <v>318.66666666666765</v>
      </c>
      <c r="AF161" s="7">
        <f t="shared" si="78"/>
        <v>230.68050749711705</v>
      </c>
      <c r="AG161" s="7">
        <f t="shared" si="91"/>
        <v>406.65282583621826</v>
      </c>
      <c r="AH161" s="7">
        <f t="shared" si="92"/>
        <v>10.998269896193825</v>
      </c>
      <c r="AI161" s="7">
        <f t="shared" si="93"/>
        <v>406.65369088812133</v>
      </c>
      <c r="AJ161" s="7">
        <f t="shared" si="94"/>
        <v>-1.2975778546660877E-2</v>
      </c>
      <c r="AK161" s="7">
        <f t="shared" si="95"/>
        <v>1.6837082889198466E-4</v>
      </c>
      <c r="AQ161" s="7">
        <v>36</v>
      </c>
      <c r="AR161" s="52">
        <f>'הזנת נתונים'!A36</f>
        <v>406.66666666666799</v>
      </c>
      <c r="AS161" s="7">
        <f t="shared" si="79"/>
        <v>313.16666666666765</v>
      </c>
      <c r="AT161" s="7">
        <f t="shared" si="79"/>
        <v>219.68209876543258</v>
      </c>
      <c r="AU161" s="7">
        <f t="shared" ref="AU161:AU185" si="96">2*AS161-AT161</f>
        <v>406.65123456790275</v>
      </c>
      <c r="AV161" s="7">
        <f t="shared" ref="AV161:AV185" si="97">2*(AS161-AT161)/(18-1)</f>
        <v>10.998184458968831</v>
      </c>
      <c r="AW161" s="7">
        <f>AV160+AU160</f>
        <v>406.62182280319678</v>
      </c>
      <c r="AX161" s="7">
        <f>AW161-AR161</f>
        <v>-4.4843863471214718E-2</v>
      </c>
      <c r="AY161" s="7">
        <f>AX161^2</f>
        <v>2.0109720910249456E-3</v>
      </c>
      <c r="BE161" s="7">
        <v>36</v>
      </c>
      <c r="BF161" s="52">
        <f>'הזנת נתונים'!A36</f>
        <v>406.66666666666799</v>
      </c>
      <c r="BG161" s="7">
        <f t="shared" si="80"/>
        <v>307.6666666666676</v>
      </c>
      <c r="BH161" s="7"/>
      <c r="BI161" s="7"/>
      <c r="BJ161" s="7"/>
      <c r="BK161" s="7"/>
      <c r="BL161" s="7"/>
      <c r="BM161" s="7"/>
    </row>
    <row r="162" spans="1:65" x14ac:dyDescent="0.25">
      <c r="A162" s="7">
        <v>37</v>
      </c>
      <c r="B162" s="52">
        <f>'הזנת נתונים'!A37</f>
        <v>417.66666666666799</v>
      </c>
      <c r="C162" s="7">
        <f t="shared" si="76"/>
        <v>340.66666666666782</v>
      </c>
      <c r="D162" s="7">
        <f t="shared" si="76"/>
        <v>263.66666666666737</v>
      </c>
      <c r="E162" s="7">
        <f t="shared" si="81"/>
        <v>417.66666666666828</v>
      </c>
      <c r="F162" s="7">
        <f t="shared" si="82"/>
        <v>11.000000000000066</v>
      </c>
      <c r="G162" s="7">
        <f t="shared" si="83"/>
        <v>417.66666666666828</v>
      </c>
      <c r="H162" s="7">
        <f t="shared" si="84"/>
        <v>0</v>
      </c>
      <c r="I162" s="7">
        <f t="shared" si="85"/>
        <v>0</v>
      </c>
      <c r="O162" s="7">
        <v>37</v>
      </c>
      <c r="P162" s="52">
        <f>'הזנת נתונים'!A37</f>
        <v>417.66666666666799</v>
      </c>
      <c r="Q162" s="7">
        <f t="shared" si="77"/>
        <v>335.16666666666777</v>
      </c>
      <c r="R162" s="7">
        <f t="shared" si="77"/>
        <v>252.66666666666731</v>
      </c>
      <c r="S162" s="7">
        <f t="shared" si="86"/>
        <v>417.66666666666822</v>
      </c>
      <c r="T162" s="7">
        <f t="shared" si="87"/>
        <v>10.312500000000057</v>
      </c>
      <c r="U162" s="7">
        <f t="shared" si="88"/>
        <v>416.98649088541822</v>
      </c>
      <c r="V162" s="7">
        <f t="shared" si="89"/>
        <v>-0.68017578124977263</v>
      </c>
      <c r="W162" s="7">
        <f t="shared" si="90"/>
        <v>0.46263909339873854</v>
      </c>
      <c r="AC162" s="7">
        <v>37</v>
      </c>
      <c r="AD162" s="52">
        <f>'הזנת נתונים'!A37</f>
        <v>417.66666666666799</v>
      </c>
      <c r="AE162" s="7">
        <f t="shared" si="78"/>
        <v>329.66666666666771</v>
      </c>
      <c r="AF162" s="7">
        <f t="shared" si="78"/>
        <v>241.67012687427973</v>
      </c>
      <c r="AG162" s="7">
        <f t="shared" si="91"/>
        <v>417.66320645905569</v>
      </c>
      <c r="AH162" s="7">
        <f t="shared" si="92"/>
        <v>10.999567474048497</v>
      </c>
      <c r="AI162" s="7">
        <f t="shared" si="93"/>
        <v>417.6510957324121</v>
      </c>
      <c r="AJ162" s="7">
        <f t="shared" si="94"/>
        <v>-1.5570934255890734E-2</v>
      </c>
      <c r="AK162" s="7">
        <f t="shared" si="95"/>
        <v>2.4245399360127152E-4</v>
      </c>
      <c r="AQ162" s="7">
        <v>37</v>
      </c>
      <c r="AR162" s="52">
        <f>'הזנת נתונים'!A37</f>
        <v>417.66666666666799</v>
      </c>
      <c r="AS162" s="7">
        <f t="shared" si="79"/>
        <v>324.16666666666765</v>
      </c>
      <c r="AT162" s="7">
        <f t="shared" si="79"/>
        <v>230.67695473251084</v>
      </c>
      <c r="AU162" s="7">
        <f t="shared" si="96"/>
        <v>417.6563786008245</v>
      </c>
      <c r="AV162" s="7">
        <f t="shared" si="97"/>
        <v>10.998789639312566</v>
      </c>
      <c r="AW162" s="7">
        <f t="shared" ref="AW162:AW185" si="98">AV161+AU161</f>
        <v>417.64941902687156</v>
      </c>
      <c r="AX162" s="7">
        <f t="shared" ref="AX162:AX185" si="99">AW162-AR162</f>
        <v>-1.7247639796437397E-2</v>
      </c>
      <c r="AY162" s="7">
        <f t="shared" ref="AY162:AY185" si="100">AX162^2</f>
        <v>2.9748107854765107E-4</v>
      </c>
      <c r="BE162" s="7">
        <v>37</v>
      </c>
      <c r="BF162" s="52">
        <f>'הזנת נתונים'!A37</f>
        <v>417.66666666666799</v>
      </c>
      <c r="BG162" s="7">
        <f t="shared" si="80"/>
        <v>318.66666666666765</v>
      </c>
      <c r="BH162" s="7">
        <f>AVERAGE(BG144:BG162)</f>
        <v>219.70267774699957</v>
      </c>
      <c r="BI162" s="7">
        <f>2*BG162-BH162</f>
        <v>417.63065558633571</v>
      </c>
      <c r="BJ162" s="7">
        <f>2*(BG162-BH162)/(19-1)</f>
        <v>10.99599876885201</v>
      </c>
      <c r="BK162" s="7"/>
      <c r="BL162" s="7"/>
      <c r="BM162" s="7"/>
    </row>
    <row r="163" spans="1:65" x14ac:dyDescent="0.25">
      <c r="A163" s="7">
        <v>38</v>
      </c>
      <c r="B163" s="52">
        <f>'הזנת נתונים'!A38</f>
        <v>428.66666666666902</v>
      </c>
      <c r="C163" s="7">
        <f t="shared" si="76"/>
        <v>351.66666666666794</v>
      </c>
      <c r="D163" s="7">
        <f t="shared" si="76"/>
        <v>274.66666666666748</v>
      </c>
      <c r="E163" s="7">
        <f t="shared" si="81"/>
        <v>428.66666666666839</v>
      </c>
      <c r="F163" s="7">
        <f t="shared" si="82"/>
        <v>11.000000000000066</v>
      </c>
      <c r="G163" s="7">
        <f t="shared" si="83"/>
        <v>428.66666666666833</v>
      </c>
      <c r="H163" s="7">
        <f t="shared" si="84"/>
        <v>-6.8212102632969618E-13</v>
      </c>
      <c r="I163" s="7">
        <f t="shared" si="85"/>
        <v>4.6528909456107807E-25</v>
      </c>
      <c r="O163" s="7">
        <v>38</v>
      </c>
      <c r="P163" s="52">
        <f>'הזנת נתונים'!A38</f>
        <v>428.66666666666902</v>
      </c>
      <c r="Q163" s="7">
        <f t="shared" si="77"/>
        <v>346.16666666666788</v>
      </c>
      <c r="R163" s="7">
        <f t="shared" si="77"/>
        <v>263.66666666666737</v>
      </c>
      <c r="S163" s="7">
        <f t="shared" si="86"/>
        <v>428.66666666666839</v>
      </c>
      <c r="T163" s="7">
        <f t="shared" si="87"/>
        <v>10.312500000000064</v>
      </c>
      <c r="U163" s="7">
        <f t="shared" si="88"/>
        <v>427.97916666666828</v>
      </c>
      <c r="V163" s="7">
        <f t="shared" si="89"/>
        <v>-0.68750000000073896</v>
      </c>
      <c r="W163" s="7">
        <f t="shared" si="90"/>
        <v>0.47265625000101608</v>
      </c>
      <c r="AC163" s="7">
        <v>38</v>
      </c>
      <c r="AD163" s="52">
        <f>'הזנת נתונים'!A38</f>
        <v>428.66666666666902</v>
      </c>
      <c r="AE163" s="7">
        <f t="shared" si="78"/>
        <v>340.66666666666782</v>
      </c>
      <c r="AF163" s="7">
        <f t="shared" si="78"/>
        <v>252.66089965397993</v>
      </c>
      <c r="AG163" s="7">
        <f t="shared" si="91"/>
        <v>428.67243367935572</v>
      </c>
      <c r="AH163" s="7">
        <f t="shared" si="92"/>
        <v>11.000720876585987</v>
      </c>
      <c r="AI163" s="7">
        <f t="shared" si="93"/>
        <v>428.66277393310418</v>
      </c>
      <c r="AJ163" s="7">
        <f t="shared" si="94"/>
        <v>-3.8927335648395456E-3</v>
      </c>
      <c r="AK163" s="7">
        <f t="shared" si="95"/>
        <v>1.5153374606828397E-5</v>
      </c>
      <c r="AQ163" s="7">
        <v>38</v>
      </c>
      <c r="AR163" s="52">
        <f>'הזנת נתונים'!A38</f>
        <v>428.66666666666902</v>
      </c>
      <c r="AS163" s="7">
        <f t="shared" si="79"/>
        <v>335.16666666666777</v>
      </c>
      <c r="AT163" s="7">
        <f t="shared" si="79"/>
        <v>241.67901234567964</v>
      </c>
      <c r="AU163" s="7">
        <f t="shared" si="96"/>
        <v>428.65432098765586</v>
      </c>
      <c r="AV163" s="7">
        <f t="shared" si="97"/>
        <v>10.998547567175073</v>
      </c>
      <c r="AW163" s="7">
        <f t="shared" si="98"/>
        <v>428.65516824013707</v>
      </c>
      <c r="AX163" s="7">
        <f t="shared" si="99"/>
        <v>-1.1498426531943551E-2</v>
      </c>
      <c r="AY163" s="7">
        <f t="shared" si="100"/>
        <v>1.3221381271050339E-4</v>
      </c>
      <c r="BE163" s="7">
        <v>38</v>
      </c>
      <c r="BF163" s="52">
        <f>'הזנת נתונים'!A38</f>
        <v>428.66666666666902</v>
      </c>
      <c r="BG163" s="7">
        <f t="shared" si="80"/>
        <v>329.66666666666771</v>
      </c>
      <c r="BH163" s="7">
        <f t="shared" si="80"/>
        <v>230.6805170821797</v>
      </c>
      <c r="BI163" s="7">
        <f t="shared" ref="BI163:BI185" si="101">2*BG163-BH163</f>
        <v>428.65281625115574</v>
      </c>
      <c r="BJ163" s="7">
        <f t="shared" ref="BJ163:BJ185" si="102">2*(BG163-BH163)/(19-1)</f>
        <v>10.998461064943111</v>
      </c>
      <c r="BK163" s="7">
        <f>BJ162+BI162</f>
        <v>428.62665435518772</v>
      </c>
      <c r="BL163" s="7">
        <f>BK163-BF163</f>
        <v>-4.0012311481291363E-2</v>
      </c>
      <c r="BM163" s="7">
        <f>BL163^2</f>
        <v>1.6009850700758805E-3</v>
      </c>
    </row>
    <row r="164" spans="1:65" x14ac:dyDescent="0.25">
      <c r="A164" s="7">
        <v>39</v>
      </c>
      <c r="B164" s="52">
        <f>'הזנת נתונים'!A39</f>
        <v>439.66666666666902</v>
      </c>
      <c r="C164" s="7">
        <f t="shared" si="76"/>
        <v>362.66666666666805</v>
      </c>
      <c r="D164" s="7">
        <f t="shared" si="76"/>
        <v>285.66666666666754</v>
      </c>
      <c r="E164" s="7">
        <f t="shared" si="81"/>
        <v>439.66666666666856</v>
      </c>
      <c r="F164" s="7">
        <f t="shared" si="82"/>
        <v>11.000000000000073</v>
      </c>
      <c r="G164" s="7">
        <f t="shared" si="83"/>
        <v>439.66666666666845</v>
      </c>
      <c r="H164" s="7">
        <f t="shared" si="84"/>
        <v>-5.6843418860808015E-13</v>
      </c>
      <c r="I164" s="7">
        <f t="shared" si="85"/>
        <v>3.2311742677852644E-25</v>
      </c>
      <c r="O164" s="7">
        <v>39</v>
      </c>
      <c r="P164" s="52">
        <f>'הזנת נתונים'!A39</f>
        <v>439.66666666666902</v>
      </c>
      <c r="Q164" s="7">
        <f t="shared" si="77"/>
        <v>357.16666666666799</v>
      </c>
      <c r="R164" s="7">
        <f t="shared" si="77"/>
        <v>274.66666666666742</v>
      </c>
      <c r="S164" s="7">
        <f t="shared" si="86"/>
        <v>439.66666666666856</v>
      </c>
      <c r="T164" s="7">
        <f t="shared" si="87"/>
        <v>10.312500000000071</v>
      </c>
      <c r="U164" s="7">
        <f t="shared" si="88"/>
        <v>438.97916666666845</v>
      </c>
      <c r="V164" s="7">
        <f t="shared" si="89"/>
        <v>-0.68750000000056843</v>
      </c>
      <c r="W164" s="7">
        <f t="shared" si="90"/>
        <v>0.4726562500007816</v>
      </c>
      <c r="AC164" s="7">
        <v>39</v>
      </c>
      <c r="AD164" s="52">
        <f>'הזנת נתונים'!A39</f>
        <v>439.66666666666902</v>
      </c>
      <c r="AE164" s="7">
        <f t="shared" si="78"/>
        <v>351.66666666666794</v>
      </c>
      <c r="AF164" s="7">
        <f t="shared" si="78"/>
        <v>263.66666666666742</v>
      </c>
      <c r="AG164" s="7">
        <f t="shared" si="91"/>
        <v>439.66666666666845</v>
      </c>
      <c r="AH164" s="7">
        <f t="shared" si="92"/>
        <v>11.000000000000064</v>
      </c>
      <c r="AI164" s="7">
        <f t="shared" si="93"/>
        <v>439.67315455594172</v>
      </c>
      <c r="AJ164" s="7">
        <f t="shared" si="94"/>
        <v>6.4878892727051607E-3</v>
      </c>
      <c r="AK164" s="7">
        <f t="shared" si="95"/>
        <v>4.2092707214882701E-5</v>
      </c>
      <c r="AQ164" s="7">
        <v>39</v>
      </c>
      <c r="AR164" s="52">
        <f>'הזנת נתונים'!A39</f>
        <v>439.66666666666902</v>
      </c>
      <c r="AS164" s="7">
        <f t="shared" si="79"/>
        <v>346.16666666666788</v>
      </c>
      <c r="AT164" s="7">
        <f t="shared" si="79"/>
        <v>252.66975308642043</v>
      </c>
      <c r="AU164" s="7">
        <f t="shared" si="96"/>
        <v>439.66358024691533</v>
      </c>
      <c r="AV164" s="7">
        <f t="shared" si="97"/>
        <v>10.999636891793818</v>
      </c>
      <c r="AW164" s="7">
        <f t="shared" si="98"/>
        <v>439.65286855483095</v>
      </c>
      <c r="AX164" s="7">
        <f t="shared" si="99"/>
        <v>-1.3798111838070781E-2</v>
      </c>
      <c r="AY164" s="7">
        <f t="shared" si="100"/>
        <v>1.9038789029590902E-4</v>
      </c>
      <c r="BE164" s="7">
        <v>39</v>
      </c>
      <c r="BF164" s="52">
        <f>'הזנת נתונים'!A39</f>
        <v>439.66666666666902</v>
      </c>
      <c r="BG164" s="7">
        <f t="shared" si="80"/>
        <v>340.66666666666782</v>
      </c>
      <c r="BH164" s="7">
        <f t="shared" si="80"/>
        <v>241.67590027700891</v>
      </c>
      <c r="BI164" s="7">
        <f t="shared" si="101"/>
        <v>439.65743305632674</v>
      </c>
      <c r="BJ164" s="7">
        <f t="shared" si="102"/>
        <v>10.998974043295435</v>
      </c>
      <c r="BK164" s="7">
        <f t="shared" ref="BK164:BK185" si="103">BJ163+BI163</f>
        <v>439.65127731609886</v>
      </c>
      <c r="BL164" s="7">
        <f t="shared" ref="BL164:BL185" si="104">BK164-BF164</f>
        <v>-1.5389350570160332E-2</v>
      </c>
      <c r="BM164" s="7">
        <f t="shared" ref="BM164:BM185" si="105">BL164^2</f>
        <v>2.3683211097129414E-4</v>
      </c>
    </row>
    <row r="165" spans="1:65" x14ac:dyDescent="0.25">
      <c r="A165" s="7">
        <v>40</v>
      </c>
      <c r="B165" s="52">
        <f>'הזנת נתונים'!A40</f>
        <v>450.66666666666902</v>
      </c>
      <c r="C165" s="7">
        <f t="shared" si="76"/>
        <v>373.66666666666811</v>
      </c>
      <c r="D165" s="7">
        <f t="shared" si="76"/>
        <v>296.6666666666676</v>
      </c>
      <c r="E165" s="7">
        <f t="shared" si="81"/>
        <v>450.66666666666862</v>
      </c>
      <c r="F165" s="7">
        <f t="shared" si="82"/>
        <v>11.000000000000073</v>
      </c>
      <c r="G165" s="7">
        <f t="shared" si="83"/>
        <v>450.66666666666862</v>
      </c>
      <c r="H165" s="7">
        <f t="shared" si="84"/>
        <v>0</v>
      </c>
      <c r="I165" s="7">
        <f t="shared" si="85"/>
        <v>0</v>
      </c>
      <c r="O165" s="7">
        <v>40</v>
      </c>
      <c r="P165" s="52">
        <f>'הזנת נתונים'!A40</f>
        <v>450.66666666666902</v>
      </c>
      <c r="Q165" s="7">
        <f t="shared" si="77"/>
        <v>368.16666666666811</v>
      </c>
      <c r="R165" s="7">
        <f t="shared" si="77"/>
        <v>285.66666666666748</v>
      </c>
      <c r="S165" s="7">
        <f t="shared" si="86"/>
        <v>450.66666666666873</v>
      </c>
      <c r="T165" s="7">
        <f t="shared" si="87"/>
        <v>10.312500000000078</v>
      </c>
      <c r="U165" s="7">
        <f t="shared" si="88"/>
        <v>449.97916666666862</v>
      </c>
      <c r="V165" s="7">
        <f t="shared" si="89"/>
        <v>-0.6875000000003979</v>
      </c>
      <c r="W165" s="7">
        <f t="shared" si="90"/>
        <v>0.47265625000054712</v>
      </c>
      <c r="AC165" s="7">
        <v>40</v>
      </c>
      <c r="AD165" s="52">
        <f>'הזנת נתונים'!A40</f>
        <v>450.66666666666902</v>
      </c>
      <c r="AE165" s="7">
        <f t="shared" si="78"/>
        <v>362.66666666666805</v>
      </c>
      <c r="AF165" s="7">
        <f t="shared" si="78"/>
        <v>274.66666666666742</v>
      </c>
      <c r="AG165" s="7">
        <f t="shared" si="91"/>
        <v>450.66666666666868</v>
      </c>
      <c r="AH165" s="7">
        <f t="shared" si="92"/>
        <v>11.000000000000078</v>
      </c>
      <c r="AI165" s="7">
        <f t="shared" si="93"/>
        <v>450.6666666666685</v>
      </c>
      <c r="AJ165" s="7">
        <f t="shared" si="94"/>
        <v>-5.1159076974727213E-13</v>
      </c>
      <c r="AK165" s="7">
        <f t="shared" si="95"/>
        <v>2.6172511569060641E-25</v>
      </c>
      <c r="AQ165" s="7">
        <v>40</v>
      </c>
      <c r="AR165" s="52">
        <f>'הזנת נתונים'!A40</f>
        <v>450.66666666666902</v>
      </c>
      <c r="AS165" s="7">
        <f t="shared" si="79"/>
        <v>357.16666666666799</v>
      </c>
      <c r="AT165" s="7">
        <f t="shared" si="79"/>
        <v>263.66152263374556</v>
      </c>
      <c r="AU165" s="7">
        <f t="shared" si="96"/>
        <v>450.67181069959042</v>
      </c>
      <c r="AV165" s="7">
        <f t="shared" si="97"/>
        <v>11.000605180343815</v>
      </c>
      <c r="AW165" s="7">
        <f t="shared" si="98"/>
        <v>450.66321713870917</v>
      </c>
      <c r="AX165" s="7">
        <f t="shared" si="99"/>
        <v>-3.449527959844545E-3</v>
      </c>
      <c r="AY165" s="7">
        <f t="shared" si="100"/>
        <v>1.1899243145749268E-5</v>
      </c>
      <c r="BE165" s="7">
        <v>40</v>
      </c>
      <c r="BF165" s="52">
        <f>'הזנת נתונים'!A40</f>
        <v>450.66666666666902</v>
      </c>
      <c r="BG165" s="7">
        <f t="shared" si="80"/>
        <v>351.66666666666794</v>
      </c>
      <c r="BH165" s="7">
        <f t="shared" si="80"/>
        <v>252.6777469990773</v>
      </c>
      <c r="BI165" s="7">
        <f t="shared" si="101"/>
        <v>450.6555863342586</v>
      </c>
      <c r="BJ165" s="7">
        <f t="shared" si="102"/>
        <v>10.998768851954516</v>
      </c>
      <c r="BK165" s="7">
        <f t="shared" si="103"/>
        <v>450.65640709962219</v>
      </c>
      <c r="BL165" s="7">
        <f t="shared" si="104"/>
        <v>-1.0259567046830398E-2</v>
      </c>
      <c r="BM165" s="7">
        <f t="shared" si="105"/>
        <v>1.0525871598840821E-4</v>
      </c>
    </row>
    <row r="166" spans="1:65" x14ac:dyDescent="0.25">
      <c r="A166" s="7">
        <v>41</v>
      </c>
      <c r="B166" s="52">
        <f>'הזנת נתונים'!A41</f>
        <v>461.66666666666902</v>
      </c>
      <c r="C166" s="7">
        <f t="shared" si="76"/>
        <v>384.66666666666816</v>
      </c>
      <c r="D166" s="7">
        <f t="shared" si="76"/>
        <v>307.66666666666765</v>
      </c>
      <c r="E166" s="7">
        <f t="shared" si="81"/>
        <v>461.66666666666868</v>
      </c>
      <c r="F166" s="7">
        <f t="shared" si="82"/>
        <v>11.000000000000073</v>
      </c>
      <c r="G166" s="7">
        <f t="shared" si="83"/>
        <v>461.66666666666868</v>
      </c>
      <c r="H166" s="7">
        <f t="shared" si="84"/>
        <v>0</v>
      </c>
      <c r="I166" s="7">
        <f t="shared" si="85"/>
        <v>0</v>
      </c>
      <c r="O166" s="7">
        <v>41</v>
      </c>
      <c r="P166" s="52">
        <f>'הזנת נתונים'!A41</f>
        <v>461.66666666666902</v>
      </c>
      <c r="Q166" s="7">
        <f t="shared" si="77"/>
        <v>379.16666666666816</v>
      </c>
      <c r="R166" s="7">
        <f t="shared" si="77"/>
        <v>296.66666666666754</v>
      </c>
      <c r="S166" s="7">
        <f t="shared" si="86"/>
        <v>461.66666666666879</v>
      </c>
      <c r="T166" s="7">
        <f t="shared" si="87"/>
        <v>10.312500000000078</v>
      </c>
      <c r="U166" s="7">
        <f t="shared" si="88"/>
        <v>460.97916666666879</v>
      </c>
      <c r="V166" s="7">
        <f t="shared" si="89"/>
        <v>-0.68750000000022737</v>
      </c>
      <c r="W166" s="7">
        <f t="shared" si="90"/>
        <v>0.47265625000031264</v>
      </c>
      <c r="AC166" s="7">
        <v>41</v>
      </c>
      <c r="AD166" s="52">
        <f>'הזנת נתונים'!A41</f>
        <v>461.66666666666902</v>
      </c>
      <c r="AE166" s="7">
        <f t="shared" si="78"/>
        <v>373.66666666666816</v>
      </c>
      <c r="AF166" s="7">
        <f t="shared" si="78"/>
        <v>285.66666666666748</v>
      </c>
      <c r="AG166" s="7">
        <f t="shared" si="91"/>
        <v>461.66666666666885</v>
      </c>
      <c r="AH166" s="7">
        <f t="shared" si="92"/>
        <v>11.000000000000085</v>
      </c>
      <c r="AI166" s="7">
        <f t="shared" si="93"/>
        <v>461.66666666666873</v>
      </c>
      <c r="AJ166" s="7">
        <f t="shared" si="94"/>
        <v>0</v>
      </c>
      <c r="AK166" s="7">
        <f t="shared" si="95"/>
        <v>0</v>
      </c>
      <c r="AQ166" s="7">
        <v>41</v>
      </c>
      <c r="AR166" s="52">
        <f>'הזנת נתונים'!A41</f>
        <v>461.66666666666902</v>
      </c>
      <c r="AS166" s="7">
        <f t="shared" si="79"/>
        <v>368.16666666666811</v>
      </c>
      <c r="AT166" s="7">
        <f t="shared" si="79"/>
        <v>274.66666666666742</v>
      </c>
      <c r="AU166" s="7">
        <f t="shared" si="96"/>
        <v>461.66666666666879</v>
      </c>
      <c r="AV166" s="7">
        <f t="shared" si="97"/>
        <v>11.00000000000008</v>
      </c>
      <c r="AW166" s="7">
        <f t="shared" si="98"/>
        <v>461.67241587993425</v>
      </c>
      <c r="AX166" s="7">
        <f t="shared" si="99"/>
        <v>5.749213265232811E-3</v>
      </c>
      <c r="AY166" s="7">
        <f t="shared" si="100"/>
        <v>3.3053453169128921E-5</v>
      </c>
      <c r="BE166" s="7">
        <v>41</v>
      </c>
      <c r="BF166" s="52">
        <f>'הזנת נתונים'!A41</f>
        <v>461.66666666666902</v>
      </c>
      <c r="BG166" s="7">
        <f t="shared" si="80"/>
        <v>362.66666666666805</v>
      </c>
      <c r="BH166" s="7">
        <f t="shared" si="80"/>
        <v>263.66943674976989</v>
      </c>
      <c r="BI166" s="7">
        <f t="shared" si="101"/>
        <v>461.66389658356621</v>
      </c>
      <c r="BJ166" s="7">
        <f t="shared" si="102"/>
        <v>10.999692212988684</v>
      </c>
      <c r="BK166" s="7">
        <f t="shared" si="103"/>
        <v>461.65435518621314</v>
      </c>
      <c r="BL166" s="7">
        <f t="shared" si="104"/>
        <v>-1.2311480455878154E-2</v>
      </c>
      <c r="BM166" s="7">
        <f t="shared" si="105"/>
        <v>1.5157255101546976E-4</v>
      </c>
    </row>
    <row r="167" spans="1:65" x14ac:dyDescent="0.25">
      <c r="A167" s="7">
        <v>42</v>
      </c>
      <c r="B167" s="52">
        <f>'הזנת נתונים'!A42</f>
        <v>472.66666666666902</v>
      </c>
      <c r="C167" s="7">
        <f t="shared" si="76"/>
        <v>395.66666666666822</v>
      </c>
      <c r="D167" s="7">
        <f t="shared" si="76"/>
        <v>318.66666666666771</v>
      </c>
      <c r="E167" s="7">
        <f t="shared" si="81"/>
        <v>472.66666666666873</v>
      </c>
      <c r="F167" s="7">
        <f t="shared" si="82"/>
        <v>11.000000000000073</v>
      </c>
      <c r="G167" s="7">
        <f t="shared" si="83"/>
        <v>472.66666666666873</v>
      </c>
      <c r="H167" s="7">
        <f t="shared" si="84"/>
        <v>0</v>
      </c>
      <c r="I167" s="7">
        <f t="shared" si="85"/>
        <v>0</v>
      </c>
      <c r="O167" s="7">
        <v>42</v>
      </c>
      <c r="P167" s="52">
        <f>'הזנת נתונים'!A42</f>
        <v>472.66666666666902</v>
      </c>
      <c r="Q167" s="7">
        <f t="shared" si="77"/>
        <v>390.16666666666822</v>
      </c>
      <c r="R167" s="7">
        <f t="shared" si="77"/>
        <v>307.6666666666676</v>
      </c>
      <c r="S167" s="7">
        <f t="shared" si="86"/>
        <v>472.66666666666885</v>
      </c>
      <c r="T167" s="7">
        <f t="shared" si="87"/>
        <v>10.312500000000078</v>
      </c>
      <c r="U167" s="7">
        <f t="shared" si="88"/>
        <v>471.97916666666885</v>
      </c>
      <c r="V167" s="7">
        <f t="shared" si="89"/>
        <v>-0.68750000000017053</v>
      </c>
      <c r="W167" s="7">
        <f t="shared" si="90"/>
        <v>0.47265625000023448</v>
      </c>
      <c r="AC167" s="7">
        <v>42</v>
      </c>
      <c r="AD167" s="52">
        <f>'הזנת נתונים'!A42</f>
        <v>472.66666666666902</v>
      </c>
      <c r="AE167" s="7">
        <f t="shared" si="78"/>
        <v>384.66666666666822</v>
      </c>
      <c r="AF167" s="7">
        <f t="shared" si="78"/>
        <v>296.66666666666754</v>
      </c>
      <c r="AG167" s="7">
        <f t="shared" si="91"/>
        <v>472.6666666666689</v>
      </c>
      <c r="AH167" s="7">
        <f t="shared" si="92"/>
        <v>11.000000000000085</v>
      </c>
      <c r="AI167" s="7">
        <f t="shared" si="93"/>
        <v>472.6666666666689</v>
      </c>
      <c r="AJ167" s="7">
        <f t="shared" si="94"/>
        <v>0</v>
      </c>
      <c r="AK167" s="7">
        <f t="shared" si="95"/>
        <v>0</v>
      </c>
      <c r="AQ167" s="7">
        <v>42</v>
      </c>
      <c r="AR167" s="52">
        <f>'הזנת נתונים'!A42</f>
        <v>472.66666666666902</v>
      </c>
      <c r="AS167" s="7">
        <f t="shared" si="79"/>
        <v>379.16666666666816</v>
      </c>
      <c r="AT167" s="7">
        <f t="shared" si="79"/>
        <v>285.66666666666754</v>
      </c>
      <c r="AU167" s="7">
        <f t="shared" si="96"/>
        <v>472.66666666666879</v>
      </c>
      <c r="AV167" s="7">
        <f t="shared" si="97"/>
        <v>11.000000000000073</v>
      </c>
      <c r="AW167" s="7">
        <f t="shared" si="98"/>
        <v>472.66666666666885</v>
      </c>
      <c r="AX167" s="7">
        <f t="shared" si="99"/>
        <v>0</v>
      </c>
      <c r="AY167" s="7">
        <f t="shared" si="100"/>
        <v>0</v>
      </c>
      <c r="BE167" s="7">
        <v>42</v>
      </c>
      <c r="BF167" s="52">
        <f>'הזנת נתונים'!A42</f>
        <v>472.66666666666902</v>
      </c>
      <c r="BG167" s="7">
        <f t="shared" si="80"/>
        <v>373.66666666666811</v>
      </c>
      <c r="BH167" s="7">
        <f t="shared" si="80"/>
        <v>274.66204986149666</v>
      </c>
      <c r="BI167" s="7">
        <f t="shared" si="101"/>
        <v>472.67128347183956</v>
      </c>
      <c r="BJ167" s="7">
        <f t="shared" si="102"/>
        <v>11.000512978352383</v>
      </c>
      <c r="BK167" s="7">
        <f t="shared" si="103"/>
        <v>472.6635887965549</v>
      </c>
      <c r="BL167" s="7">
        <f t="shared" si="104"/>
        <v>-3.0778701141116471E-3</v>
      </c>
      <c r="BM167" s="7">
        <f t="shared" si="105"/>
        <v>9.4732844393416435E-6</v>
      </c>
    </row>
    <row r="168" spans="1:65" x14ac:dyDescent="0.25">
      <c r="A168" s="7">
        <v>43</v>
      </c>
      <c r="B168" s="52">
        <f>'הזנת נתונים'!A43</f>
        <v>483.66666666666902</v>
      </c>
      <c r="C168" s="7">
        <f t="shared" si="76"/>
        <v>406.66666666666828</v>
      </c>
      <c r="D168" s="7">
        <f t="shared" si="76"/>
        <v>329.66666666666771</v>
      </c>
      <c r="E168" s="7">
        <f t="shared" si="81"/>
        <v>483.66666666666885</v>
      </c>
      <c r="F168" s="7">
        <f t="shared" si="82"/>
        <v>11.000000000000082</v>
      </c>
      <c r="G168" s="7">
        <f t="shared" si="83"/>
        <v>483.66666666666879</v>
      </c>
      <c r="H168" s="7">
        <f t="shared" si="84"/>
        <v>0</v>
      </c>
      <c r="I168" s="7">
        <f t="shared" si="85"/>
        <v>0</v>
      </c>
      <c r="O168" s="7">
        <v>43</v>
      </c>
      <c r="P168" s="52">
        <f>'הזנת נתונים'!A43</f>
        <v>483.66666666666902</v>
      </c>
      <c r="Q168" s="7">
        <f t="shared" si="77"/>
        <v>401.16666666666828</v>
      </c>
      <c r="R168" s="7">
        <f t="shared" si="77"/>
        <v>318.66666666666765</v>
      </c>
      <c r="S168" s="7">
        <f t="shared" si="86"/>
        <v>483.6666666666689</v>
      </c>
      <c r="T168" s="7">
        <f t="shared" si="87"/>
        <v>10.312500000000078</v>
      </c>
      <c r="U168" s="7">
        <f t="shared" si="88"/>
        <v>482.9791666666689</v>
      </c>
      <c r="V168" s="7">
        <f t="shared" si="89"/>
        <v>-0.68750000000011369</v>
      </c>
      <c r="W168" s="7">
        <f t="shared" si="90"/>
        <v>0.47265625000015632</v>
      </c>
      <c r="AC168" s="7">
        <v>43</v>
      </c>
      <c r="AD168" s="52">
        <f>'הזנת נתונים'!A43</f>
        <v>483.66666666666902</v>
      </c>
      <c r="AE168" s="7">
        <f t="shared" si="78"/>
        <v>395.66666666666828</v>
      </c>
      <c r="AF168" s="7">
        <f t="shared" si="78"/>
        <v>307.6666666666676</v>
      </c>
      <c r="AG168" s="7">
        <f t="shared" si="91"/>
        <v>483.66666666666896</v>
      </c>
      <c r="AH168" s="7">
        <f t="shared" si="92"/>
        <v>11.000000000000085</v>
      </c>
      <c r="AI168" s="7">
        <f t="shared" si="93"/>
        <v>483.66666666666902</v>
      </c>
      <c r="AJ168" s="7">
        <f t="shared" si="94"/>
        <v>0</v>
      </c>
      <c r="AK168" s="7">
        <f t="shared" si="95"/>
        <v>0</v>
      </c>
      <c r="AQ168" s="7">
        <v>43</v>
      </c>
      <c r="AR168" s="52">
        <f>'הזנת נתונים'!A43</f>
        <v>483.66666666666902</v>
      </c>
      <c r="AS168" s="7">
        <f t="shared" si="79"/>
        <v>390.16666666666822</v>
      </c>
      <c r="AT168" s="7">
        <f t="shared" si="79"/>
        <v>296.6666666666676</v>
      </c>
      <c r="AU168" s="7">
        <f t="shared" si="96"/>
        <v>483.66666666666885</v>
      </c>
      <c r="AV168" s="7">
        <f t="shared" si="97"/>
        <v>11.000000000000073</v>
      </c>
      <c r="AW168" s="7">
        <f t="shared" si="98"/>
        <v>483.66666666666885</v>
      </c>
      <c r="AX168" s="7">
        <f t="shared" si="99"/>
        <v>0</v>
      </c>
      <c r="AY168" s="7">
        <f t="shared" si="100"/>
        <v>0</v>
      </c>
      <c r="BE168" s="7">
        <v>43</v>
      </c>
      <c r="BF168" s="52">
        <f>'הזנת נתונים'!A43</f>
        <v>483.66666666666902</v>
      </c>
      <c r="BG168" s="7">
        <f t="shared" si="80"/>
        <v>384.66666666666822</v>
      </c>
      <c r="BH168" s="7">
        <f t="shared" si="80"/>
        <v>285.66666666666748</v>
      </c>
      <c r="BI168" s="7">
        <f t="shared" si="101"/>
        <v>483.66666666666896</v>
      </c>
      <c r="BJ168" s="7">
        <f t="shared" si="102"/>
        <v>11.000000000000082</v>
      </c>
      <c r="BK168" s="7">
        <f t="shared" si="103"/>
        <v>483.67179645019195</v>
      </c>
      <c r="BL168" s="7">
        <f t="shared" si="104"/>
        <v>5.1297835229320299E-3</v>
      </c>
      <c r="BM168" s="7">
        <f t="shared" si="105"/>
        <v>2.6314678992144948E-5</v>
      </c>
    </row>
    <row r="169" spans="1:65" x14ac:dyDescent="0.25">
      <c r="A169" s="7">
        <v>44</v>
      </c>
      <c r="B169" s="52">
        <f>'הזנת נתונים'!A44</f>
        <v>494.66666666666902</v>
      </c>
      <c r="C169" s="7">
        <f t="shared" si="76"/>
        <v>417.66666666666839</v>
      </c>
      <c r="D169" s="7">
        <f t="shared" si="76"/>
        <v>340.66666666666788</v>
      </c>
      <c r="E169" s="7">
        <f t="shared" si="81"/>
        <v>494.6666666666689</v>
      </c>
      <c r="F169" s="7">
        <f t="shared" si="82"/>
        <v>11.000000000000073</v>
      </c>
      <c r="G169" s="7">
        <f t="shared" si="83"/>
        <v>494.6666666666689</v>
      </c>
      <c r="H169" s="7">
        <f t="shared" si="84"/>
        <v>0</v>
      </c>
      <c r="I169" s="7">
        <f t="shared" si="85"/>
        <v>0</v>
      </c>
      <c r="O169" s="7">
        <v>44</v>
      </c>
      <c r="P169" s="52">
        <f>'הזנת נתונים'!A44</f>
        <v>494.66666666666902</v>
      </c>
      <c r="Q169" s="7">
        <f t="shared" si="77"/>
        <v>412.16666666666833</v>
      </c>
      <c r="R169" s="7">
        <f t="shared" si="77"/>
        <v>329.66666666666777</v>
      </c>
      <c r="S169" s="7">
        <f t="shared" si="86"/>
        <v>494.6666666666689</v>
      </c>
      <c r="T169" s="7">
        <f t="shared" si="87"/>
        <v>10.312500000000071</v>
      </c>
      <c r="U169" s="7">
        <f t="shared" si="88"/>
        <v>493.97916666666896</v>
      </c>
      <c r="V169" s="7">
        <f t="shared" si="89"/>
        <v>-0.68750000000005684</v>
      </c>
      <c r="W169" s="7">
        <f t="shared" si="90"/>
        <v>0.47265625000007816</v>
      </c>
      <c r="AC169" s="7">
        <v>44</v>
      </c>
      <c r="AD169" s="52">
        <f>'הזנת נתונים'!A44</f>
        <v>494.66666666666902</v>
      </c>
      <c r="AE169" s="7">
        <f t="shared" si="78"/>
        <v>406.66666666666833</v>
      </c>
      <c r="AF169" s="7">
        <f t="shared" si="78"/>
        <v>318.66666666666765</v>
      </c>
      <c r="AG169" s="7">
        <f t="shared" si="91"/>
        <v>494.66666666666902</v>
      </c>
      <c r="AH169" s="7">
        <f t="shared" si="92"/>
        <v>11.000000000000085</v>
      </c>
      <c r="AI169" s="7">
        <f t="shared" si="93"/>
        <v>494.66666666666902</v>
      </c>
      <c r="AJ169" s="7">
        <f t="shared" si="94"/>
        <v>0</v>
      </c>
      <c r="AK169" s="7">
        <f t="shared" si="95"/>
        <v>0</v>
      </c>
      <c r="AQ169" s="7">
        <v>44</v>
      </c>
      <c r="AR169" s="52">
        <f>'הזנת נתונים'!A44</f>
        <v>494.66666666666902</v>
      </c>
      <c r="AS169" s="7">
        <f t="shared" si="79"/>
        <v>401.16666666666828</v>
      </c>
      <c r="AT169" s="7">
        <f t="shared" si="79"/>
        <v>307.6666666666676</v>
      </c>
      <c r="AU169" s="7">
        <f t="shared" si="96"/>
        <v>494.66666666666896</v>
      </c>
      <c r="AV169" s="7">
        <f t="shared" si="97"/>
        <v>11.00000000000008</v>
      </c>
      <c r="AW169" s="7">
        <f t="shared" si="98"/>
        <v>494.6666666666689</v>
      </c>
      <c r="AX169" s="7">
        <f t="shared" si="99"/>
        <v>0</v>
      </c>
      <c r="AY169" s="7">
        <f t="shared" si="100"/>
        <v>0</v>
      </c>
      <c r="BE169" s="7">
        <v>44</v>
      </c>
      <c r="BF169" s="52">
        <f>'הזנת נתונים'!A44</f>
        <v>494.66666666666902</v>
      </c>
      <c r="BG169" s="7">
        <f t="shared" si="80"/>
        <v>395.66666666666828</v>
      </c>
      <c r="BH169" s="7">
        <f t="shared" si="80"/>
        <v>296.66666666666754</v>
      </c>
      <c r="BI169" s="7">
        <f t="shared" si="101"/>
        <v>494.66666666666902</v>
      </c>
      <c r="BJ169" s="7">
        <f t="shared" si="102"/>
        <v>11.000000000000082</v>
      </c>
      <c r="BK169" s="7">
        <f t="shared" si="103"/>
        <v>494.66666666666902</v>
      </c>
      <c r="BL169" s="7">
        <f t="shared" si="104"/>
        <v>0</v>
      </c>
      <c r="BM169" s="7">
        <f t="shared" si="105"/>
        <v>0</v>
      </c>
    </row>
    <row r="170" spans="1:65" x14ac:dyDescent="0.25">
      <c r="A170" s="7">
        <v>45</v>
      </c>
      <c r="B170" s="52">
        <f>'הזנת נתונים'!A45</f>
        <v>505.66666666666799</v>
      </c>
      <c r="C170" s="7">
        <f t="shared" si="76"/>
        <v>428.66666666666839</v>
      </c>
      <c r="D170" s="7">
        <f t="shared" si="76"/>
        <v>351.66666666666799</v>
      </c>
      <c r="E170" s="7">
        <f t="shared" si="81"/>
        <v>505.66666666666879</v>
      </c>
      <c r="F170" s="7">
        <f t="shared" si="82"/>
        <v>11.000000000000057</v>
      </c>
      <c r="G170" s="7">
        <f t="shared" si="83"/>
        <v>505.66666666666896</v>
      </c>
      <c r="H170" s="7">
        <f t="shared" si="84"/>
        <v>9.6633812063373625E-13</v>
      </c>
      <c r="I170" s="7">
        <f t="shared" si="85"/>
        <v>9.338093633899414E-25</v>
      </c>
      <c r="O170" s="7">
        <v>45</v>
      </c>
      <c r="P170" s="52">
        <f>'הזנת נתונים'!A45</f>
        <v>505.66666666666799</v>
      </c>
      <c r="Q170" s="7">
        <f t="shared" si="77"/>
        <v>423.16666666666833</v>
      </c>
      <c r="R170" s="7">
        <f t="shared" si="77"/>
        <v>340.66666666666777</v>
      </c>
      <c r="S170" s="7">
        <f t="shared" si="86"/>
        <v>505.6666666666689</v>
      </c>
      <c r="T170" s="7">
        <f t="shared" si="87"/>
        <v>10.312500000000071</v>
      </c>
      <c r="U170" s="7">
        <f t="shared" si="88"/>
        <v>504.97916666666896</v>
      </c>
      <c r="V170" s="7">
        <f t="shared" si="89"/>
        <v>-0.68749999999903366</v>
      </c>
      <c r="W170" s="7">
        <f t="shared" si="90"/>
        <v>0.47265624999867129</v>
      </c>
      <c r="AC170" s="7">
        <v>45</v>
      </c>
      <c r="AD170" s="52">
        <f>'הזנת נתונים'!A45</f>
        <v>505.66666666666799</v>
      </c>
      <c r="AE170" s="7">
        <f t="shared" si="78"/>
        <v>417.66666666666833</v>
      </c>
      <c r="AF170" s="7">
        <f t="shared" si="78"/>
        <v>329.66666666666777</v>
      </c>
      <c r="AG170" s="7">
        <f t="shared" si="91"/>
        <v>505.6666666666689</v>
      </c>
      <c r="AH170" s="7">
        <f t="shared" si="92"/>
        <v>11.000000000000071</v>
      </c>
      <c r="AI170" s="7">
        <f t="shared" si="93"/>
        <v>505.66666666666913</v>
      </c>
      <c r="AJ170" s="7">
        <f t="shared" si="94"/>
        <v>1.1368683772161603E-12</v>
      </c>
      <c r="AK170" s="7">
        <f t="shared" si="95"/>
        <v>1.2924697071141057E-24</v>
      </c>
      <c r="AQ170" s="7">
        <v>45</v>
      </c>
      <c r="AR170" s="52">
        <f>'הזנת נתונים'!A45</f>
        <v>505.66666666666799</v>
      </c>
      <c r="AS170" s="7">
        <f t="shared" si="79"/>
        <v>412.16666666666828</v>
      </c>
      <c r="AT170" s="7">
        <f t="shared" si="79"/>
        <v>318.66666666666765</v>
      </c>
      <c r="AU170" s="7">
        <f t="shared" si="96"/>
        <v>505.6666666666689</v>
      </c>
      <c r="AV170" s="7">
        <f t="shared" si="97"/>
        <v>11.000000000000073</v>
      </c>
      <c r="AW170" s="7">
        <f t="shared" si="98"/>
        <v>505.66666666666902</v>
      </c>
      <c r="AX170" s="7">
        <f t="shared" si="99"/>
        <v>1.0231815394945443E-12</v>
      </c>
      <c r="AY170" s="7">
        <f t="shared" si="100"/>
        <v>1.0469004627624257E-24</v>
      </c>
      <c r="BE170" s="7">
        <v>45</v>
      </c>
      <c r="BF170" s="52">
        <f>'הזנת נתונים'!A45</f>
        <v>505.66666666666799</v>
      </c>
      <c r="BG170" s="7">
        <f t="shared" si="80"/>
        <v>406.66666666666828</v>
      </c>
      <c r="BH170" s="7">
        <f t="shared" si="80"/>
        <v>307.6666666666676</v>
      </c>
      <c r="BI170" s="7">
        <f t="shared" si="101"/>
        <v>505.66666666666896</v>
      </c>
      <c r="BJ170" s="7">
        <f t="shared" si="102"/>
        <v>11.000000000000076</v>
      </c>
      <c r="BK170" s="7">
        <f t="shared" si="103"/>
        <v>505.66666666666907</v>
      </c>
      <c r="BL170" s="7">
        <f t="shared" si="104"/>
        <v>1.0800249583553523E-12</v>
      </c>
      <c r="BM170" s="7">
        <f t="shared" si="105"/>
        <v>1.1664539106704804E-24</v>
      </c>
    </row>
    <row r="171" spans="1:65" x14ac:dyDescent="0.25">
      <c r="A171" s="7">
        <v>46</v>
      </c>
      <c r="B171" s="52">
        <f>'הזנת נתונים'!A46</f>
        <v>516.66666666666902</v>
      </c>
      <c r="C171" s="7">
        <f t="shared" si="76"/>
        <v>439.66666666666845</v>
      </c>
      <c r="D171" s="7">
        <f t="shared" si="76"/>
        <v>362.66666666666805</v>
      </c>
      <c r="E171" s="7">
        <f t="shared" si="81"/>
        <v>516.66666666666879</v>
      </c>
      <c r="F171" s="7">
        <f t="shared" si="82"/>
        <v>11.000000000000057</v>
      </c>
      <c r="G171" s="7">
        <f t="shared" si="83"/>
        <v>516.66666666666879</v>
      </c>
      <c r="H171" s="7">
        <f t="shared" si="84"/>
        <v>0</v>
      </c>
      <c r="I171" s="7">
        <f t="shared" si="85"/>
        <v>0</v>
      </c>
      <c r="O171" s="7">
        <v>46</v>
      </c>
      <c r="P171" s="52">
        <f>'הזנת נתונים'!A46</f>
        <v>516.66666666666902</v>
      </c>
      <c r="Q171" s="7">
        <f t="shared" si="77"/>
        <v>434.16666666666839</v>
      </c>
      <c r="R171" s="7">
        <f t="shared" si="77"/>
        <v>351.66666666666794</v>
      </c>
      <c r="S171" s="7">
        <f t="shared" si="86"/>
        <v>516.66666666666879</v>
      </c>
      <c r="T171" s="7">
        <f t="shared" si="87"/>
        <v>10.312500000000057</v>
      </c>
      <c r="U171" s="7">
        <f t="shared" si="88"/>
        <v>515.97916666666902</v>
      </c>
      <c r="V171" s="7">
        <f t="shared" si="89"/>
        <v>-0.6875</v>
      </c>
      <c r="W171" s="7">
        <f t="shared" si="90"/>
        <v>0.47265625</v>
      </c>
      <c r="AC171" s="7">
        <v>46</v>
      </c>
      <c r="AD171" s="52">
        <f>'הזנת נתונים'!A46</f>
        <v>516.66666666666902</v>
      </c>
      <c r="AE171" s="7">
        <f t="shared" si="78"/>
        <v>428.66666666666833</v>
      </c>
      <c r="AF171" s="7">
        <f t="shared" si="78"/>
        <v>340.66666666666777</v>
      </c>
      <c r="AG171" s="7">
        <f t="shared" si="91"/>
        <v>516.6666666666689</v>
      </c>
      <c r="AH171" s="7">
        <f t="shared" si="92"/>
        <v>11.000000000000071</v>
      </c>
      <c r="AI171" s="7">
        <f t="shared" si="93"/>
        <v>516.66666666666902</v>
      </c>
      <c r="AJ171" s="7">
        <f t="shared" si="94"/>
        <v>0</v>
      </c>
      <c r="AK171" s="7">
        <f t="shared" si="95"/>
        <v>0</v>
      </c>
      <c r="AQ171" s="7">
        <v>46</v>
      </c>
      <c r="AR171" s="52">
        <f>'הזנת נתונים'!A46</f>
        <v>516.66666666666902</v>
      </c>
      <c r="AS171" s="7">
        <f t="shared" si="79"/>
        <v>423.16666666666833</v>
      </c>
      <c r="AT171" s="7">
        <f t="shared" si="79"/>
        <v>329.66666666666765</v>
      </c>
      <c r="AU171" s="7">
        <f t="shared" si="96"/>
        <v>516.66666666666902</v>
      </c>
      <c r="AV171" s="7">
        <f t="shared" si="97"/>
        <v>11.00000000000008</v>
      </c>
      <c r="AW171" s="7">
        <f t="shared" si="98"/>
        <v>516.66666666666902</v>
      </c>
      <c r="AX171" s="7">
        <f t="shared" si="99"/>
        <v>0</v>
      </c>
      <c r="AY171" s="7">
        <f t="shared" si="100"/>
        <v>0</v>
      </c>
      <c r="BE171" s="7">
        <v>46</v>
      </c>
      <c r="BF171" s="52">
        <f>'הזנת נתונים'!A46</f>
        <v>516.66666666666902</v>
      </c>
      <c r="BG171" s="7">
        <f t="shared" si="80"/>
        <v>417.66666666666833</v>
      </c>
      <c r="BH171" s="7">
        <f t="shared" si="80"/>
        <v>318.66666666666771</v>
      </c>
      <c r="BI171" s="7">
        <f t="shared" si="101"/>
        <v>516.66666666666902</v>
      </c>
      <c r="BJ171" s="7">
        <f t="shared" si="102"/>
        <v>11.000000000000069</v>
      </c>
      <c r="BK171" s="7">
        <f t="shared" si="103"/>
        <v>516.66666666666902</v>
      </c>
      <c r="BL171" s="7">
        <f t="shared" si="104"/>
        <v>0</v>
      </c>
      <c r="BM171" s="7">
        <f t="shared" si="105"/>
        <v>0</v>
      </c>
    </row>
    <row r="172" spans="1:65" x14ac:dyDescent="0.25">
      <c r="A172" s="7">
        <v>47</v>
      </c>
      <c r="B172" s="52">
        <f>'הזנת נתונים'!A47</f>
        <v>527.66666666666902</v>
      </c>
      <c r="C172" s="7">
        <f t="shared" si="76"/>
        <v>450.6666666666685</v>
      </c>
      <c r="D172" s="7">
        <f t="shared" si="76"/>
        <v>373.66666666666811</v>
      </c>
      <c r="E172" s="7">
        <f t="shared" si="81"/>
        <v>527.6666666666689</v>
      </c>
      <c r="F172" s="7">
        <f t="shared" si="82"/>
        <v>11.000000000000057</v>
      </c>
      <c r="G172" s="7">
        <f t="shared" si="83"/>
        <v>527.66666666666879</v>
      </c>
      <c r="H172" s="7">
        <f t="shared" si="84"/>
        <v>0</v>
      </c>
      <c r="I172" s="7">
        <f t="shared" si="85"/>
        <v>0</v>
      </c>
      <c r="O172" s="7">
        <v>47</v>
      </c>
      <c r="P172" s="52">
        <f>'הזנת נתונים'!A47</f>
        <v>527.66666666666902</v>
      </c>
      <c r="Q172" s="7">
        <f t="shared" si="77"/>
        <v>445.16666666666845</v>
      </c>
      <c r="R172" s="7">
        <f t="shared" si="77"/>
        <v>362.66666666666811</v>
      </c>
      <c r="S172" s="7">
        <f t="shared" si="86"/>
        <v>527.66666666666879</v>
      </c>
      <c r="T172" s="7">
        <f t="shared" si="87"/>
        <v>10.312500000000043</v>
      </c>
      <c r="U172" s="7">
        <f t="shared" si="88"/>
        <v>526.97916666666879</v>
      </c>
      <c r="V172" s="7">
        <f t="shared" si="89"/>
        <v>-0.68750000000022737</v>
      </c>
      <c r="W172" s="7">
        <f t="shared" si="90"/>
        <v>0.47265625000031264</v>
      </c>
      <c r="AC172" s="7">
        <v>47</v>
      </c>
      <c r="AD172" s="52">
        <f>'הזנת נתונים'!A47</f>
        <v>527.66666666666902</v>
      </c>
      <c r="AE172" s="7">
        <f t="shared" si="78"/>
        <v>439.66666666666839</v>
      </c>
      <c r="AF172" s="7">
        <f t="shared" si="78"/>
        <v>351.66666666666794</v>
      </c>
      <c r="AG172" s="7">
        <f t="shared" si="91"/>
        <v>527.66666666666879</v>
      </c>
      <c r="AH172" s="7">
        <f t="shared" si="92"/>
        <v>11.000000000000057</v>
      </c>
      <c r="AI172" s="7">
        <f t="shared" si="93"/>
        <v>527.66666666666902</v>
      </c>
      <c r="AJ172" s="7">
        <f t="shared" si="94"/>
        <v>0</v>
      </c>
      <c r="AK172" s="7">
        <f t="shared" si="95"/>
        <v>0</v>
      </c>
      <c r="AQ172" s="7">
        <v>47</v>
      </c>
      <c r="AR172" s="52">
        <f>'הזנת נתונים'!A47</f>
        <v>527.66666666666902</v>
      </c>
      <c r="AS172" s="7">
        <f t="shared" si="79"/>
        <v>434.16666666666839</v>
      </c>
      <c r="AT172" s="7">
        <f t="shared" si="79"/>
        <v>340.66666666666782</v>
      </c>
      <c r="AU172" s="7">
        <f t="shared" si="96"/>
        <v>527.66666666666902</v>
      </c>
      <c r="AV172" s="7">
        <f t="shared" si="97"/>
        <v>11.000000000000068</v>
      </c>
      <c r="AW172" s="7">
        <f t="shared" si="98"/>
        <v>527.66666666666913</v>
      </c>
      <c r="AX172" s="7">
        <f t="shared" si="99"/>
        <v>0</v>
      </c>
      <c r="AY172" s="7">
        <f t="shared" si="100"/>
        <v>0</v>
      </c>
      <c r="BE172" s="7">
        <v>47</v>
      </c>
      <c r="BF172" s="52">
        <f>'הזנת נתונים'!A47</f>
        <v>527.66666666666902</v>
      </c>
      <c r="BG172" s="7">
        <f t="shared" si="80"/>
        <v>428.66666666666833</v>
      </c>
      <c r="BH172" s="7">
        <f t="shared" si="80"/>
        <v>329.66666666666771</v>
      </c>
      <c r="BI172" s="7">
        <f t="shared" si="101"/>
        <v>527.66666666666902</v>
      </c>
      <c r="BJ172" s="7">
        <f t="shared" si="102"/>
        <v>11.000000000000069</v>
      </c>
      <c r="BK172" s="7">
        <f t="shared" si="103"/>
        <v>527.66666666666913</v>
      </c>
      <c r="BL172" s="7">
        <f t="shared" si="104"/>
        <v>0</v>
      </c>
      <c r="BM172" s="7">
        <f t="shared" si="105"/>
        <v>0</v>
      </c>
    </row>
    <row r="173" spans="1:65" x14ac:dyDescent="0.25">
      <c r="A173" s="7">
        <v>48</v>
      </c>
      <c r="B173" s="52">
        <f>'הזנת נתונים'!A48</f>
        <v>538.66666666666902</v>
      </c>
      <c r="C173" s="7">
        <f t="shared" si="76"/>
        <v>461.66666666666856</v>
      </c>
      <c r="D173" s="7">
        <f t="shared" si="76"/>
        <v>384.66666666666822</v>
      </c>
      <c r="E173" s="7">
        <f t="shared" si="81"/>
        <v>538.6666666666689</v>
      </c>
      <c r="F173" s="7">
        <f t="shared" si="82"/>
        <v>11.000000000000048</v>
      </c>
      <c r="G173" s="7">
        <f t="shared" si="83"/>
        <v>538.66666666666902</v>
      </c>
      <c r="H173" s="7">
        <f t="shared" si="84"/>
        <v>0</v>
      </c>
      <c r="I173" s="7">
        <f t="shared" si="85"/>
        <v>0</v>
      </c>
      <c r="O173" s="7">
        <v>48</v>
      </c>
      <c r="P173" s="52">
        <f>'הזנת נתונים'!A48</f>
        <v>538.66666666666902</v>
      </c>
      <c r="Q173" s="7">
        <f t="shared" si="77"/>
        <v>456.1666666666685</v>
      </c>
      <c r="R173" s="7">
        <f t="shared" si="77"/>
        <v>373.66666666666816</v>
      </c>
      <c r="S173" s="7">
        <f t="shared" si="86"/>
        <v>538.66666666666879</v>
      </c>
      <c r="T173" s="7">
        <f t="shared" si="87"/>
        <v>10.312500000000043</v>
      </c>
      <c r="U173" s="7">
        <f t="shared" si="88"/>
        <v>537.97916666666879</v>
      </c>
      <c r="V173" s="7">
        <f t="shared" si="89"/>
        <v>-0.68750000000022737</v>
      </c>
      <c r="W173" s="7">
        <f t="shared" si="90"/>
        <v>0.47265625000031264</v>
      </c>
      <c r="AC173" s="7">
        <v>48</v>
      </c>
      <c r="AD173" s="52">
        <f>'הזנת נתונים'!A48</f>
        <v>538.66666666666902</v>
      </c>
      <c r="AE173" s="7">
        <f t="shared" si="78"/>
        <v>450.66666666666845</v>
      </c>
      <c r="AF173" s="7">
        <f t="shared" si="78"/>
        <v>362.66666666666799</v>
      </c>
      <c r="AG173" s="7">
        <f t="shared" si="91"/>
        <v>538.6666666666689</v>
      </c>
      <c r="AH173" s="7">
        <f t="shared" si="92"/>
        <v>11.000000000000057</v>
      </c>
      <c r="AI173" s="7">
        <f t="shared" si="93"/>
        <v>538.66666666666879</v>
      </c>
      <c r="AJ173" s="7">
        <f t="shared" si="94"/>
        <v>0</v>
      </c>
      <c r="AK173" s="7">
        <f t="shared" si="95"/>
        <v>0</v>
      </c>
      <c r="AQ173" s="7">
        <v>48</v>
      </c>
      <c r="AR173" s="52">
        <f>'הזנת נתונים'!A48</f>
        <v>538.66666666666902</v>
      </c>
      <c r="AS173" s="7">
        <f t="shared" si="79"/>
        <v>445.16666666666845</v>
      </c>
      <c r="AT173" s="7">
        <f t="shared" si="79"/>
        <v>351.66666666666788</v>
      </c>
      <c r="AU173" s="7">
        <f t="shared" si="96"/>
        <v>538.66666666666902</v>
      </c>
      <c r="AV173" s="7">
        <f t="shared" si="97"/>
        <v>11.000000000000068</v>
      </c>
      <c r="AW173" s="7">
        <f t="shared" si="98"/>
        <v>538.66666666666913</v>
      </c>
      <c r="AX173" s="7">
        <f t="shared" si="99"/>
        <v>0</v>
      </c>
      <c r="AY173" s="7">
        <f t="shared" si="100"/>
        <v>0</v>
      </c>
      <c r="BE173" s="7">
        <v>48</v>
      </c>
      <c r="BF173" s="52">
        <f>'הזנת נתונים'!A48</f>
        <v>538.66666666666902</v>
      </c>
      <c r="BG173" s="7">
        <f t="shared" si="80"/>
        <v>439.66666666666845</v>
      </c>
      <c r="BH173" s="7">
        <f t="shared" si="80"/>
        <v>340.66666666666782</v>
      </c>
      <c r="BI173" s="7">
        <f t="shared" si="101"/>
        <v>538.66666666666902</v>
      </c>
      <c r="BJ173" s="7">
        <f t="shared" si="102"/>
        <v>11.000000000000069</v>
      </c>
      <c r="BK173" s="7">
        <f t="shared" si="103"/>
        <v>538.66666666666913</v>
      </c>
      <c r="BL173" s="7">
        <f t="shared" si="104"/>
        <v>0</v>
      </c>
      <c r="BM173" s="7">
        <f t="shared" si="105"/>
        <v>0</v>
      </c>
    </row>
    <row r="174" spans="1:65" x14ac:dyDescent="0.25">
      <c r="A174" s="7">
        <v>49</v>
      </c>
      <c r="B174" s="52">
        <f>'הזנת נתונים'!A49</f>
        <v>549.66666666666902</v>
      </c>
      <c r="C174" s="7">
        <f t="shared" si="76"/>
        <v>472.66666666666862</v>
      </c>
      <c r="D174" s="7">
        <f t="shared" si="76"/>
        <v>395.66666666666828</v>
      </c>
      <c r="E174" s="7">
        <f t="shared" si="81"/>
        <v>549.66666666666902</v>
      </c>
      <c r="F174" s="7">
        <f t="shared" si="82"/>
        <v>11.000000000000048</v>
      </c>
      <c r="G174" s="7">
        <f t="shared" si="83"/>
        <v>549.6666666666689</v>
      </c>
      <c r="H174" s="7">
        <f t="shared" si="84"/>
        <v>0</v>
      </c>
      <c r="I174" s="7">
        <f t="shared" si="85"/>
        <v>0</v>
      </c>
      <c r="O174" s="7">
        <v>49</v>
      </c>
      <c r="P174" s="52">
        <f>'הזנת נתונים'!A49</f>
        <v>549.66666666666902</v>
      </c>
      <c r="Q174" s="7">
        <f t="shared" si="77"/>
        <v>467.16666666666856</v>
      </c>
      <c r="R174" s="7">
        <f t="shared" si="77"/>
        <v>384.66666666666822</v>
      </c>
      <c r="S174" s="7">
        <f t="shared" si="86"/>
        <v>549.6666666666689</v>
      </c>
      <c r="T174" s="7">
        <f t="shared" si="87"/>
        <v>10.312500000000043</v>
      </c>
      <c r="U174" s="7">
        <f t="shared" si="88"/>
        <v>548.97916666666879</v>
      </c>
      <c r="V174" s="7">
        <f t="shared" si="89"/>
        <v>-0.68750000000022737</v>
      </c>
      <c r="W174" s="7">
        <f t="shared" si="90"/>
        <v>0.47265625000031264</v>
      </c>
      <c r="AC174" s="7">
        <v>49</v>
      </c>
      <c r="AD174" s="52">
        <f>'הזנת נתונים'!A49</f>
        <v>549.66666666666902</v>
      </c>
      <c r="AE174" s="7">
        <f t="shared" si="78"/>
        <v>461.6666666666685</v>
      </c>
      <c r="AF174" s="7">
        <f t="shared" si="78"/>
        <v>373.66666666666805</v>
      </c>
      <c r="AG174" s="7">
        <f t="shared" si="91"/>
        <v>549.66666666666902</v>
      </c>
      <c r="AH174" s="7">
        <f t="shared" si="92"/>
        <v>11.000000000000057</v>
      </c>
      <c r="AI174" s="7">
        <f t="shared" si="93"/>
        <v>549.66666666666902</v>
      </c>
      <c r="AJ174" s="7">
        <f t="shared" si="94"/>
        <v>0</v>
      </c>
      <c r="AK174" s="7">
        <f t="shared" si="95"/>
        <v>0</v>
      </c>
      <c r="AQ174" s="7">
        <v>49</v>
      </c>
      <c r="AR174" s="52">
        <f>'הזנת נתונים'!A49</f>
        <v>549.66666666666902</v>
      </c>
      <c r="AS174" s="7">
        <f t="shared" si="79"/>
        <v>456.1666666666685</v>
      </c>
      <c r="AT174" s="7">
        <f t="shared" si="79"/>
        <v>362.66666666666805</v>
      </c>
      <c r="AU174" s="7">
        <f t="shared" si="96"/>
        <v>549.66666666666902</v>
      </c>
      <c r="AV174" s="7">
        <f t="shared" si="97"/>
        <v>11.000000000000053</v>
      </c>
      <c r="AW174" s="7">
        <f t="shared" si="98"/>
        <v>549.66666666666913</v>
      </c>
      <c r="AX174" s="7">
        <f t="shared" si="99"/>
        <v>0</v>
      </c>
      <c r="AY174" s="7">
        <f t="shared" si="100"/>
        <v>0</v>
      </c>
      <c r="BE174" s="7">
        <v>49</v>
      </c>
      <c r="BF174" s="52">
        <f>'הזנת נתונים'!A49</f>
        <v>549.66666666666902</v>
      </c>
      <c r="BG174" s="7">
        <f t="shared" si="80"/>
        <v>450.66666666666845</v>
      </c>
      <c r="BH174" s="7">
        <f t="shared" si="80"/>
        <v>351.66666666666788</v>
      </c>
      <c r="BI174" s="7">
        <f t="shared" si="101"/>
        <v>549.66666666666902</v>
      </c>
      <c r="BJ174" s="7">
        <f t="shared" si="102"/>
        <v>11.000000000000064</v>
      </c>
      <c r="BK174" s="7">
        <f t="shared" si="103"/>
        <v>549.66666666666913</v>
      </c>
      <c r="BL174" s="7">
        <f t="shared" si="104"/>
        <v>0</v>
      </c>
      <c r="BM174" s="7">
        <f t="shared" si="105"/>
        <v>0</v>
      </c>
    </row>
    <row r="175" spans="1:65" x14ac:dyDescent="0.25">
      <c r="A175" s="7">
        <v>50</v>
      </c>
      <c r="B175" s="52">
        <f>'הזנת נתונים'!A50</f>
        <v>560.66666666666902</v>
      </c>
      <c r="C175" s="7">
        <f t="shared" si="76"/>
        <v>483.66666666666868</v>
      </c>
      <c r="D175" s="7">
        <f t="shared" si="76"/>
        <v>406.66666666666828</v>
      </c>
      <c r="E175" s="7">
        <f t="shared" si="81"/>
        <v>560.66666666666902</v>
      </c>
      <c r="F175" s="7">
        <f t="shared" si="82"/>
        <v>11.000000000000057</v>
      </c>
      <c r="G175" s="7">
        <f t="shared" si="83"/>
        <v>560.66666666666902</v>
      </c>
      <c r="H175" s="7">
        <f t="shared" si="84"/>
        <v>0</v>
      </c>
      <c r="I175" s="7">
        <f t="shared" si="85"/>
        <v>0</v>
      </c>
      <c r="O175" s="7">
        <v>50</v>
      </c>
      <c r="P175" s="52">
        <f>'הזנת נתונים'!A50</f>
        <v>560.66666666666902</v>
      </c>
      <c r="Q175" s="7">
        <f t="shared" si="77"/>
        <v>478.16666666666862</v>
      </c>
      <c r="R175" s="7">
        <f t="shared" si="77"/>
        <v>395.66666666666828</v>
      </c>
      <c r="S175" s="7">
        <f t="shared" si="86"/>
        <v>560.66666666666902</v>
      </c>
      <c r="T175" s="7">
        <f t="shared" si="87"/>
        <v>10.312500000000043</v>
      </c>
      <c r="U175" s="7">
        <f t="shared" si="88"/>
        <v>559.9791666666689</v>
      </c>
      <c r="V175" s="7">
        <f t="shared" si="89"/>
        <v>-0.68750000000011369</v>
      </c>
      <c r="W175" s="7">
        <f t="shared" si="90"/>
        <v>0.47265625000015632</v>
      </c>
      <c r="AC175" s="7">
        <v>50</v>
      </c>
      <c r="AD175" s="52">
        <f>'הזנת נתונים'!A50</f>
        <v>560.66666666666902</v>
      </c>
      <c r="AE175" s="7">
        <f t="shared" si="78"/>
        <v>472.66666666666856</v>
      </c>
      <c r="AF175" s="7">
        <f t="shared" si="78"/>
        <v>384.66666666666822</v>
      </c>
      <c r="AG175" s="7">
        <f t="shared" si="91"/>
        <v>560.6666666666689</v>
      </c>
      <c r="AH175" s="7">
        <f t="shared" si="92"/>
        <v>11.000000000000043</v>
      </c>
      <c r="AI175" s="7">
        <f t="shared" si="93"/>
        <v>560.66666666666902</v>
      </c>
      <c r="AJ175" s="7">
        <f t="shared" si="94"/>
        <v>0</v>
      </c>
      <c r="AK175" s="7">
        <f t="shared" si="95"/>
        <v>0</v>
      </c>
      <c r="AQ175" s="7">
        <v>50</v>
      </c>
      <c r="AR175" s="52">
        <f>'הזנת נתונים'!A50</f>
        <v>560.66666666666902</v>
      </c>
      <c r="AS175" s="7">
        <f t="shared" si="79"/>
        <v>467.16666666666856</v>
      </c>
      <c r="AT175" s="7">
        <f t="shared" si="79"/>
        <v>373.66666666666816</v>
      </c>
      <c r="AU175" s="7">
        <f t="shared" si="96"/>
        <v>560.66666666666902</v>
      </c>
      <c r="AV175" s="7">
        <f t="shared" si="97"/>
        <v>11.000000000000046</v>
      </c>
      <c r="AW175" s="7">
        <f t="shared" si="98"/>
        <v>560.66666666666902</v>
      </c>
      <c r="AX175" s="7">
        <f t="shared" si="99"/>
        <v>0</v>
      </c>
      <c r="AY175" s="7">
        <f t="shared" si="100"/>
        <v>0</v>
      </c>
      <c r="BE175" s="7">
        <v>50</v>
      </c>
      <c r="BF175" s="52">
        <f>'הזנת נתונים'!A50</f>
        <v>560.66666666666902</v>
      </c>
      <c r="BG175" s="7">
        <f t="shared" si="80"/>
        <v>461.66666666666856</v>
      </c>
      <c r="BH175" s="7">
        <f t="shared" si="80"/>
        <v>362.66666666666805</v>
      </c>
      <c r="BI175" s="7">
        <f t="shared" si="101"/>
        <v>560.66666666666902</v>
      </c>
      <c r="BJ175" s="7">
        <f t="shared" si="102"/>
        <v>11.000000000000057</v>
      </c>
      <c r="BK175" s="7">
        <f t="shared" si="103"/>
        <v>560.66666666666913</v>
      </c>
      <c r="BL175" s="7">
        <f t="shared" si="104"/>
        <v>0</v>
      </c>
      <c r="BM175" s="7">
        <f t="shared" si="105"/>
        <v>0</v>
      </c>
    </row>
    <row r="176" spans="1:65" x14ac:dyDescent="0.25">
      <c r="A176" s="7">
        <v>51</v>
      </c>
      <c r="B176" s="52">
        <f>'הזנת נתונים'!A51</f>
        <v>571.66666666666902</v>
      </c>
      <c r="C176" s="7">
        <f t="shared" si="76"/>
        <v>494.66666666666873</v>
      </c>
      <c r="D176" s="7">
        <f t="shared" si="76"/>
        <v>417.66666666666839</v>
      </c>
      <c r="E176" s="7">
        <f t="shared" si="81"/>
        <v>571.66666666666902</v>
      </c>
      <c r="F176" s="7">
        <f t="shared" si="82"/>
        <v>11.000000000000048</v>
      </c>
      <c r="G176" s="7">
        <f t="shared" si="83"/>
        <v>571.66666666666902</v>
      </c>
      <c r="H176" s="7">
        <f t="shared" si="84"/>
        <v>0</v>
      </c>
      <c r="I176" s="7">
        <f t="shared" si="85"/>
        <v>0</v>
      </c>
      <c r="O176" s="7">
        <v>51</v>
      </c>
      <c r="P176" s="52">
        <f>'הזנת נתונים'!A51</f>
        <v>571.66666666666902</v>
      </c>
      <c r="Q176" s="7">
        <f t="shared" si="77"/>
        <v>489.16666666666868</v>
      </c>
      <c r="R176" s="7">
        <f t="shared" si="77"/>
        <v>406.66666666666833</v>
      </c>
      <c r="S176" s="7">
        <f t="shared" si="86"/>
        <v>571.66666666666902</v>
      </c>
      <c r="T176" s="7">
        <f t="shared" si="87"/>
        <v>10.312500000000043</v>
      </c>
      <c r="U176" s="7">
        <f t="shared" si="88"/>
        <v>570.97916666666902</v>
      </c>
      <c r="V176" s="7">
        <f t="shared" si="89"/>
        <v>-0.6875</v>
      </c>
      <c r="W176" s="7">
        <f t="shared" si="90"/>
        <v>0.47265625</v>
      </c>
      <c r="AC176" s="7">
        <v>51</v>
      </c>
      <c r="AD176" s="52">
        <f>'הזנת נתונים'!A51</f>
        <v>571.66666666666902</v>
      </c>
      <c r="AE176" s="7">
        <f t="shared" si="78"/>
        <v>483.66666666666862</v>
      </c>
      <c r="AF176" s="7">
        <f t="shared" si="78"/>
        <v>395.66666666666828</v>
      </c>
      <c r="AG176" s="7">
        <f t="shared" si="91"/>
        <v>571.66666666666902</v>
      </c>
      <c r="AH176" s="7">
        <f t="shared" si="92"/>
        <v>11.000000000000043</v>
      </c>
      <c r="AI176" s="7">
        <f t="shared" si="93"/>
        <v>571.6666666666689</v>
      </c>
      <c r="AJ176" s="7">
        <f t="shared" si="94"/>
        <v>0</v>
      </c>
      <c r="AK176" s="7">
        <f t="shared" si="95"/>
        <v>0</v>
      </c>
      <c r="AQ176" s="7">
        <v>51</v>
      </c>
      <c r="AR176" s="52">
        <f>'הזנת נתונים'!A51</f>
        <v>571.66666666666902</v>
      </c>
      <c r="AS176" s="7">
        <f t="shared" si="79"/>
        <v>478.16666666666856</v>
      </c>
      <c r="AT176" s="7">
        <f t="shared" si="79"/>
        <v>384.66666666666822</v>
      </c>
      <c r="AU176" s="7">
        <f t="shared" si="96"/>
        <v>571.6666666666689</v>
      </c>
      <c r="AV176" s="7">
        <f t="shared" si="97"/>
        <v>11.000000000000041</v>
      </c>
      <c r="AW176" s="7">
        <f t="shared" si="98"/>
        <v>571.66666666666902</v>
      </c>
      <c r="AX176" s="7">
        <f t="shared" si="99"/>
        <v>0</v>
      </c>
      <c r="AY176" s="7">
        <f t="shared" si="100"/>
        <v>0</v>
      </c>
      <c r="BE176" s="7">
        <v>51</v>
      </c>
      <c r="BF176" s="52">
        <f>'הזנת נתונים'!A51</f>
        <v>571.66666666666902</v>
      </c>
      <c r="BG176" s="7">
        <f t="shared" si="80"/>
        <v>472.66666666666862</v>
      </c>
      <c r="BH176" s="7">
        <f t="shared" si="80"/>
        <v>373.66666666666805</v>
      </c>
      <c r="BI176" s="7">
        <f t="shared" si="101"/>
        <v>571.66666666666924</v>
      </c>
      <c r="BJ176" s="7">
        <f t="shared" si="102"/>
        <v>11.000000000000064</v>
      </c>
      <c r="BK176" s="7">
        <f t="shared" si="103"/>
        <v>571.66666666666902</v>
      </c>
      <c r="BL176" s="7">
        <f t="shared" si="104"/>
        <v>0</v>
      </c>
      <c r="BM176" s="7">
        <f t="shared" si="105"/>
        <v>0</v>
      </c>
    </row>
    <row r="177" spans="1:65" x14ac:dyDescent="0.25">
      <c r="A177" s="7">
        <v>52</v>
      </c>
      <c r="B177" s="52">
        <f>'הזנת נתונים'!A52</f>
        <v>582.66666666666902</v>
      </c>
      <c r="C177" s="7">
        <f t="shared" si="76"/>
        <v>505.66666666666879</v>
      </c>
      <c r="D177" s="7">
        <f t="shared" si="76"/>
        <v>428.66666666666839</v>
      </c>
      <c r="E177" s="7">
        <f t="shared" si="81"/>
        <v>582.66666666666924</v>
      </c>
      <c r="F177" s="7">
        <f t="shared" si="82"/>
        <v>11.000000000000057</v>
      </c>
      <c r="G177" s="7">
        <f t="shared" si="83"/>
        <v>582.66666666666902</v>
      </c>
      <c r="H177" s="7">
        <f t="shared" si="84"/>
        <v>0</v>
      </c>
      <c r="I177" s="7">
        <f t="shared" si="85"/>
        <v>0</v>
      </c>
      <c r="O177" s="7">
        <v>52</v>
      </c>
      <c r="P177" s="52">
        <f>'הזנת נתונים'!A52</f>
        <v>582.66666666666902</v>
      </c>
      <c r="Q177" s="7">
        <f t="shared" si="77"/>
        <v>500.16666666666873</v>
      </c>
      <c r="R177" s="7">
        <f t="shared" si="77"/>
        <v>417.66666666666839</v>
      </c>
      <c r="S177" s="7">
        <f t="shared" si="86"/>
        <v>582.66666666666902</v>
      </c>
      <c r="T177" s="7">
        <f t="shared" si="87"/>
        <v>10.312500000000043</v>
      </c>
      <c r="U177" s="7">
        <f t="shared" si="88"/>
        <v>581.97916666666902</v>
      </c>
      <c r="V177" s="7">
        <f t="shared" si="89"/>
        <v>-0.6875</v>
      </c>
      <c r="W177" s="7">
        <f t="shared" si="90"/>
        <v>0.47265625</v>
      </c>
      <c r="AC177" s="7">
        <v>52</v>
      </c>
      <c r="AD177" s="52">
        <f>'הזנת נתונים'!A52</f>
        <v>582.66666666666902</v>
      </c>
      <c r="AE177" s="7">
        <f t="shared" si="78"/>
        <v>494.66666666666873</v>
      </c>
      <c r="AF177" s="7">
        <f t="shared" si="78"/>
        <v>406.66666666666833</v>
      </c>
      <c r="AG177" s="7">
        <f t="shared" si="91"/>
        <v>582.66666666666913</v>
      </c>
      <c r="AH177" s="7">
        <f t="shared" si="92"/>
        <v>11.00000000000005</v>
      </c>
      <c r="AI177" s="7">
        <f t="shared" si="93"/>
        <v>582.66666666666902</v>
      </c>
      <c r="AJ177" s="7">
        <f t="shared" si="94"/>
        <v>0</v>
      </c>
      <c r="AK177" s="7">
        <f t="shared" si="95"/>
        <v>0</v>
      </c>
      <c r="AQ177" s="7">
        <v>52</v>
      </c>
      <c r="AR177" s="52">
        <f>'הזנת נתונים'!A52</f>
        <v>582.66666666666902</v>
      </c>
      <c r="AS177" s="7">
        <f t="shared" si="79"/>
        <v>489.16666666666868</v>
      </c>
      <c r="AT177" s="7">
        <f t="shared" si="79"/>
        <v>395.66666666666828</v>
      </c>
      <c r="AU177" s="7">
        <f t="shared" si="96"/>
        <v>582.66666666666902</v>
      </c>
      <c r="AV177" s="7">
        <f t="shared" si="97"/>
        <v>11.000000000000046</v>
      </c>
      <c r="AW177" s="7">
        <f t="shared" si="98"/>
        <v>582.6666666666689</v>
      </c>
      <c r="AX177" s="7">
        <f t="shared" si="99"/>
        <v>0</v>
      </c>
      <c r="AY177" s="7">
        <f t="shared" si="100"/>
        <v>0</v>
      </c>
      <c r="BE177" s="7">
        <v>52</v>
      </c>
      <c r="BF177" s="52">
        <f>'הזנת נתונים'!A52</f>
        <v>582.66666666666902</v>
      </c>
      <c r="BG177" s="7">
        <f t="shared" si="80"/>
        <v>483.66666666666862</v>
      </c>
      <c r="BH177" s="7">
        <f t="shared" si="80"/>
        <v>384.66666666666811</v>
      </c>
      <c r="BI177" s="7">
        <f t="shared" si="101"/>
        <v>582.66666666666913</v>
      </c>
      <c r="BJ177" s="7">
        <f t="shared" si="102"/>
        <v>11.000000000000057</v>
      </c>
      <c r="BK177" s="7">
        <f t="shared" si="103"/>
        <v>582.66666666666936</v>
      </c>
      <c r="BL177" s="7">
        <f t="shared" si="104"/>
        <v>0</v>
      </c>
      <c r="BM177" s="7">
        <f t="shared" si="105"/>
        <v>0</v>
      </c>
    </row>
    <row r="178" spans="1:65" x14ac:dyDescent="0.25">
      <c r="A178" s="7">
        <v>53</v>
      </c>
      <c r="B178" s="52">
        <f>'הזנת נתונים'!A53</f>
        <v>593.66666666666902</v>
      </c>
      <c r="C178" s="7">
        <f t="shared" si="76"/>
        <v>516.66666666666879</v>
      </c>
      <c r="D178" s="7">
        <f t="shared" si="76"/>
        <v>439.66666666666845</v>
      </c>
      <c r="E178" s="7">
        <f t="shared" si="81"/>
        <v>593.66666666666913</v>
      </c>
      <c r="F178" s="7">
        <f t="shared" si="82"/>
        <v>11.000000000000048</v>
      </c>
      <c r="G178" s="7">
        <f t="shared" si="83"/>
        <v>593.66666666666924</v>
      </c>
      <c r="H178" s="7">
        <f t="shared" si="84"/>
        <v>0</v>
      </c>
      <c r="I178" s="7">
        <f t="shared" si="85"/>
        <v>0</v>
      </c>
      <c r="O178" s="7">
        <v>53</v>
      </c>
      <c r="P178" s="52">
        <f>'הזנת נתונים'!A53</f>
        <v>593.66666666666902</v>
      </c>
      <c r="Q178" s="7">
        <f t="shared" si="77"/>
        <v>511.16666666666879</v>
      </c>
      <c r="R178" s="7">
        <f t="shared" si="77"/>
        <v>428.66666666666839</v>
      </c>
      <c r="S178" s="7">
        <f t="shared" si="86"/>
        <v>593.66666666666924</v>
      </c>
      <c r="T178" s="7">
        <f t="shared" si="87"/>
        <v>10.31250000000005</v>
      </c>
      <c r="U178" s="7">
        <f t="shared" si="88"/>
        <v>592.97916666666902</v>
      </c>
      <c r="V178" s="7">
        <f t="shared" si="89"/>
        <v>-0.6875</v>
      </c>
      <c r="W178" s="7">
        <f t="shared" si="90"/>
        <v>0.47265625</v>
      </c>
      <c r="AC178" s="7">
        <v>53</v>
      </c>
      <c r="AD178" s="52">
        <f>'הזנת נתונים'!A53</f>
        <v>593.66666666666902</v>
      </c>
      <c r="AE178" s="7">
        <f t="shared" si="78"/>
        <v>505.66666666666873</v>
      </c>
      <c r="AF178" s="7">
        <f t="shared" si="78"/>
        <v>417.66666666666833</v>
      </c>
      <c r="AG178" s="7">
        <f t="shared" si="91"/>
        <v>593.66666666666913</v>
      </c>
      <c r="AH178" s="7">
        <f t="shared" si="92"/>
        <v>11.00000000000005</v>
      </c>
      <c r="AI178" s="7">
        <f t="shared" si="93"/>
        <v>593.66666666666913</v>
      </c>
      <c r="AJ178" s="7">
        <f t="shared" si="94"/>
        <v>0</v>
      </c>
      <c r="AK178" s="7">
        <f t="shared" si="95"/>
        <v>0</v>
      </c>
      <c r="AQ178" s="7">
        <v>53</v>
      </c>
      <c r="AR178" s="52">
        <f>'הזנת נתונים'!A53</f>
        <v>593.66666666666902</v>
      </c>
      <c r="AS178" s="7">
        <f t="shared" si="79"/>
        <v>500.16666666666879</v>
      </c>
      <c r="AT178" s="7">
        <f t="shared" si="79"/>
        <v>406.66666666666833</v>
      </c>
      <c r="AU178" s="7">
        <f t="shared" si="96"/>
        <v>593.66666666666924</v>
      </c>
      <c r="AV178" s="7">
        <f t="shared" si="97"/>
        <v>11.000000000000053</v>
      </c>
      <c r="AW178" s="7">
        <f t="shared" si="98"/>
        <v>593.66666666666902</v>
      </c>
      <c r="AX178" s="7">
        <f t="shared" si="99"/>
        <v>0</v>
      </c>
      <c r="AY178" s="7">
        <f t="shared" si="100"/>
        <v>0</v>
      </c>
      <c r="BE178" s="7">
        <v>53</v>
      </c>
      <c r="BF178" s="52">
        <f>'הזנת נתונים'!A53</f>
        <v>593.66666666666902</v>
      </c>
      <c r="BG178" s="7">
        <f t="shared" si="80"/>
        <v>494.66666666666873</v>
      </c>
      <c r="BH178" s="7">
        <f t="shared" si="80"/>
        <v>395.66666666666828</v>
      </c>
      <c r="BI178" s="7">
        <f t="shared" si="101"/>
        <v>593.66666666666924</v>
      </c>
      <c r="BJ178" s="7">
        <f t="shared" si="102"/>
        <v>11.00000000000005</v>
      </c>
      <c r="BK178" s="7">
        <f t="shared" si="103"/>
        <v>593.66666666666924</v>
      </c>
      <c r="BL178" s="7">
        <f t="shared" si="104"/>
        <v>0</v>
      </c>
      <c r="BM178" s="7">
        <f t="shared" si="105"/>
        <v>0</v>
      </c>
    </row>
    <row r="179" spans="1:65" x14ac:dyDescent="0.25">
      <c r="A179" s="7">
        <v>54</v>
      </c>
      <c r="B179" s="52">
        <f>'הזנת נתונים'!A54</f>
        <v>604.66666666666902</v>
      </c>
      <c r="C179" s="7">
        <f t="shared" si="76"/>
        <v>527.66666666666879</v>
      </c>
      <c r="D179" s="7">
        <f t="shared" si="76"/>
        <v>450.6666666666685</v>
      </c>
      <c r="E179" s="7">
        <f t="shared" si="81"/>
        <v>604.66666666666902</v>
      </c>
      <c r="F179" s="7">
        <f t="shared" si="82"/>
        <v>11.000000000000041</v>
      </c>
      <c r="G179" s="7">
        <f t="shared" si="83"/>
        <v>604.66666666666913</v>
      </c>
      <c r="H179" s="7">
        <f t="shared" si="84"/>
        <v>0</v>
      </c>
      <c r="I179" s="7">
        <f t="shared" si="85"/>
        <v>0</v>
      </c>
      <c r="O179" s="7">
        <v>54</v>
      </c>
      <c r="P179" s="52">
        <f>'הזנת נתונים'!A54</f>
        <v>604.66666666666902</v>
      </c>
      <c r="Q179" s="7">
        <f t="shared" si="77"/>
        <v>522.16666666666879</v>
      </c>
      <c r="R179" s="7">
        <f t="shared" si="77"/>
        <v>439.66666666666845</v>
      </c>
      <c r="S179" s="7">
        <f t="shared" si="86"/>
        <v>604.66666666666913</v>
      </c>
      <c r="T179" s="7">
        <f t="shared" si="87"/>
        <v>10.312500000000043</v>
      </c>
      <c r="U179" s="7">
        <f t="shared" si="88"/>
        <v>603.97916666666924</v>
      </c>
      <c r="V179" s="7">
        <f t="shared" si="89"/>
        <v>-0.68749999999977263</v>
      </c>
      <c r="W179" s="7">
        <f t="shared" si="90"/>
        <v>0.47265624999968736</v>
      </c>
      <c r="AC179" s="7">
        <v>54</v>
      </c>
      <c r="AD179" s="52">
        <f>'הזנת נתונים'!A54</f>
        <v>604.66666666666902</v>
      </c>
      <c r="AE179" s="7">
        <f t="shared" si="78"/>
        <v>516.66666666666879</v>
      </c>
      <c r="AF179" s="7">
        <f t="shared" si="78"/>
        <v>428.66666666666839</v>
      </c>
      <c r="AG179" s="7">
        <f t="shared" si="91"/>
        <v>604.66666666666924</v>
      </c>
      <c r="AH179" s="7">
        <f t="shared" si="92"/>
        <v>11.00000000000005</v>
      </c>
      <c r="AI179" s="7">
        <f t="shared" si="93"/>
        <v>604.66666666666913</v>
      </c>
      <c r="AJ179" s="7">
        <f t="shared" si="94"/>
        <v>0</v>
      </c>
      <c r="AK179" s="7">
        <f t="shared" si="95"/>
        <v>0</v>
      </c>
      <c r="AQ179" s="7">
        <v>54</v>
      </c>
      <c r="AR179" s="52">
        <f>'הזנת נתונים'!A54</f>
        <v>604.66666666666902</v>
      </c>
      <c r="AS179" s="7">
        <f t="shared" si="79"/>
        <v>511.16666666666879</v>
      </c>
      <c r="AT179" s="7">
        <f t="shared" si="79"/>
        <v>417.66666666666839</v>
      </c>
      <c r="AU179" s="7">
        <f t="shared" si="96"/>
        <v>604.66666666666924</v>
      </c>
      <c r="AV179" s="7">
        <f t="shared" si="97"/>
        <v>11.000000000000046</v>
      </c>
      <c r="AW179" s="7">
        <f t="shared" si="98"/>
        <v>604.66666666666924</v>
      </c>
      <c r="AX179" s="7">
        <f t="shared" si="99"/>
        <v>0</v>
      </c>
      <c r="AY179" s="7">
        <f t="shared" si="100"/>
        <v>0</v>
      </c>
      <c r="BE179" s="7">
        <v>54</v>
      </c>
      <c r="BF179" s="52">
        <f>'הזנת נתונים'!A54</f>
        <v>604.66666666666902</v>
      </c>
      <c r="BG179" s="7">
        <f t="shared" si="80"/>
        <v>505.66666666666885</v>
      </c>
      <c r="BH179" s="7">
        <f t="shared" si="80"/>
        <v>406.66666666666833</v>
      </c>
      <c r="BI179" s="7">
        <f t="shared" si="101"/>
        <v>604.66666666666936</v>
      </c>
      <c r="BJ179" s="7">
        <f t="shared" si="102"/>
        <v>11.000000000000057</v>
      </c>
      <c r="BK179" s="7">
        <f t="shared" si="103"/>
        <v>604.66666666666924</v>
      </c>
      <c r="BL179" s="7">
        <f t="shared" si="104"/>
        <v>0</v>
      </c>
      <c r="BM179" s="7">
        <f t="shared" si="105"/>
        <v>0</v>
      </c>
    </row>
    <row r="180" spans="1:65" x14ac:dyDescent="0.25">
      <c r="A180" s="7">
        <v>55</v>
      </c>
      <c r="B180" s="52">
        <f>'הזנת נתונים'!A55</f>
        <v>615.66666666666902</v>
      </c>
      <c r="C180" s="7">
        <f t="shared" si="76"/>
        <v>538.66666666666879</v>
      </c>
      <c r="D180" s="7">
        <f t="shared" si="76"/>
        <v>461.66666666666856</v>
      </c>
      <c r="E180" s="7">
        <f t="shared" si="81"/>
        <v>615.66666666666902</v>
      </c>
      <c r="F180" s="7">
        <f t="shared" si="82"/>
        <v>11.000000000000032</v>
      </c>
      <c r="G180" s="7">
        <f t="shared" si="83"/>
        <v>615.66666666666902</v>
      </c>
      <c r="H180" s="7">
        <f t="shared" si="84"/>
        <v>0</v>
      </c>
      <c r="I180" s="7">
        <f t="shared" si="85"/>
        <v>0</v>
      </c>
      <c r="O180" s="7">
        <v>55</v>
      </c>
      <c r="P180" s="52">
        <f>'הזנת נתונים'!A55</f>
        <v>615.66666666666902</v>
      </c>
      <c r="Q180" s="7">
        <f t="shared" si="77"/>
        <v>533.16666666666879</v>
      </c>
      <c r="R180" s="7">
        <f t="shared" si="77"/>
        <v>450.6666666666685</v>
      </c>
      <c r="S180" s="7">
        <f t="shared" si="86"/>
        <v>615.66666666666902</v>
      </c>
      <c r="T180" s="7">
        <f t="shared" si="87"/>
        <v>10.312500000000036</v>
      </c>
      <c r="U180" s="7">
        <f t="shared" si="88"/>
        <v>614.97916666666913</v>
      </c>
      <c r="V180" s="7">
        <f t="shared" si="89"/>
        <v>-0.68749999999988631</v>
      </c>
      <c r="W180" s="7">
        <f t="shared" si="90"/>
        <v>0.47265624999984368</v>
      </c>
      <c r="AC180" s="7">
        <v>55</v>
      </c>
      <c r="AD180" s="52">
        <f>'הזנת נתונים'!A55</f>
        <v>615.66666666666902</v>
      </c>
      <c r="AE180" s="7">
        <f t="shared" si="78"/>
        <v>527.66666666666879</v>
      </c>
      <c r="AF180" s="7">
        <f t="shared" si="78"/>
        <v>439.66666666666845</v>
      </c>
      <c r="AG180" s="7">
        <f t="shared" si="91"/>
        <v>615.66666666666913</v>
      </c>
      <c r="AH180" s="7">
        <f t="shared" si="92"/>
        <v>11.000000000000043</v>
      </c>
      <c r="AI180" s="7">
        <f t="shared" si="93"/>
        <v>615.66666666666924</v>
      </c>
      <c r="AJ180" s="7">
        <f t="shared" si="94"/>
        <v>0</v>
      </c>
      <c r="AK180" s="7">
        <f t="shared" si="95"/>
        <v>0</v>
      </c>
      <c r="AQ180" s="7">
        <v>55</v>
      </c>
      <c r="AR180" s="52">
        <f>'הזנת נתונים'!A55</f>
        <v>615.66666666666902</v>
      </c>
      <c r="AS180" s="7">
        <f t="shared" si="79"/>
        <v>522.1666666666689</v>
      </c>
      <c r="AT180" s="7">
        <f t="shared" si="79"/>
        <v>428.66666666666845</v>
      </c>
      <c r="AU180" s="7">
        <f t="shared" si="96"/>
        <v>615.66666666666936</v>
      </c>
      <c r="AV180" s="7">
        <f t="shared" si="97"/>
        <v>11.000000000000053</v>
      </c>
      <c r="AW180" s="7">
        <f t="shared" si="98"/>
        <v>615.66666666666924</v>
      </c>
      <c r="AX180" s="7">
        <f t="shared" si="99"/>
        <v>0</v>
      </c>
      <c r="AY180" s="7">
        <f t="shared" si="100"/>
        <v>0</v>
      </c>
      <c r="BE180" s="7">
        <v>55</v>
      </c>
      <c r="BF180" s="52">
        <f>'הזנת נתונים'!A55</f>
        <v>615.66666666666902</v>
      </c>
      <c r="BG180" s="7">
        <f t="shared" si="80"/>
        <v>516.66666666666879</v>
      </c>
      <c r="BH180" s="7">
        <f t="shared" si="80"/>
        <v>417.66666666666833</v>
      </c>
      <c r="BI180" s="7">
        <f t="shared" si="101"/>
        <v>615.66666666666924</v>
      </c>
      <c r="BJ180" s="7">
        <f t="shared" si="102"/>
        <v>11.00000000000005</v>
      </c>
      <c r="BK180" s="7">
        <f t="shared" si="103"/>
        <v>615.66666666666947</v>
      </c>
      <c r="BL180" s="7">
        <f t="shared" si="104"/>
        <v>0</v>
      </c>
      <c r="BM180" s="7">
        <f t="shared" si="105"/>
        <v>0</v>
      </c>
    </row>
    <row r="181" spans="1:65" x14ac:dyDescent="0.25">
      <c r="A181" s="7">
        <v>56</v>
      </c>
      <c r="B181" s="52">
        <f>'הזנת נתונים'!A56</f>
        <v>626.66666666666902</v>
      </c>
      <c r="C181" s="7">
        <f t="shared" si="76"/>
        <v>549.6666666666689</v>
      </c>
      <c r="D181" s="7">
        <f t="shared" si="76"/>
        <v>472.66666666666862</v>
      </c>
      <c r="E181" s="7">
        <f t="shared" si="81"/>
        <v>626.66666666666924</v>
      </c>
      <c r="F181" s="7">
        <f t="shared" si="82"/>
        <v>11.000000000000041</v>
      </c>
      <c r="G181" s="7">
        <f t="shared" si="83"/>
        <v>626.66666666666902</v>
      </c>
      <c r="H181" s="7">
        <f t="shared" si="84"/>
        <v>0</v>
      </c>
      <c r="I181" s="7">
        <f t="shared" si="85"/>
        <v>0</v>
      </c>
      <c r="O181" s="7">
        <v>56</v>
      </c>
      <c r="P181" s="52">
        <f>'הזנת נתונים'!A56</f>
        <v>626.66666666666902</v>
      </c>
      <c r="Q181" s="7">
        <f t="shared" si="77"/>
        <v>544.16666666666879</v>
      </c>
      <c r="R181" s="7">
        <f t="shared" si="77"/>
        <v>461.66666666666856</v>
      </c>
      <c r="S181" s="7">
        <f t="shared" si="86"/>
        <v>626.66666666666902</v>
      </c>
      <c r="T181" s="7">
        <f t="shared" si="87"/>
        <v>10.312500000000028</v>
      </c>
      <c r="U181" s="7">
        <f t="shared" si="88"/>
        <v>625.97916666666902</v>
      </c>
      <c r="V181" s="7">
        <f t="shared" si="89"/>
        <v>-0.6875</v>
      </c>
      <c r="W181" s="7">
        <f t="shared" si="90"/>
        <v>0.47265625</v>
      </c>
      <c r="AC181" s="7">
        <v>56</v>
      </c>
      <c r="AD181" s="52">
        <f>'הזנת נתונים'!A56</f>
        <v>626.66666666666902</v>
      </c>
      <c r="AE181" s="7">
        <f t="shared" si="78"/>
        <v>538.66666666666879</v>
      </c>
      <c r="AF181" s="7">
        <f t="shared" si="78"/>
        <v>450.6666666666685</v>
      </c>
      <c r="AG181" s="7">
        <f t="shared" si="91"/>
        <v>626.66666666666902</v>
      </c>
      <c r="AH181" s="7">
        <f t="shared" si="92"/>
        <v>11.000000000000036</v>
      </c>
      <c r="AI181" s="7">
        <f t="shared" si="93"/>
        <v>626.66666666666913</v>
      </c>
      <c r="AJ181" s="7">
        <f t="shared" si="94"/>
        <v>0</v>
      </c>
      <c r="AK181" s="7">
        <f t="shared" si="95"/>
        <v>0</v>
      </c>
      <c r="AQ181" s="7">
        <v>56</v>
      </c>
      <c r="AR181" s="52">
        <f>'הזנת נתונים'!A56</f>
        <v>626.66666666666902</v>
      </c>
      <c r="AS181" s="7">
        <f t="shared" si="79"/>
        <v>533.1666666666689</v>
      </c>
      <c r="AT181" s="7">
        <f t="shared" si="79"/>
        <v>439.66666666666845</v>
      </c>
      <c r="AU181" s="7">
        <f t="shared" si="96"/>
        <v>626.66666666666936</v>
      </c>
      <c r="AV181" s="7">
        <f t="shared" si="97"/>
        <v>11.000000000000053</v>
      </c>
      <c r="AW181" s="7">
        <f t="shared" si="98"/>
        <v>626.66666666666936</v>
      </c>
      <c r="AX181" s="7">
        <f t="shared" si="99"/>
        <v>0</v>
      </c>
      <c r="AY181" s="7">
        <f t="shared" si="100"/>
        <v>0</v>
      </c>
      <c r="BE181" s="7">
        <v>56</v>
      </c>
      <c r="BF181" s="52">
        <f>'הזנת נתונים'!A56</f>
        <v>626.66666666666902</v>
      </c>
      <c r="BG181" s="7">
        <f t="shared" si="80"/>
        <v>527.6666666666689</v>
      </c>
      <c r="BH181" s="7">
        <f t="shared" si="80"/>
        <v>428.66666666666839</v>
      </c>
      <c r="BI181" s="7">
        <f t="shared" si="101"/>
        <v>626.66666666666947</v>
      </c>
      <c r="BJ181" s="7">
        <f t="shared" si="102"/>
        <v>11.000000000000057</v>
      </c>
      <c r="BK181" s="7">
        <f t="shared" si="103"/>
        <v>626.66666666666924</v>
      </c>
      <c r="BL181" s="7">
        <f t="shared" si="104"/>
        <v>0</v>
      </c>
      <c r="BM181" s="7">
        <f t="shared" si="105"/>
        <v>0</v>
      </c>
    </row>
    <row r="182" spans="1:65" x14ac:dyDescent="0.25">
      <c r="A182" s="7">
        <v>57</v>
      </c>
      <c r="B182" s="52">
        <f>'הזנת נתונים'!A57</f>
        <v>637.66666666666902</v>
      </c>
      <c r="C182" s="7">
        <f t="shared" si="76"/>
        <v>560.6666666666689</v>
      </c>
      <c r="D182" s="7">
        <f t="shared" si="76"/>
        <v>483.66666666666862</v>
      </c>
      <c r="E182" s="7">
        <f t="shared" si="81"/>
        <v>637.66666666666924</v>
      </c>
      <c r="F182" s="7">
        <f t="shared" si="82"/>
        <v>11.000000000000041</v>
      </c>
      <c r="G182" s="7">
        <f t="shared" si="83"/>
        <v>637.66666666666924</v>
      </c>
      <c r="H182" s="7">
        <f t="shared" si="84"/>
        <v>0</v>
      </c>
      <c r="I182" s="7">
        <f t="shared" si="85"/>
        <v>0</v>
      </c>
      <c r="O182" s="7">
        <v>57</v>
      </c>
      <c r="P182" s="52">
        <f>'הזנת נתונים'!A57</f>
        <v>637.66666666666902</v>
      </c>
      <c r="Q182" s="7">
        <f t="shared" si="77"/>
        <v>555.1666666666689</v>
      </c>
      <c r="R182" s="7">
        <f t="shared" si="77"/>
        <v>472.66666666666856</v>
      </c>
      <c r="S182" s="7">
        <f t="shared" si="86"/>
        <v>637.66666666666924</v>
      </c>
      <c r="T182" s="7">
        <f t="shared" si="87"/>
        <v>10.312500000000043</v>
      </c>
      <c r="U182" s="7">
        <f t="shared" si="88"/>
        <v>636.97916666666902</v>
      </c>
      <c r="V182" s="7">
        <f t="shared" si="89"/>
        <v>-0.6875</v>
      </c>
      <c r="W182" s="7">
        <f t="shared" si="90"/>
        <v>0.47265625</v>
      </c>
      <c r="AC182" s="7">
        <v>57</v>
      </c>
      <c r="AD182" s="52">
        <f>'הזנת נתונים'!A57</f>
        <v>637.66666666666902</v>
      </c>
      <c r="AE182" s="7">
        <f t="shared" si="78"/>
        <v>549.66666666666879</v>
      </c>
      <c r="AF182" s="7">
        <f t="shared" si="78"/>
        <v>461.6666666666685</v>
      </c>
      <c r="AG182" s="7">
        <f t="shared" si="91"/>
        <v>637.66666666666902</v>
      </c>
      <c r="AH182" s="7">
        <f t="shared" si="92"/>
        <v>11.000000000000036</v>
      </c>
      <c r="AI182" s="7">
        <f t="shared" si="93"/>
        <v>637.66666666666902</v>
      </c>
      <c r="AJ182" s="7">
        <f t="shared" si="94"/>
        <v>0</v>
      </c>
      <c r="AK182" s="7">
        <f t="shared" si="95"/>
        <v>0</v>
      </c>
      <c r="AQ182" s="7">
        <v>57</v>
      </c>
      <c r="AR182" s="52">
        <f>'הזנת נתונים'!A57</f>
        <v>637.66666666666902</v>
      </c>
      <c r="AS182" s="7">
        <f t="shared" si="79"/>
        <v>544.1666666666689</v>
      </c>
      <c r="AT182" s="7">
        <f t="shared" si="79"/>
        <v>450.6666666666685</v>
      </c>
      <c r="AU182" s="7">
        <f t="shared" si="96"/>
        <v>637.66666666666924</v>
      </c>
      <c r="AV182" s="7">
        <f t="shared" si="97"/>
        <v>11.000000000000046</v>
      </c>
      <c r="AW182" s="7">
        <f t="shared" si="98"/>
        <v>637.66666666666936</v>
      </c>
      <c r="AX182" s="7">
        <f t="shared" si="99"/>
        <v>0</v>
      </c>
      <c r="AY182" s="7">
        <f t="shared" si="100"/>
        <v>0</v>
      </c>
      <c r="BE182" s="7">
        <v>57</v>
      </c>
      <c r="BF182" s="52">
        <f>'הזנת נתונים'!A57</f>
        <v>637.66666666666902</v>
      </c>
      <c r="BG182" s="7">
        <f t="shared" si="80"/>
        <v>538.6666666666689</v>
      </c>
      <c r="BH182" s="7">
        <f t="shared" si="80"/>
        <v>439.66666666666845</v>
      </c>
      <c r="BI182" s="7">
        <f t="shared" si="101"/>
        <v>637.66666666666936</v>
      </c>
      <c r="BJ182" s="7">
        <f t="shared" si="102"/>
        <v>11.00000000000005</v>
      </c>
      <c r="BK182" s="7">
        <f t="shared" si="103"/>
        <v>637.66666666666947</v>
      </c>
      <c r="BL182" s="7">
        <f t="shared" si="104"/>
        <v>0</v>
      </c>
      <c r="BM182" s="7">
        <f t="shared" si="105"/>
        <v>0</v>
      </c>
    </row>
    <row r="183" spans="1:65" x14ac:dyDescent="0.25">
      <c r="A183" s="7">
        <v>58</v>
      </c>
      <c r="B183" s="52">
        <f>'הזנת נתונים'!A58</f>
        <v>648.66666666666902</v>
      </c>
      <c r="C183" s="7">
        <f t="shared" si="76"/>
        <v>571.6666666666689</v>
      </c>
      <c r="D183" s="7">
        <f t="shared" si="76"/>
        <v>494.66666666666868</v>
      </c>
      <c r="E183" s="7">
        <f t="shared" si="81"/>
        <v>648.66666666666913</v>
      </c>
      <c r="F183" s="7">
        <f t="shared" si="82"/>
        <v>11.000000000000032</v>
      </c>
      <c r="G183" s="7">
        <f t="shared" si="83"/>
        <v>648.66666666666924</v>
      </c>
      <c r="H183" s="7">
        <f t="shared" si="84"/>
        <v>0</v>
      </c>
      <c r="I183" s="7">
        <f t="shared" si="85"/>
        <v>0</v>
      </c>
      <c r="O183" s="7">
        <v>58</v>
      </c>
      <c r="P183" s="52">
        <f>'הזנת נתונים'!A58</f>
        <v>648.66666666666902</v>
      </c>
      <c r="Q183" s="7">
        <f t="shared" si="77"/>
        <v>566.1666666666689</v>
      </c>
      <c r="R183" s="7">
        <f t="shared" si="77"/>
        <v>483.66666666666862</v>
      </c>
      <c r="S183" s="7">
        <f t="shared" si="86"/>
        <v>648.66666666666924</v>
      </c>
      <c r="T183" s="7">
        <f t="shared" si="87"/>
        <v>10.312500000000036</v>
      </c>
      <c r="U183" s="7">
        <f t="shared" si="88"/>
        <v>647.97916666666924</v>
      </c>
      <c r="V183" s="7">
        <f t="shared" si="89"/>
        <v>-0.68749999999977263</v>
      </c>
      <c r="W183" s="7">
        <f t="shared" si="90"/>
        <v>0.47265624999968736</v>
      </c>
      <c r="AC183" s="7">
        <v>58</v>
      </c>
      <c r="AD183" s="52">
        <f>'הזנת נתונים'!A58</f>
        <v>648.66666666666902</v>
      </c>
      <c r="AE183" s="7">
        <f t="shared" si="78"/>
        <v>560.6666666666689</v>
      </c>
      <c r="AF183" s="7">
        <f t="shared" si="78"/>
        <v>472.66666666666856</v>
      </c>
      <c r="AG183" s="7">
        <f t="shared" si="91"/>
        <v>648.66666666666924</v>
      </c>
      <c r="AH183" s="7">
        <f t="shared" si="92"/>
        <v>11.000000000000043</v>
      </c>
      <c r="AI183" s="7">
        <f t="shared" si="93"/>
        <v>648.66666666666902</v>
      </c>
      <c r="AJ183" s="7">
        <f t="shared" si="94"/>
        <v>0</v>
      </c>
      <c r="AK183" s="7">
        <f t="shared" si="95"/>
        <v>0</v>
      </c>
      <c r="AQ183" s="7">
        <v>58</v>
      </c>
      <c r="AR183" s="52">
        <f>'הזנת נתונים'!A58</f>
        <v>648.66666666666902</v>
      </c>
      <c r="AS183" s="7">
        <f t="shared" si="79"/>
        <v>555.1666666666689</v>
      </c>
      <c r="AT183" s="7">
        <f t="shared" si="79"/>
        <v>461.66666666666856</v>
      </c>
      <c r="AU183" s="7">
        <f t="shared" si="96"/>
        <v>648.66666666666924</v>
      </c>
      <c r="AV183" s="7">
        <f t="shared" si="97"/>
        <v>11.000000000000041</v>
      </c>
      <c r="AW183" s="7">
        <f t="shared" si="98"/>
        <v>648.66666666666924</v>
      </c>
      <c r="AX183" s="7">
        <f t="shared" si="99"/>
        <v>0</v>
      </c>
      <c r="AY183" s="7">
        <f t="shared" si="100"/>
        <v>0</v>
      </c>
      <c r="BE183" s="7">
        <v>58</v>
      </c>
      <c r="BF183" s="52">
        <f>'הזנת נתונים'!A58</f>
        <v>648.66666666666902</v>
      </c>
      <c r="BG183" s="7">
        <f t="shared" si="80"/>
        <v>549.6666666666689</v>
      </c>
      <c r="BH183" s="7">
        <f t="shared" si="80"/>
        <v>450.66666666666856</v>
      </c>
      <c r="BI183" s="7">
        <f t="shared" si="101"/>
        <v>648.66666666666924</v>
      </c>
      <c r="BJ183" s="7">
        <f t="shared" si="102"/>
        <v>11.000000000000037</v>
      </c>
      <c r="BK183" s="7">
        <f t="shared" si="103"/>
        <v>648.66666666666936</v>
      </c>
      <c r="BL183" s="7">
        <f t="shared" si="104"/>
        <v>0</v>
      </c>
      <c r="BM183" s="7">
        <f t="shared" si="105"/>
        <v>0</v>
      </c>
    </row>
    <row r="184" spans="1:65" x14ac:dyDescent="0.25">
      <c r="A184" s="7">
        <v>59</v>
      </c>
      <c r="B184" s="52">
        <f>'הזנת נתונים'!A59</f>
        <v>659.66666666666902</v>
      </c>
      <c r="C184" s="7">
        <f t="shared" si="76"/>
        <v>582.6666666666689</v>
      </c>
      <c r="D184" s="7">
        <f t="shared" si="76"/>
        <v>505.66666666666873</v>
      </c>
      <c r="E184" s="7">
        <f t="shared" si="81"/>
        <v>659.66666666666902</v>
      </c>
      <c r="F184" s="7">
        <f t="shared" si="82"/>
        <v>11.000000000000025</v>
      </c>
      <c r="G184" s="7">
        <f t="shared" si="83"/>
        <v>659.66666666666913</v>
      </c>
      <c r="H184" s="7">
        <f t="shared" si="84"/>
        <v>0</v>
      </c>
      <c r="I184" s="7">
        <f t="shared" si="85"/>
        <v>0</v>
      </c>
      <c r="O184" s="7">
        <v>59</v>
      </c>
      <c r="P184" s="52">
        <f>'הזנת נתונים'!A59</f>
        <v>659.66666666666902</v>
      </c>
      <c r="Q184" s="7">
        <f t="shared" si="77"/>
        <v>577.1666666666689</v>
      </c>
      <c r="R184" s="7">
        <f t="shared" si="77"/>
        <v>494.66666666666862</v>
      </c>
      <c r="S184" s="7">
        <f t="shared" si="86"/>
        <v>659.66666666666924</v>
      </c>
      <c r="T184" s="7">
        <f t="shared" si="87"/>
        <v>10.312500000000036</v>
      </c>
      <c r="U184" s="7">
        <f t="shared" si="88"/>
        <v>658.97916666666924</v>
      </c>
      <c r="V184" s="7">
        <f t="shared" si="89"/>
        <v>-0.68749999999977263</v>
      </c>
      <c r="W184" s="7">
        <f t="shared" si="90"/>
        <v>0.47265624999968736</v>
      </c>
      <c r="AC184" s="7">
        <v>59</v>
      </c>
      <c r="AD184" s="52">
        <f>'הזנת נתונים'!A59</f>
        <v>659.66666666666902</v>
      </c>
      <c r="AE184" s="7">
        <f t="shared" si="78"/>
        <v>571.6666666666689</v>
      </c>
      <c r="AF184" s="7">
        <f t="shared" si="78"/>
        <v>483.66666666666862</v>
      </c>
      <c r="AG184" s="7">
        <f t="shared" si="91"/>
        <v>659.66666666666924</v>
      </c>
      <c r="AH184" s="7">
        <f t="shared" si="92"/>
        <v>11.000000000000036</v>
      </c>
      <c r="AI184" s="7">
        <f t="shared" si="93"/>
        <v>659.66666666666924</v>
      </c>
      <c r="AJ184" s="7">
        <f t="shared" si="94"/>
        <v>0</v>
      </c>
      <c r="AK184" s="7">
        <f t="shared" si="95"/>
        <v>0</v>
      </c>
      <c r="AQ184" s="7">
        <v>59</v>
      </c>
      <c r="AR184" s="52">
        <f>'הזנת נתונים'!A59</f>
        <v>659.66666666666902</v>
      </c>
      <c r="AS184" s="7">
        <f t="shared" si="79"/>
        <v>566.16666666666902</v>
      </c>
      <c r="AT184" s="7">
        <f t="shared" si="79"/>
        <v>472.66666666666856</v>
      </c>
      <c r="AU184" s="7">
        <f t="shared" si="96"/>
        <v>659.66666666666947</v>
      </c>
      <c r="AV184" s="7">
        <f t="shared" si="97"/>
        <v>11.000000000000053</v>
      </c>
      <c r="AW184" s="7">
        <f t="shared" si="98"/>
        <v>659.66666666666924</v>
      </c>
      <c r="AX184" s="7">
        <f t="shared" si="99"/>
        <v>0</v>
      </c>
      <c r="AY184" s="7">
        <f t="shared" si="100"/>
        <v>0</v>
      </c>
      <c r="BE184" s="7">
        <v>59</v>
      </c>
      <c r="BF184" s="52">
        <f>'הזנת נתונים'!A59</f>
        <v>659.66666666666902</v>
      </c>
      <c r="BG184" s="7">
        <f t="shared" si="80"/>
        <v>560.6666666666689</v>
      </c>
      <c r="BH184" s="7">
        <f t="shared" si="80"/>
        <v>461.66666666666862</v>
      </c>
      <c r="BI184" s="7">
        <f t="shared" si="101"/>
        <v>659.66666666666924</v>
      </c>
      <c r="BJ184" s="7">
        <f t="shared" si="102"/>
        <v>11.000000000000032</v>
      </c>
      <c r="BK184" s="7">
        <f t="shared" si="103"/>
        <v>659.66666666666924</v>
      </c>
      <c r="BL184" s="7">
        <f t="shared" si="104"/>
        <v>0</v>
      </c>
      <c r="BM184" s="7">
        <f t="shared" si="105"/>
        <v>0</v>
      </c>
    </row>
    <row r="185" spans="1:65" x14ac:dyDescent="0.25">
      <c r="A185" s="7">
        <v>60</v>
      </c>
      <c r="B185" s="52">
        <f>'הזנת נתונים'!A60</f>
        <v>670.66666666666902</v>
      </c>
      <c r="C185" s="7">
        <f t="shared" si="76"/>
        <v>593.66666666666902</v>
      </c>
      <c r="D185" s="7">
        <f t="shared" si="76"/>
        <v>516.66666666666868</v>
      </c>
      <c r="E185" s="7">
        <f t="shared" si="81"/>
        <v>670.66666666666936</v>
      </c>
      <c r="F185" s="7">
        <f t="shared" si="82"/>
        <v>11.000000000000048</v>
      </c>
      <c r="G185" s="7">
        <f t="shared" si="83"/>
        <v>670.66666666666902</v>
      </c>
      <c r="H185" s="7">
        <f t="shared" si="84"/>
        <v>0</v>
      </c>
      <c r="I185" s="7">
        <f t="shared" si="85"/>
        <v>0</v>
      </c>
      <c r="O185" s="7">
        <v>60</v>
      </c>
      <c r="P185" s="52">
        <f>'הזנת נתונים'!A60</f>
        <v>670.66666666666902</v>
      </c>
      <c r="Q185" s="7">
        <f t="shared" si="77"/>
        <v>588.1666666666689</v>
      </c>
      <c r="R185" s="7">
        <f t="shared" si="77"/>
        <v>505.66666666666868</v>
      </c>
      <c r="S185" s="7">
        <f t="shared" si="86"/>
        <v>670.66666666666913</v>
      </c>
      <c r="T185" s="7">
        <f t="shared" si="87"/>
        <v>10.312500000000028</v>
      </c>
      <c r="U185" s="7">
        <f t="shared" si="88"/>
        <v>669.97916666666924</v>
      </c>
      <c r="V185" s="7">
        <f t="shared" si="89"/>
        <v>-0.68749999999977263</v>
      </c>
      <c r="W185" s="7">
        <f t="shared" si="90"/>
        <v>0.47265624999968736</v>
      </c>
      <c r="AC185" s="7">
        <v>60</v>
      </c>
      <c r="AD185" s="52">
        <f>'הזנת נתונים'!A60</f>
        <v>670.66666666666902</v>
      </c>
      <c r="AE185" s="7">
        <f t="shared" si="78"/>
        <v>582.6666666666689</v>
      </c>
      <c r="AF185" s="7">
        <f t="shared" si="78"/>
        <v>494.66666666666862</v>
      </c>
      <c r="AG185" s="7">
        <f t="shared" si="91"/>
        <v>670.66666666666924</v>
      </c>
      <c r="AH185" s="7">
        <f t="shared" si="92"/>
        <v>11.000000000000036</v>
      </c>
      <c r="AI185" s="7">
        <f t="shared" si="93"/>
        <v>670.66666666666924</v>
      </c>
      <c r="AJ185" s="7">
        <f t="shared" si="94"/>
        <v>0</v>
      </c>
      <c r="AK185" s="7">
        <f t="shared" si="95"/>
        <v>0</v>
      </c>
      <c r="AQ185" s="7">
        <v>60</v>
      </c>
      <c r="AR185" s="52">
        <f>'הזנת נתונים'!A60</f>
        <v>670.66666666666902</v>
      </c>
      <c r="AS185" s="7">
        <f t="shared" si="79"/>
        <v>577.16666666666902</v>
      </c>
      <c r="AT185" s="7">
        <f t="shared" si="79"/>
        <v>483.66666666666856</v>
      </c>
      <c r="AU185" s="7">
        <f t="shared" si="96"/>
        <v>670.66666666666947</v>
      </c>
      <c r="AV185" s="7">
        <f t="shared" si="97"/>
        <v>11.000000000000053</v>
      </c>
      <c r="AW185" s="7">
        <f t="shared" si="98"/>
        <v>670.66666666666947</v>
      </c>
      <c r="AX185" s="7">
        <f t="shared" si="99"/>
        <v>0</v>
      </c>
      <c r="AY185" s="7">
        <f t="shared" si="100"/>
        <v>0</v>
      </c>
      <c r="BE185" s="7">
        <v>60</v>
      </c>
      <c r="BF185" s="52">
        <f>'הזנת נתונים'!A60</f>
        <v>670.66666666666902</v>
      </c>
      <c r="BG185" s="7">
        <f t="shared" si="80"/>
        <v>571.66666666666902</v>
      </c>
      <c r="BH185" s="7">
        <f t="shared" si="80"/>
        <v>472.66666666666862</v>
      </c>
      <c r="BI185" s="7">
        <f t="shared" si="101"/>
        <v>670.66666666666947</v>
      </c>
      <c r="BJ185" s="7">
        <f t="shared" si="102"/>
        <v>11.000000000000044</v>
      </c>
      <c r="BK185" s="7">
        <f t="shared" si="103"/>
        <v>670.66666666666924</v>
      </c>
      <c r="BL185" s="7">
        <f t="shared" si="104"/>
        <v>0</v>
      </c>
      <c r="BM185" s="7">
        <f t="shared" si="105"/>
        <v>0</v>
      </c>
    </row>
    <row r="187" spans="1:65" x14ac:dyDescent="0.25">
      <c r="A187" s="7" t="s">
        <v>1</v>
      </c>
      <c r="B187" s="52" t="s">
        <v>0</v>
      </c>
      <c r="C187" s="7" t="s">
        <v>30</v>
      </c>
      <c r="D187" s="7" t="s">
        <v>31</v>
      </c>
      <c r="E187" s="7" t="s">
        <v>32</v>
      </c>
      <c r="F187" s="7" t="s">
        <v>33</v>
      </c>
      <c r="G187" s="7" t="s">
        <v>34</v>
      </c>
      <c r="H187" s="7" t="s">
        <v>35</v>
      </c>
      <c r="I187" s="7" t="s">
        <v>8</v>
      </c>
      <c r="J187" s="5" t="s">
        <v>22</v>
      </c>
      <c r="M187" s="22">
        <v>20</v>
      </c>
      <c r="O187" s="7" t="s">
        <v>1</v>
      </c>
      <c r="P187" s="52" t="s">
        <v>0</v>
      </c>
      <c r="Q187" s="7" t="s">
        <v>30</v>
      </c>
      <c r="R187" s="7" t="s">
        <v>31</v>
      </c>
      <c r="S187" s="7" t="s">
        <v>32</v>
      </c>
      <c r="T187" s="7" t="s">
        <v>33</v>
      </c>
      <c r="U187" s="7" t="s">
        <v>34</v>
      </c>
      <c r="V187" s="7" t="s">
        <v>35</v>
      </c>
      <c r="W187" s="7" t="s">
        <v>8</v>
      </c>
      <c r="X187" s="5" t="s">
        <v>22</v>
      </c>
      <c r="AA187" s="22">
        <v>2</v>
      </c>
      <c r="AC187" s="7" t="s">
        <v>1</v>
      </c>
      <c r="AD187" s="52" t="s">
        <v>0</v>
      </c>
      <c r="AE187" s="7" t="s">
        <v>30</v>
      </c>
      <c r="AF187" s="7" t="s">
        <v>31</v>
      </c>
      <c r="AG187" s="7" t="s">
        <v>32</v>
      </c>
      <c r="AH187" s="7" t="s">
        <v>33</v>
      </c>
      <c r="AI187" s="7" t="s">
        <v>34</v>
      </c>
      <c r="AJ187" s="7" t="s">
        <v>35</v>
      </c>
      <c r="AK187" s="7" t="s">
        <v>8</v>
      </c>
      <c r="AL187" s="5" t="s">
        <v>22</v>
      </c>
      <c r="AO187" s="22">
        <v>3</v>
      </c>
      <c r="AQ187" s="7" t="s">
        <v>1</v>
      </c>
      <c r="AR187" s="52" t="s">
        <v>0</v>
      </c>
      <c r="AS187" s="7" t="s">
        <v>30</v>
      </c>
      <c r="AT187" s="7" t="s">
        <v>31</v>
      </c>
      <c r="AU187" s="7" t="s">
        <v>32</v>
      </c>
      <c r="AV187" s="7" t="s">
        <v>33</v>
      </c>
      <c r="AW187" s="7" t="s">
        <v>34</v>
      </c>
      <c r="AX187" s="7" t="s">
        <v>35</v>
      </c>
      <c r="AY187" s="7" t="s">
        <v>8</v>
      </c>
      <c r="AZ187" s="5" t="s">
        <v>22</v>
      </c>
      <c r="BC187" s="22">
        <v>4</v>
      </c>
    </row>
    <row r="188" spans="1:65" x14ac:dyDescent="0.25">
      <c r="A188" s="7">
        <v>1</v>
      </c>
      <c r="B188" s="52">
        <f>'הזנת נתונים'!A1</f>
        <v>28</v>
      </c>
      <c r="C188" s="7"/>
      <c r="D188" s="7"/>
      <c r="E188" s="7"/>
      <c r="F188" s="7"/>
      <c r="G188" s="7"/>
      <c r="H188" s="7"/>
      <c r="I188" s="7"/>
      <c r="J188" s="5">
        <f>AVERAGE(I197:I247)</f>
        <v>8.1763619578988453E-5</v>
      </c>
      <c r="K188" s="6" t="s">
        <v>36</v>
      </c>
      <c r="O188" s="7">
        <v>1</v>
      </c>
      <c r="P188" s="52">
        <f>'הזנת נתונים'!A1</f>
        <v>28</v>
      </c>
      <c r="Q188" s="7"/>
      <c r="R188" s="7"/>
      <c r="S188" s="7"/>
      <c r="T188" s="7"/>
      <c r="U188" s="7"/>
      <c r="V188" s="7"/>
      <c r="W188" s="7"/>
      <c r="X188" s="5">
        <f>AVERAGE(W191:W247)</f>
        <v>4.3291910331383914</v>
      </c>
      <c r="Y188" s="6" t="s">
        <v>36</v>
      </c>
      <c r="AC188" s="7">
        <v>1</v>
      </c>
      <c r="AD188" s="52">
        <f>'הזנת נתונים'!A1</f>
        <v>28</v>
      </c>
      <c r="AE188" s="7"/>
      <c r="AF188" s="7"/>
      <c r="AG188" s="7"/>
      <c r="AH188" s="7"/>
      <c r="AI188" s="7"/>
      <c r="AJ188" s="7"/>
      <c r="AK188" s="7"/>
      <c r="AL188" s="5">
        <f>AVERAGE(AK193:AK247)</f>
        <v>0.29065968325230335</v>
      </c>
      <c r="AM188" s="6" t="s">
        <v>36</v>
      </c>
      <c r="AQ188" s="7">
        <v>1</v>
      </c>
      <c r="AR188" s="52">
        <f>'הזנת נתונים'!A1</f>
        <v>28</v>
      </c>
      <c r="AS188" s="7"/>
      <c r="AT188" s="7"/>
      <c r="AU188" s="7"/>
      <c r="AV188" s="7"/>
      <c r="AW188" s="7"/>
      <c r="AX188" s="7"/>
      <c r="AY188" s="7"/>
      <c r="AZ188" s="5">
        <f>AVERAGE(AY195:AY247)</f>
        <v>7.355724435126712E-2</v>
      </c>
      <c r="BA188" s="6" t="s">
        <v>36</v>
      </c>
    </row>
    <row r="189" spans="1:65" x14ac:dyDescent="0.25">
      <c r="A189" s="7">
        <v>2</v>
      </c>
      <c r="B189" s="52">
        <f>'הזנת נתונים'!A2</f>
        <v>35</v>
      </c>
      <c r="C189" s="7"/>
      <c r="D189" s="7"/>
      <c r="E189" s="7"/>
      <c r="F189" s="7"/>
      <c r="G189" s="7"/>
      <c r="H189" s="7"/>
      <c r="I189" s="7"/>
      <c r="K189">
        <v>1</v>
      </c>
      <c r="L189" s="4">
        <f>$E$247+$F$247*K189</f>
        <v>681.66666666666947</v>
      </c>
      <c r="O189" s="7">
        <v>2</v>
      </c>
      <c r="P189" s="52">
        <f>'הזנת נתונים'!A2</f>
        <v>35</v>
      </c>
      <c r="Q189" s="7">
        <f>AVERAGE(P188:P189)</f>
        <v>31.5</v>
      </c>
      <c r="R189" s="7"/>
      <c r="S189" s="7"/>
      <c r="T189" s="7"/>
      <c r="U189" s="7"/>
      <c r="V189" s="7"/>
      <c r="W189" s="7"/>
      <c r="Y189">
        <v>1</v>
      </c>
      <c r="Z189" s="4">
        <f>$S$247+$T$247*Y189</f>
        <v>681.66666666666902</v>
      </c>
      <c r="AC189" s="7">
        <v>2</v>
      </c>
      <c r="AD189" s="52">
        <f>'הזנת נתונים'!A2</f>
        <v>35</v>
      </c>
      <c r="AE189" s="7"/>
      <c r="AF189" s="7"/>
      <c r="AG189" s="7"/>
      <c r="AH189" s="7"/>
      <c r="AI189" s="7"/>
      <c r="AJ189" s="7"/>
      <c r="AK189" s="7"/>
      <c r="AM189">
        <v>1</v>
      </c>
      <c r="AN189" s="4">
        <f>$AG$247+$AH$247*AM189</f>
        <v>681.66666666666902</v>
      </c>
      <c r="AQ189" s="7">
        <v>2</v>
      </c>
      <c r="AR189" s="52">
        <f>'הזנת נתונים'!A2</f>
        <v>35</v>
      </c>
      <c r="AS189" s="7"/>
      <c r="AT189" s="7"/>
      <c r="AU189" s="7"/>
      <c r="AV189" s="7"/>
      <c r="AW189" s="7"/>
      <c r="AX189" s="7"/>
      <c r="AY189" s="7"/>
      <c r="BA189">
        <v>1</v>
      </c>
      <c r="BB189" s="4">
        <f>$AU$247+$AV$247*BA189</f>
        <v>681.66666666666902</v>
      </c>
    </row>
    <row r="190" spans="1:65" x14ac:dyDescent="0.25">
      <c r="A190" s="7">
        <v>3</v>
      </c>
      <c r="B190" s="52">
        <f>'הזנת נתונים'!A3</f>
        <v>40</v>
      </c>
      <c r="C190" s="7"/>
      <c r="D190" s="7"/>
      <c r="E190" s="7"/>
      <c r="F190" s="7"/>
      <c r="G190" s="7"/>
      <c r="H190" s="7"/>
      <c r="I190" s="7"/>
      <c r="K190">
        <v>2</v>
      </c>
      <c r="L190" s="4">
        <f t="shared" ref="L190:L200" si="106">$E$247+$F$247*K190</f>
        <v>692.66666666666958</v>
      </c>
      <c r="O190" s="7">
        <v>3</v>
      </c>
      <c r="P190" s="52">
        <f>'הזנת נתונים'!A3</f>
        <v>40</v>
      </c>
      <c r="Q190" s="7">
        <f t="shared" ref="Q190:R247" si="107">AVERAGE(P189:P190)</f>
        <v>37.5</v>
      </c>
      <c r="R190" s="7">
        <f>AVERAGE(Q189:Q190)</f>
        <v>34.5</v>
      </c>
      <c r="S190" s="7">
        <f>2*Q190-R190</f>
        <v>40.5</v>
      </c>
      <c r="T190" s="7">
        <f>2*(Q190-R190)/(2-1)</f>
        <v>6</v>
      </c>
      <c r="U190" s="7"/>
      <c r="V190" s="7"/>
      <c r="W190" s="7"/>
      <c r="Y190">
        <v>2</v>
      </c>
      <c r="Z190" s="4">
        <f t="shared" ref="Z190:Z200" si="108">$S$247+$T$247*Y190</f>
        <v>692.66666666666902</v>
      </c>
      <c r="AC190" s="7">
        <v>3</v>
      </c>
      <c r="AD190" s="52">
        <f>'הזנת נתונים'!A3</f>
        <v>40</v>
      </c>
      <c r="AE190" s="7">
        <f>AVERAGE(AD188:AD190)</f>
        <v>34.333333333333336</v>
      </c>
      <c r="AF190" s="7"/>
      <c r="AG190" s="7"/>
      <c r="AH190" s="7"/>
      <c r="AI190" s="7"/>
      <c r="AJ190" s="7"/>
      <c r="AK190" s="7"/>
      <c r="AM190">
        <v>2</v>
      </c>
      <c r="AN190" s="4">
        <f t="shared" ref="AN190:AN200" si="109">$AG$247+$AH$247*AM190</f>
        <v>692.66666666666902</v>
      </c>
      <c r="AQ190" s="7">
        <v>3</v>
      </c>
      <c r="AR190" s="52">
        <f>'הזנת נתונים'!A3</f>
        <v>40</v>
      </c>
      <c r="AS190" s="7"/>
      <c r="AT190" s="7"/>
      <c r="AU190" s="7"/>
      <c r="AV190" s="7"/>
      <c r="AW190" s="7"/>
      <c r="AX190" s="7"/>
      <c r="AY190" s="7"/>
      <c r="BA190">
        <v>2</v>
      </c>
      <c r="BB190" s="4">
        <f t="shared" ref="BB190:BB200" si="110">$AU$247+$AV$247*BA190</f>
        <v>692.66666666666902</v>
      </c>
    </row>
    <row r="191" spans="1:65" x14ac:dyDescent="0.25">
      <c r="A191" s="7">
        <v>4</v>
      </c>
      <c r="B191" s="52">
        <f>'הזנת נתונים'!A4</f>
        <v>55</v>
      </c>
      <c r="C191" s="7"/>
      <c r="D191" s="7"/>
      <c r="E191" s="7"/>
      <c r="F191" s="7"/>
      <c r="G191" s="7"/>
      <c r="H191" s="7"/>
      <c r="I191" s="7"/>
      <c r="K191">
        <v>3</v>
      </c>
      <c r="L191" s="4">
        <f t="shared" si="106"/>
        <v>703.66666666666958</v>
      </c>
      <c r="O191" s="7">
        <v>4</v>
      </c>
      <c r="P191" s="52">
        <f>'הזנת נתונים'!A4</f>
        <v>55</v>
      </c>
      <c r="Q191" s="7">
        <f t="shared" si="107"/>
        <v>47.5</v>
      </c>
      <c r="R191" s="7">
        <f t="shared" si="107"/>
        <v>42.5</v>
      </c>
      <c r="S191" s="7">
        <f t="shared" ref="S191:S247" si="111">2*Q191-R191</f>
        <v>52.5</v>
      </c>
      <c r="T191" s="7">
        <f t="shared" ref="T191:T247" si="112">2*(Q191-R191)/(2-1)</f>
        <v>10</v>
      </c>
      <c r="U191" s="7">
        <f>T190+S190</f>
        <v>46.5</v>
      </c>
      <c r="V191" s="7">
        <f>U191-P191</f>
        <v>-8.5</v>
      </c>
      <c r="W191" s="7">
        <f>V191^2</f>
        <v>72.25</v>
      </c>
      <c r="Y191">
        <v>3</v>
      </c>
      <c r="Z191" s="4">
        <f t="shared" si="108"/>
        <v>703.66666666666902</v>
      </c>
      <c r="AC191" s="7">
        <v>4</v>
      </c>
      <c r="AD191" s="52">
        <f>'הזנת נתונים'!A4</f>
        <v>55</v>
      </c>
      <c r="AE191" s="7">
        <f t="shared" ref="AE191:AF247" si="113">AVERAGE(AD189:AD191)</f>
        <v>43.333333333333336</v>
      </c>
      <c r="AF191" s="7"/>
      <c r="AG191" s="7"/>
      <c r="AH191" s="7"/>
      <c r="AI191" s="7"/>
      <c r="AJ191" s="7"/>
      <c r="AK191" s="7"/>
      <c r="AM191">
        <v>3</v>
      </c>
      <c r="AN191" s="4">
        <f t="shared" si="109"/>
        <v>703.66666666666902</v>
      </c>
      <c r="AQ191" s="7">
        <v>4</v>
      </c>
      <c r="AR191" s="52">
        <f>'הזנת נתונים'!A4</f>
        <v>55</v>
      </c>
      <c r="AS191" s="7">
        <f>AVERAGE(AR188:AR191)</f>
        <v>39.5</v>
      </c>
      <c r="AT191" s="7"/>
      <c r="AU191" s="7"/>
      <c r="AV191" s="7"/>
      <c r="AW191" s="7"/>
      <c r="AX191" s="7"/>
      <c r="AY191" s="7"/>
      <c r="BA191">
        <v>3</v>
      </c>
      <c r="BB191" s="4">
        <f t="shared" si="110"/>
        <v>703.66666666666902</v>
      </c>
    </row>
    <row r="192" spans="1:65" x14ac:dyDescent="0.25">
      <c r="A192" s="7">
        <v>5</v>
      </c>
      <c r="B192" s="52">
        <f>'הזנת נתונים'!A5</f>
        <v>70</v>
      </c>
      <c r="C192" s="7"/>
      <c r="D192" s="7"/>
      <c r="E192" s="7"/>
      <c r="F192" s="7"/>
      <c r="G192" s="7"/>
      <c r="H192" s="7"/>
      <c r="I192" s="7"/>
      <c r="K192">
        <v>4</v>
      </c>
      <c r="L192" s="4">
        <f t="shared" si="106"/>
        <v>714.6666666666697</v>
      </c>
      <c r="O192" s="7">
        <v>5</v>
      </c>
      <c r="P192" s="52">
        <f>'הזנת נתונים'!A5</f>
        <v>70</v>
      </c>
      <c r="Q192" s="7">
        <f t="shared" si="107"/>
        <v>62.5</v>
      </c>
      <c r="R192" s="7">
        <f t="shared" si="107"/>
        <v>55</v>
      </c>
      <c r="S192" s="7">
        <f t="shared" si="111"/>
        <v>70</v>
      </c>
      <c r="T192" s="7">
        <f t="shared" si="112"/>
        <v>15</v>
      </c>
      <c r="U192" s="7">
        <f t="shared" ref="U192:U247" si="114">T191+S191</f>
        <v>62.5</v>
      </c>
      <c r="V192" s="7">
        <f t="shared" ref="V192:V247" si="115">U192-P192</f>
        <v>-7.5</v>
      </c>
      <c r="W192" s="7">
        <f t="shared" ref="W192:W247" si="116">V192^2</f>
        <v>56.25</v>
      </c>
      <c r="Y192">
        <v>4</v>
      </c>
      <c r="Z192" s="4">
        <f t="shared" si="108"/>
        <v>714.66666666666902</v>
      </c>
      <c r="AC192" s="7">
        <v>5</v>
      </c>
      <c r="AD192" s="52">
        <f>'הזנת נתונים'!A5</f>
        <v>70</v>
      </c>
      <c r="AE192" s="7">
        <f t="shared" si="113"/>
        <v>55</v>
      </c>
      <c r="AF192" s="7">
        <f>AVERAGE(AE190:AE192)</f>
        <v>44.222222222222229</v>
      </c>
      <c r="AG192" s="7">
        <f>2*AE192-AF192</f>
        <v>65.777777777777771</v>
      </c>
      <c r="AH192" s="7">
        <f>2*(AE192-AF192)/(3-1)</f>
        <v>10.777777777777771</v>
      </c>
      <c r="AI192" s="7"/>
      <c r="AJ192" s="7"/>
      <c r="AK192" s="7"/>
      <c r="AM192">
        <v>4</v>
      </c>
      <c r="AN192" s="4">
        <f t="shared" si="109"/>
        <v>714.66666666666902</v>
      </c>
      <c r="AQ192" s="7">
        <v>5</v>
      </c>
      <c r="AR192" s="52">
        <f>'הזנת נתונים'!A5</f>
        <v>70</v>
      </c>
      <c r="AS192" s="7">
        <f t="shared" ref="AS192:AT247" si="117">AVERAGE(AR189:AR192)</f>
        <v>50</v>
      </c>
      <c r="AT192" s="7"/>
      <c r="AU192" s="7"/>
      <c r="AV192" s="7"/>
      <c r="AW192" s="7"/>
      <c r="AX192" s="7"/>
      <c r="AY192" s="7"/>
      <c r="BA192">
        <v>4</v>
      </c>
      <c r="BB192" s="4">
        <f t="shared" si="110"/>
        <v>714.66666666666902</v>
      </c>
    </row>
    <row r="193" spans="1:54" x14ac:dyDescent="0.25">
      <c r="A193" s="7">
        <v>6</v>
      </c>
      <c r="B193" s="52">
        <f>'הזנת נתונים'!A6</f>
        <v>75</v>
      </c>
      <c r="C193" s="7"/>
      <c r="D193" s="7"/>
      <c r="E193" s="7"/>
      <c r="F193" s="7"/>
      <c r="G193" s="7"/>
      <c r="H193" s="7"/>
      <c r="I193" s="7"/>
      <c r="K193">
        <v>5</v>
      </c>
      <c r="L193" s="4">
        <f t="shared" si="106"/>
        <v>725.6666666666697</v>
      </c>
      <c r="O193" s="7">
        <v>6</v>
      </c>
      <c r="P193" s="52">
        <f>'הזנת נתונים'!A6</f>
        <v>75</v>
      </c>
      <c r="Q193" s="7">
        <f t="shared" si="107"/>
        <v>72.5</v>
      </c>
      <c r="R193" s="7">
        <f t="shared" si="107"/>
        <v>67.5</v>
      </c>
      <c r="S193" s="7">
        <f t="shared" si="111"/>
        <v>77.5</v>
      </c>
      <c r="T193" s="7">
        <f t="shared" si="112"/>
        <v>10</v>
      </c>
      <c r="U193" s="7">
        <f t="shared" si="114"/>
        <v>85</v>
      </c>
      <c r="V193" s="7">
        <f t="shared" si="115"/>
        <v>10</v>
      </c>
      <c r="W193" s="7">
        <f t="shared" si="116"/>
        <v>100</v>
      </c>
      <c r="Y193">
        <v>5</v>
      </c>
      <c r="Z193" s="4">
        <f t="shared" si="108"/>
        <v>725.66666666666902</v>
      </c>
      <c r="AC193" s="7">
        <v>6</v>
      </c>
      <c r="AD193" s="52">
        <f>'הזנת נתונים'!A6</f>
        <v>75</v>
      </c>
      <c r="AE193" s="7">
        <f t="shared" si="113"/>
        <v>66.666666666666671</v>
      </c>
      <c r="AF193" s="7">
        <f t="shared" si="113"/>
        <v>55</v>
      </c>
      <c r="AG193" s="7">
        <f t="shared" ref="AG193:AG247" si="118">2*AE193-AF193</f>
        <v>78.333333333333343</v>
      </c>
      <c r="AH193" s="7">
        <f t="shared" ref="AH193:AH247" si="119">2*(AE193-AF193)/(3-1)</f>
        <v>11.666666666666671</v>
      </c>
      <c r="AI193" s="7">
        <f>AH192+AG192</f>
        <v>76.555555555555543</v>
      </c>
      <c r="AJ193" s="7">
        <f>AI193-AD193</f>
        <v>1.5555555555555429</v>
      </c>
      <c r="AK193" s="7">
        <f>AJ193^2</f>
        <v>2.4197530864197137</v>
      </c>
      <c r="AM193">
        <v>5</v>
      </c>
      <c r="AN193" s="4">
        <f t="shared" si="109"/>
        <v>725.66666666666902</v>
      </c>
      <c r="AQ193" s="7">
        <v>6</v>
      </c>
      <c r="AR193" s="52">
        <f>'הזנת נתונים'!A6</f>
        <v>75</v>
      </c>
      <c r="AS193" s="7">
        <f t="shared" si="117"/>
        <v>60</v>
      </c>
      <c r="AT193" s="7"/>
      <c r="AU193" s="7"/>
      <c r="AV193" s="7"/>
      <c r="AW193" s="7"/>
      <c r="AX193" s="7"/>
      <c r="AY193" s="7"/>
      <c r="BA193">
        <v>5</v>
      </c>
      <c r="BB193" s="4">
        <f t="shared" si="110"/>
        <v>725.66666666666902</v>
      </c>
    </row>
    <row r="194" spans="1:54" x14ac:dyDescent="0.25">
      <c r="A194" s="7">
        <v>7</v>
      </c>
      <c r="B194" s="52">
        <f>'הזנת נתונים'!A7</f>
        <v>87.6666666666667</v>
      </c>
      <c r="C194" s="7"/>
      <c r="D194" s="7"/>
      <c r="E194" s="7"/>
      <c r="F194" s="7"/>
      <c r="G194" s="7"/>
      <c r="H194" s="7"/>
      <c r="I194" s="7"/>
      <c r="K194">
        <v>6</v>
      </c>
      <c r="L194" s="4">
        <f t="shared" si="106"/>
        <v>736.6666666666697</v>
      </c>
      <c r="O194" s="7">
        <v>7</v>
      </c>
      <c r="P194" s="52">
        <f>'הזנת נתונים'!A7</f>
        <v>87.6666666666667</v>
      </c>
      <c r="Q194" s="7">
        <f t="shared" si="107"/>
        <v>81.333333333333343</v>
      </c>
      <c r="R194" s="7">
        <f t="shared" si="107"/>
        <v>76.916666666666671</v>
      </c>
      <c r="S194" s="7">
        <f t="shared" si="111"/>
        <v>85.750000000000014</v>
      </c>
      <c r="T194" s="7">
        <f t="shared" si="112"/>
        <v>8.8333333333333428</v>
      </c>
      <c r="U194" s="7">
        <f t="shared" si="114"/>
        <v>87.5</v>
      </c>
      <c r="V194" s="7">
        <f t="shared" si="115"/>
        <v>-0.16666666666669983</v>
      </c>
      <c r="W194" s="7">
        <f t="shared" si="116"/>
        <v>2.777777777778883E-2</v>
      </c>
      <c r="Y194">
        <v>6</v>
      </c>
      <c r="Z194" s="4">
        <f t="shared" si="108"/>
        <v>736.66666666666902</v>
      </c>
      <c r="AC194" s="7">
        <v>7</v>
      </c>
      <c r="AD194" s="52">
        <f>'הזנת נתונים'!A7</f>
        <v>87.6666666666667</v>
      </c>
      <c r="AE194" s="7">
        <f t="shared" si="113"/>
        <v>77.555555555555557</v>
      </c>
      <c r="AF194" s="7">
        <f t="shared" si="113"/>
        <v>66.407407407407405</v>
      </c>
      <c r="AG194" s="7">
        <f t="shared" si="118"/>
        <v>88.703703703703709</v>
      </c>
      <c r="AH194" s="7">
        <f t="shared" si="119"/>
        <v>11.148148148148152</v>
      </c>
      <c r="AI194" s="7">
        <f t="shared" ref="AI194:AI247" si="120">AH193+AG193</f>
        <v>90.000000000000014</v>
      </c>
      <c r="AJ194" s="7">
        <f t="shared" ref="AJ194:AJ247" si="121">AI194-AD194</f>
        <v>2.3333333333333144</v>
      </c>
      <c r="AK194" s="7">
        <f t="shared" ref="AK194:AK247" si="122">AJ194^2</f>
        <v>5.4444444444443558</v>
      </c>
      <c r="AM194">
        <v>6</v>
      </c>
      <c r="AN194" s="4">
        <f t="shared" si="109"/>
        <v>736.66666666666902</v>
      </c>
      <c r="AQ194" s="7">
        <v>7</v>
      </c>
      <c r="AR194" s="52">
        <f>'הזנת נתונים'!A7</f>
        <v>87.6666666666667</v>
      </c>
      <c r="AS194" s="7">
        <f t="shared" si="117"/>
        <v>71.916666666666671</v>
      </c>
      <c r="AT194" s="7">
        <f>AVERAGE(AS191:AS194)</f>
        <v>55.354166666666671</v>
      </c>
      <c r="AU194" s="7">
        <f>2*AS194-AT194</f>
        <v>88.479166666666671</v>
      </c>
      <c r="AV194" s="7">
        <f>2*(AS194-AT194)/(4-1)</f>
        <v>11.041666666666666</v>
      </c>
      <c r="AW194" s="7"/>
      <c r="AX194" s="7"/>
      <c r="AY194" s="7"/>
      <c r="BA194">
        <v>6</v>
      </c>
      <c r="BB194" s="4">
        <f t="shared" si="110"/>
        <v>736.66666666666902</v>
      </c>
    </row>
    <row r="195" spans="1:54" x14ac:dyDescent="0.25">
      <c r="A195" s="7">
        <v>8</v>
      </c>
      <c r="B195" s="52">
        <f>'הזנת נתונים'!A8</f>
        <v>98.6666666666667</v>
      </c>
      <c r="C195" s="7"/>
      <c r="D195" s="7"/>
      <c r="E195" s="7"/>
      <c r="F195" s="7"/>
      <c r="G195" s="7"/>
      <c r="H195" s="7"/>
      <c r="I195" s="7"/>
      <c r="K195">
        <v>7</v>
      </c>
      <c r="L195" s="4">
        <f t="shared" si="106"/>
        <v>747.66666666666981</v>
      </c>
      <c r="O195" s="7">
        <v>8</v>
      </c>
      <c r="P195" s="52">
        <f>'הזנת נתונים'!A8</f>
        <v>98.6666666666667</v>
      </c>
      <c r="Q195" s="7">
        <f t="shared" si="107"/>
        <v>93.1666666666667</v>
      </c>
      <c r="R195" s="7">
        <f t="shared" si="107"/>
        <v>87.250000000000028</v>
      </c>
      <c r="S195" s="7">
        <f t="shared" si="111"/>
        <v>99.083333333333371</v>
      </c>
      <c r="T195" s="7">
        <f t="shared" si="112"/>
        <v>11.833333333333343</v>
      </c>
      <c r="U195" s="7">
        <f t="shared" si="114"/>
        <v>94.583333333333357</v>
      </c>
      <c r="V195" s="7">
        <f t="shared" si="115"/>
        <v>-4.0833333333333428</v>
      </c>
      <c r="W195" s="7">
        <f t="shared" si="116"/>
        <v>16.673611111111189</v>
      </c>
      <c r="Y195">
        <v>7</v>
      </c>
      <c r="Z195" s="4">
        <f t="shared" si="108"/>
        <v>747.66666666666902</v>
      </c>
      <c r="AC195" s="7">
        <v>8</v>
      </c>
      <c r="AD195" s="52">
        <f>'הזנת נתונים'!A8</f>
        <v>98.6666666666667</v>
      </c>
      <c r="AE195" s="7">
        <f t="shared" si="113"/>
        <v>87.111111111111128</v>
      </c>
      <c r="AF195" s="7">
        <f t="shared" si="113"/>
        <v>77.111111111111128</v>
      </c>
      <c r="AG195" s="7">
        <f t="shared" si="118"/>
        <v>97.111111111111128</v>
      </c>
      <c r="AH195" s="7">
        <f t="shared" si="119"/>
        <v>10</v>
      </c>
      <c r="AI195" s="7">
        <f t="shared" si="120"/>
        <v>99.851851851851862</v>
      </c>
      <c r="AJ195" s="7">
        <f t="shared" si="121"/>
        <v>1.185185185185162</v>
      </c>
      <c r="AK195" s="7">
        <f t="shared" si="122"/>
        <v>1.4046639231823868</v>
      </c>
      <c r="AM195">
        <v>7</v>
      </c>
      <c r="AN195" s="4">
        <f t="shared" si="109"/>
        <v>747.66666666666902</v>
      </c>
      <c r="AQ195" s="7">
        <v>8</v>
      </c>
      <c r="AR195" s="52">
        <f>'הזנת נתונים'!A8</f>
        <v>98.6666666666667</v>
      </c>
      <c r="AS195" s="7">
        <f t="shared" si="117"/>
        <v>82.833333333333343</v>
      </c>
      <c r="AT195" s="7">
        <f t="shared" si="117"/>
        <v>66.1875</v>
      </c>
      <c r="AU195" s="7">
        <f t="shared" ref="AU195:AU247" si="123">2*AS195-AT195</f>
        <v>99.479166666666686</v>
      </c>
      <c r="AV195" s="7">
        <f t="shared" ref="AV195:AV247" si="124">2*(AS195-AT195)/(4-1)</f>
        <v>11.097222222222229</v>
      </c>
      <c r="AW195" s="7">
        <f>AV194+AU194</f>
        <v>99.520833333333343</v>
      </c>
      <c r="AX195" s="7">
        <f>AW195-AR195</f>
        <v>0.85416666666664298</v>
      </c>
      <c r="AY195" s="7">
        <f>AX195^2</f>
        <v>0.72960069444440401</v>
      </c>
      <c r="BA195">
        <v>7</v>
      </c>
      <c r="BB195" s="4">
        <f t="shared" si="110"/>
        <v>747.66666666666902</v>
      </c>
    </row>
    <row r="196" spans="1:54" x14ac:dyDescent="0.25">
      <c r="A196" s="7">
        <v>9</v>
      </c>
      <c r="B196" s="52">
        <f>'הזנת נתונים'!A9</f>
        <v>109.666666666667</v>
      </c>
      <c r="C196" s="7"/>
      <c r="D196" s="7"/>
      <c r="E196" s="7"/>
      <c r="F196" s="7"/>
      <c r="G196" s="7"/>
      <c r="H196" s="7"/>
      <c r="I196" s="7"/>
      <c r="K196">
        <v>8</v>
      </c>
      <c r="L196" s="4">
        <f t="shared" si="106"/>
        <v>758.66666666666981</v>
      </c>
      <c r="O196" s="7">
        <v>9</v>
      </c>
      <c r="P196" s="52">
        <f>'הזנת נתונים'!A9</f>
        <v>109.666666666667</v>
      </c>
      <c r="Q196" s="7">
        <f t="shared" si="107"/>
        <v>104.16666666666686</v>
      </c>
      <c r="R196" s="7">
        <f t="shared" si="107"/>
        <v>98.666666666666771</v>
      </c>
      <c r="S196" s="7">
        <f t="shared" si="111"/>
        <v>109.66666666666694</v>
      </c>
      <c r="T196" s="7">
        <f t="shared" si="112"/>
        <v>11.000000000000171</v>
      </c>
      <c r="U196" s="7">
        <f t="shared" si="114"/>
        <v>110.91666666666671</v>
      </c>
      <c r="V196" s="7">
        <f t="shared" si="115"/>
        <v>1.2499999999997158</v>
      </c>
      <c r="W196" s="7">
        <f t="shared" si="116"/>
        <v>1.5624999999992895</v>
      </c>
      <c r="Y196">
        <v>8</v>
      </c>
      <c r="Z196" s="4">
        <f t="shared" si="108"/>
        <v>758.66666666666902</v>
      </c>
      <c r="AC196" s="7">
        <v>9</v>
      </c>
      <c r="AD196" s="52">
        <f>'הזנת נתונים'!A9</f>
        <v>109.666666666667</v>
      </c>
      <c r="AE196" s="7">
        <f t="shared" si="113"/>
        <v>98.666666666666799</v>
      </c>
      <c r="AF196" s="7">
        <f t="shared" si="113"/>
        <v>87.777777777777828</v>
      </c>
      <c r="AG196" s="7">
        <f t="shared" si="118"/>
        <v>109.55555555555577</v>
      </c>
      <c r="AH196" s="7">
        <f t="shared" si="119"/>
        <v>10.888888888888971</v>
      </c>
      <c r="AI196" s="7">
        <f t="shared" si="120"/>
        <v>107.11111111111113</v>
      </c>
      <c r="AJ196" s="7">
        <f t="shared" si="121"/>
        <v>-2.5555555555558698</v>
      </c>
      <c r="AK196" s="7">
        <f t="shared" si="122"/>
        <v>6.5308641975324706</v>
      </c>
      <c r="AM196">
        <v>8</v>
      </c>
      <c r="AN196" s="4">
        <f t="shared" si="109"/>
        <v>758.66666666666902</v>
      </c>
      <c r="AQ196" s="7">
        <v>9</v>
      </c>
      <c r="AR196" s="52">
        <f>'הזנת נתונים'!A9</f>
        <v>109.666666666667</v>
      </c>
      <c r="AS196" s="7">
        <f t="shared" si="117"/>
        <v>92.750000000000085</v>
      </c>
      <c r="AT196" s="7">
        <f t="shared" si="117"/>
        <v>76.875000000000028</v>
      </c>
      <c r="AU196" s="7">
        <f t="shared" si="123"/>
        <v>108.62500000000014</v>
      </c>
      <c r="AV196" s="7">
        <f t="shared" si="124"/>
        <v>10.583333333333371</v>
      </c>
      <c r="AW196" s="7">
        <f t="shared" ref="AW196:AW247" si="125">AV195+AU195</f>
        <v>110.57638888888891</v>
      </c>
      <c r="AX196" s="7">
        <f t="shared" ref="AX196:AX247" si="126">AW196-AR196</f>
        <v>0.9097222222219159</v>
      </c>
      <c r="AY196" s="7">
        <f t="shared" ref="AY196:AY247" si="127">AX196^2</f>
        <v>0.82759452160438096</v>
      </c>
      <c r="BA196">
        <v>8</v>
      </c>
      <c r="BB196" s="4">
        <f t="shared" si="110"/>
        <v>758.66666666666902</v>
      </c>
    </row>
    <row r="197" spans="1:54" x14ac:dyDescent="0.25">
      <c r="A197" s="7">
        <v>10</v>
      </c>
      <c r="B197" s="52">
        <f>'הזנת נתונים'!A10</f>
        <v>120.666666666667</v>
      </c>
      <c r="C197" s="7"/>
      <c r="D197" s="7"/>
      <c r="E197" s="7"/>
      <c r="F197" s="7"/>
      <c r="G197" s="7"/>
      <c r="H197" s="7"/>
      <c r="I197" s="7"/>
      <c r="K197">
        <v>9</v>
      </c>
      <c r="L197" s="4">
        <f t="shared" si="106"/>
        <v>769.66666666666981</v>
      </c>
      <c r="O197" s="7">
        <v>10</v>
      </c>
      <c r="P197" s="52">
        <f>'הזנת נתונים'!A10</f>
        <v>120.666666666667</v>
      </c>
      <c r="Q197" s="7">
        <f t="shared" si="107"/>
        <v>115.166666666667</v>
      </c>
      <c r="R197" s="7">
        <f t="shared" si="107"/>
        <v>109.66666666666693</v>
      </c>
      <c r="S197" s="7">
        <f t="shared" si="111"/>
        <v>120.66666666666707</v>
      </c>
      <c r="T197" s="7">
        <f t="shared" si="112"/>
        <v>11.000000000000142</v>
      </c>
      <c r="U197" s="7">
        <f t="shared" si="114"/>
        <v>120.66666666666711</v>
      </c>
      <c r="V197" s="7">
        <f t="shared" si="115"/>
        <v>1.1368683772161603E-13</v>
      </c>
      <c r="W197" s="7">
        <f t="shared" si="116"/>
        <v>1.2924697071141057E-26</v>
      </c>
      <c r="Y197">
        <v>9</v>
      </c>
      <c r="Z197" s="4">
        <f t="shared" si="108"/>
        <v>769.66666666666902</v>
      </c>
      <c r="AC197" s="7">
        <v>10</v>
      </c>
      <c r="AD197" s="52">
        <f>'הזנת נתונים'!A10</f>
        <v>120.666666666667</v>
      </c>
      <c r="AE197" s="7">
        <f t="shared" si="113"/>
        <v>109.6666666666669</v>
      </c>
      <c r="AF197" s="7">
        <f t="shared" si="113"/>
        <v>98.481481481481623</v>
      </c>
      <c r="AG197" s="7">
        <f t="shared" si="118"/>
        <v>120.85185185185217</v>
      </c>
      <c r="AH197" s="7">
        <f t="shared" si="119"/>
        <v>11.185185185185276</v>
      </c>
      <c r="AI197" s="7">
        <f t="shared" si="120"/>
        <v>120.44444444444474</v>
      </c>
      <c r="AJ197" s="7">
        <f t="shared" si="121"/>
        <v>-0.22222222222225696</v>
      </c>
      <c r="AK197" s="7">
        <f t="shared" si="122"/>
        <v>4.9382716049398152E-2</v>
      </c>
      <c r="AM197">
        <v>9</v>
      </c>
      <c r="AN197" s="4">
        <f t="shared" si="109"/>
        <v>769.66666666666902</v>
      </c>
      <c r="AQ197" s="7">
        <v>10</v>
      </c>
      <c r="AR197" s="52">
        <f>'הזנת נתונים'!A10</f>
        <v>120.666666666667</v>
      </c>
      <c r="AS197" s="7">
        <f t="shared" si="117"/>
        <v>104.16666666666686</v>
      </c>
      <c r="AT197" s="7">
        <f t="shared" si="117"/>
        <v>87.916666666666742</v>
      </c>
      <c r="AU197" s="7">
        <f t="shared" si="123"/>
        <v>120.41666666666697</v>
      </c>
      <c r="AV197" s="7">
        <f t="shared" si="124"/>
        <v>10.833333333333409</v>
      </c>
      <c r="AW197" s="7">
        <f t="shared" si="125"/>
        <v>119.20833333333351</v>
      </c>
      <c r="AX197" s="7">
        <f t="shared" si="126"/>
        <v>-1.4583333333334849</v>
      </c>
      <c r="AY197" s="7">
        <f t="shared" si="127"/>
        <v>2.126736111111553</v>
      </c>
      <c r="BA197">
        <v>9</v>
      </c>
      <c r="BB197" s="4">
        <f t="shared" si="110"/>
        <v>769.66666666666902</v>
      </c>
    </row>
    <row r="198" spans="1:54" x14ac:dyDescent="0.25">
      <c r="A198" s="7">
        <v>11</v>
      </c>
      <c r="B198" s="52">
        <f>'הזנת נתונים'!A11</f>
        <v>131.666666666667</v>
      </c>
      <c r="C198" s="7"/>
      <c r="D198" s="7"/>
      <c r="E198" s="7"/>
      <c r="F198" s="7"/>
      <c r="G198" s="7"/>
      <c r="H198" s="7"/>
      <c r="I198" s="7"/>
      <c r="K198">
        <v>10</v>
      </c>
      <c r="L198" s="4">
        <f t="shared" si="106"/>
        <v>780.66666666666993</v>
      </c>
      <c r="O198" s="7">
        <v>11</v>
      </c>
      <c r="P198" s="52">
        <f>'הזנת נתונים'!A11</f>
        <v>131.666666666667</v>
      </c>
      <c r="Q198" s="7">
        <f t="shared" si="107"/>
        <v>126.166666666667</v>
      </c>
      <c r="R198" s="7">
        <f t="shared" si="107"/>
        <v>120.666666666667</v>
      </c>
      <c r="S198" s="7">
        <f t="shared" si="111"/>
        <v>131.666666666667</v>
      </c>
      <c r="T198" s="7">
        <f t="shared" si="112"/>
        <v>11</v>
      </c>
      <c r="U198" s="7">
        <f t="shared" si="114"/>
        <v>131.6666666666672</v>
      </c>
      <c r="V198" s="7">
        <f t="shared" si="115"/>
        <v>0</v>
      </c>
      <c r="W198" s="7">
        <f t="shared" si="116"/>
        <v>0</v>
      </c>
      <c r="Y198">
        <v>10</v>
      </c>
      <c r="Z198" s="4">
        <f t="shared" si="108"/>
        <v>780.66666666666902</v>
      </c>
      <c r="AC198" s="7">
        <v>11</v>
      </c>
      <c r="AD198" s="52">
        <f>'הזנת נתונים'!A11</f>
        <v>131.666666666667</v>
      </c>
      <c r="AE198" s="7">
        <f t="shared" si="113"/>
        <v>120.66666666666701</v>
      </c>
      <c r="AF198" s="7">
        <f t="shared" si="113"/>
        <v>109.66666666666691</v>
      </c>
      <c r="AG198" s="7">
        <f t="shared" si="118"/>
        <v>131.66666666666711</v>
      </c>
      <c r="AH198" s="7">
        <f t="shared" si="119"/>
        <v>11.000000000000099</v>
      </c>
      <c r="AI198" s="7">
        <f t="shared" si="120"/>
        <v>132.03703703703746</v>
      </c>
      <c r="AJ198" s="7">
        <f t="shared" si="121"/>
        <v>0.37037037037046616</v>
      </c>
      <c r="AK198" s="7">
        <f t="shared" si="122"/>
        <v>0.13717421124835627</v>
      </c>
      <c r="AM198">
        <v>10</v>
      </c>
      <c r="AN198" s="4">
        <f t="shared" si="109"/>
        <v>780.66666666666902</v>
      </c>
      <c r="AQ198" s="7">
        <v>11</v>
      </c>
      <c r="AR198" s="52">
        <f>'הזנת נתונים'!A11</f>
        <v>131.666666666667</v>
      </c>
      <c r="AS198" s="7">
        <f t="shared" si="117"/>
        <v>115.16666666666691</v>
      </c>
      <c r="AT198" s="7">
        <f t="shared" si="117"/>
        <v>98.729166666666799</v>
      </c>
      <c r="AU198" s="7">
        <f t="shared" si="123"/>
        <v>131.60416666666703</v>
      </c>
      <c r="AV198" s="7">
        <f t="shared" si="124"/>
        <v>10.958333333333409</v>
      </c>
      <c r="AW198" s="7">
        <f t="shared" si="125"/>
        <v>131.25000000000037</v>
      </c>
      <c r="AX198" s="7">
        <f t="shared" si="126"/>
        <v>-0.41666666666662877</v>
      </c>
      <c r="AY198" s="7">
        <f t="shared" si="127"/>
        <v>0.17361111111107952</v>
      </c>
      <c r="BA198">
        <v>10</v>
      </c>
      <c r="BB198" s="4">
        <f t="shared" si="110"/>
        <v>780.66666666666902</v>
      </c>
    </row>
    <row r="199" spans="1:54" x14ac:dyDescent="0.25">
      <c r="A199" s="7">
        <v>12</v>
      </c>
      <c r="B199" s="52">
        <f>'הזנת נתונים'!A12</f>
        <v>142.666666666667</v>
      </c>
      <c r="C199" s="7"/>
      <c r="D199" s="7"/>
      <c r="E199" s="7"/>
      <c r="F199" s="7"/>
      <c r="G199" s="7"/>
      <c r="H199" s="7"/>
      <c r="I199" s="7"/>
      <c r="K199">
        <v>11</v>
      </c>
      <c r="L199" s="4">
        <f t="shared" si="106"/>
        <v>791.66666666666993</v>
      </c>
      <c r="O199" s="7">
        <v>12</v>
      </c>
      <c r="P199" s="52">
        <f>'הזנת נתונים'!A12</f>
        <v>142.666666666667</v>
      </c>
      <c r="Q199" s="7">
        <f t="shared" si="107"/>
        <v>137.166666666667</v>
      </c>
      <c r="R199" s="7">
        <f t="shared" si="107"/>
        <v>131.666666666667</v>
      </c>
      <c r="S199" s="7">
        <f t="shared" si="111"/>
        <v>142.666666666667</v>
      </c>
      <c r="T199" s="7">
        <f t="shared" si="112"/>
        <v>11</v>
      </c>
      <c r="U199" s="7">
        <f t="shared" si="114"/>
        <v>142.666666666667</v>
      </c>
      <c r="V199" s="7">
        <f t="shared" si="115"/>
        <v>0</v>
      </c>
      <c r="W199" s="7">
        <f t="shared" si="116"/>
        <v>0</v>
      </c>
      <c r="Y199">
        <v>11</v>
      </c>
      <c r="Z199" s="4">
        <f t="shared" si="108"/>
        <v>791.66666666666902</v>
      </c>
      <c r="AC199" s="7">
        <v>12</v>
      </c>
      <c r="AD199" s="52">
        <f>'הזנת נתונים'!A12</f>
        <v>142.666666666667</v>
      </c>
      <c r="AE199" s="7">
        <f t="shared" si="113"/>
        <v>131.666666666667</v>
      </c>
      <c r="AF199" s="7">
        <f t="shared" si="113"/>
        <v>120.66666666666697</v>
      </c>
      <c r="AG199" s="7">
        <f t="shared" si="118"/>
        <v>142.66666666666703</v>
      </c>
      <c r="AH199" s="7">
        <f t="shared" si="119"/>
        <v>11.000000000000028</v>
      </c>
      <c r="AI199" s="7">
        <f t="shared" si="120"/>
        <v>142.6666666666672</v>
      </c>
      <c r="AJ199" s="7">
        <f t="shared" si="121"/>
        <v>0</v>
      </c>
      <c r="AK199" s="7">
        <f t="shared" si="122"/>
        <v>0</v>
      </c>
      <c r="AM199">
        <v>11</v>
      </c>
      <c r="AN199" s="4">
        <f t="shared" si="109"/>
        <v>791.66666666666902</v>
      </c>
      <c r="AQ199" s="7">
        <v>12</v>
      </c>
      <c r="AR199" s="52">
        <f>'הזנת נתונים'!A12</f>
        <v>142.666666666667</v>
      </c>
      <c r="AS199" s="7">
        <f t="shared" si="117"/>
        <v>126.166666666667</v>
      </c>
      <c r="AT199" s="7">
        <f t="shared" si="117"/>
        <v>109.5625000000002</v>
      </c>
      <c r="AU199" s="7">
        <f t="shared" si="123"/>
        <v>142.7708333333338</v>
      </c>
      <c r="AV199" s="7">
        <f t="shared" si="124"/>
        <v>11.069444444444533</v>
      </c>
      <c r="AW199" s="7">
        <f t="shared" si="125"/>
        <v>142.56250000000043</v>
      </c>
      <c r="AX199" s="7">
        <f t="shared" si="126"/>
        <v>-0.10416666666657193</v>
      </c>
      <c r="AY199" s="7">
        <f t="shared" si="127"/>
        <v>1.0850694444424706E-2</v>
      </c>
      <c r="BA199">
        <v>11</v>
      </c>
      <c r="BB199" s="4">
        <f t="shared" si="110"/>
        <v>791.66666666666902</v>
      </c>
    </row>
    <row r="200" spans="1:54" x14ac:dyDescent="0.25">
      <c r="A200" s="7">
        <v>13</v>
      </c>
      <c r="B200" s="52">
        <f>'הזנת נתונים'!A13</f>
        <v>153.666666666667</v>
      </c>
      <c r="C200" s="7"/>
      <c r="D200" s="7"/>
      <c r="E200" s="7"/>
      <c r="F200" s="7"/>
      <c r="G200" s="7"/>
      <c r="H200" s="7"/>
      <c r="I200" s="7"/>
      <c r="K200">
        <v>12</v>
      </c>
      <c r="L200" s="4">
        <f t="shared" si="106"/>
        <v>802.66666666666993</v>
      </c>
      <c r="O200" s="7">
        <v>13</v>
      </c>
      <c r="P200" s="52">
        <f>'הזנת נתונים'!A13</f>
        <v>153.666666666667</v>
      </c>
      <c r="Q200" s="7">
        <f t="shared" si="107"/>
        <v>148.166666666667</v>
      </c>
      <c r="R200" s="7">
        <f t="shared" si="107"/>
        <v>142.666666666667</v>
      </c>
      <c r="S200" s="7">
        <f t="shared" si="111"/>
        <v>153.666666666667</v>
      </c>
      <c r="T200" s="7">
        <f t="shared" si="112"/>
        <v>11</v>
      </c>
      <c r="U200" s="7">
        <f t="shared" si="114"/>
        <v>153.666666666667</v>
      </c>
      <c r="V200" s="7">
        <f t="shared" si="115"/>
        <v>0</v>
      </c>
      <c r="W200" s="7">
        <f t="shared" si="116"/>
        <v>0</v>
      </c>
      <c r="Y200">
        <v>12</v>
      </c>
      <c r="Z200" s="4">
        <f t="shared" si="108"/>
        <v>802.66666666666902</v>
      </c>
      <c r="AC200" s="7">
        <v>13</v>
      </c>
      <c r="AD200" s="52">
        <f>'הזנת נתונים'!A13</f>
        <v>153.666666666667</v>
      </c>
      <c r="AE200" s="7">
        <f t="shared" si="113"/>
        <v>142.666666666667</v>
      </c>
      <c r="AF200" s="7">
        <f t="shared" si="113"/>
        <v>131.666666666667</v>
      </c>
      <c r="AG200" s="7">
        <f t="shared" si="118"/>
        <v>153.666666666667</v>
      </c>
      <c r="AH200" s="7">
        <f t="shared" si="119"/>
        <v>11</v>
      </c>
      <c r="AI200" s="7">
        <f t="shared" si="120"/>
        <v>153.66666666666706</v>
      </c>
      <c r="AJ200" s="7">
        <f t="shared" si="121"/>
        <v>0</v>
      </c>
      <c r="AK200" s="7">
        <f t="shared" si="122"/>
        <v>0</v>
      </c>
      <c r="AM200">
        <v>12</v>
      </c>
      <c r="AN200" s="4">
        <f t="shared" si="109"/>
        <v>802.66666666666902</v>
      </c>
      <c r="AQ200" s="7">
        <v>13</v>
      </c>
      <c r="AR200" s="52">
        <f>'הזנת נתונים'!A13</f>
        <v>153.666666666667</v>
      </c>
      <c r="AS200" s="7">
        <f t="shared" si="117"/>
        <v>137.166666666667</v>
      </c>
      <c r="AT200" s="7">
        <f t="shared" si="117"/>
        <v>120.66666666666694</v>
      </c>
      <c r="AU200" s="7">
        <f t="shared" si="123"/>
        <v>153.66666666666706</v>
      </c>
      <c r="AV200" s="7">
        <f t="shared" si="124"/>
        <v>11.000000000000037</v>
      </c>
      <c r="AW200" s="7">
        <f t="shared" si="125"/>
        <v>153.84027777777834</v>
      </c>
      <c r="AX200" s="7">
        <f t="shared" si="126"/>
        <v>0.17361111111134164</v>
      </c>
      <c r="AY200" s="7">
        <f t="shared" si="127"/>
        <v>3.0140817901314614E-2</v>
      </c>
      <c r="BA200">
        <v>12</v>
      </c>
      <c r="BB200" s="4">
        <f t="shared" si="110"/>
        <v>802.66666666666902</v>
      </c>
    </row>
    <row r="201" spans="1:54" x14ac:dyDescent="0.25">
      <c r="A201" s="7">
        <v>14</v>
      </c>
      <c r="B201" s="52">
        <f>'הזנת נתונים'!A14</f>
        <v>164.666666666667</v>
      </c>
      <c r="C201" s="7"/>
      <c r="D201" s="7"/>
      <c r="E201" s="7"/>
      <c r="F201" s="7"/>
      <c r="G201" s="7"/>
      <c r="H201" s="7"/>
      <c r="I201" s="7"/>
      <c r="O201" s="7">
        <v>14</v>
      </c>
      <c r="P201" s="52">
        <f>'הזנת נתונים'!A14</f>
        <v>164.666666666667</v>
      </c>
      <c r="Q201" s="7">
        <f t="shared" si="107"/>
        <v>159.166666666667</v>
      </c>
      <c r="R201" s="7">
        <f t="shared" si="107"/>
        <v>153.666666666667</v>
      </c>
      <c r="S201" s="7">
        <f t="shared" si="111"/>
        <v>164.666666666667</v>
      </c>
      <c r="T201" s="7">
        <f t="shared" si="112"/>
        <v>11</v>
      </c>
      <c r="U201" s="7">
        <f t="shared" si="114"/>
        <v>164.666666666667</v>
      </c>
      <c r="V201" s="7">
        <f t="shared" si="115"/>
        <v>0</v>
      </c>
      <c r="W201" s="7">
        <f t="shared" si="116"/>
        <v>0</v>
      </c>
      <c r="AC201" s="7">
        <v>14</v>
      </c>
      <c r="AD201" s="52">
        <f>'הזנת נתונים'!A14</f>
        <v>164.666666666667</v>
      </c>
      <c r="AE201" s="7">
        <f t="shared" si="113"/>
        <v>153.666666666667</v>
      </c>
      <c r="AF201" s="7">
        <f t="shared" si="113"/>
        <v>142.666666666667</v>
      </c>
      <c r="AG201" s="7">
        <f t="shared" si="118"/>
        <v>164.666666666667</v>
      </c>
      <c r="AH201" s="7">
        <f t="shared" si="119"/>
        <v>11</v>
      </c>
      <c r="AI201" s="7">
        <f t="shared" si="120"/>
        <v>164.666666666667</v>
      </c>
      <c r="AJ201" s="7">
        <f t="shared" si="121"/>
        <v>0</v>
      </c>
      <c r="AK201" s="7">
        <f t="shared" si="122"/>
        <v>0</v>
      </c>
      <c r="AQ201" s="7">
        <v>14</v>
      </c>
      <c r="AR201" s="52">
        <f>'הזנת נתונים'!A14</f>
        <v>164.666666666667</v>
      </c>
      <c r="AS201" s="7">
        <f t="shared" si="117"/>
        <v>148.166666666667</v>
      </c>
      <c r="AT201" s="7">
        <f t="shared" si="117"/>
        <v>131.66666666666697</v>
      </c>
      <c r="AU201" s="7">
        <f t="shared" si="123"/>
        <v>164.66666666666703</v>
      </c>
      <c r="AV201" s="7">
        <f t="shared" si="124"/>
        <v>11.00000000000002</v>
      </c>
      <c r="AW201" s="7">
        <f t="shared" si="125"/>
        <v>164.66666666666708</v>
      </c>
      <c r="AX201" s="7">
        <f t="shared" si="126"/>
        <v>0</v>
      </c>
      <c r="AY201" s="7">
        <f t="shared" si="127"/>
        <v>0</v>
      </c>
    </row>
    <row r="202" spans="1:54" x14ac:dyDescent="0.25">
      <c r="A202" s="7">
        <v>15</v>
      </c>
      <c r="B202" s="52">
        <f>'הזנת נתונים'!A15</f>
        <v>175.666666666667</v>
      </c>
      <c r="C202" s="7"/>
      <c r="D202" s="7"/>
      <c r="E202" s="7"/>
      <c r="F202" s="7"/>
      <c r="G202" s="7"/>
      <c r="H202" s="7"/>
      <c r="I202" s="7"/>
      <c r="O202" s="7">
        <v>15</v>
      </c>
      <c r="P202" s="52">
        <f>'הזנת נתונים'!A15</f>
        <v>175.666666666667</v>
      </c>
      <c r="Q202" s="7">
        <f t="shared" si="107"/>
        <v>170.166666666667</v>
      </c>
      <c r="R202" s="7">
        <f t="shared" si="107"/>
        <v>164.666666666667</v>
      </c>
      <c r="S202" s="7">
        <f t="shared" si="111"/>
        <v>175.666666666667</v>
      </c>
      <c r="T202" s="7">
        <f t="shared" si="112"/>
        <v>11</v>
      </c>
      <c r="U202" s="7">
        <f t="shared" si="114"/>
        <v>175.666666666667</v>
      </c>
      <c r="V202" s="7">
        <f t="shared" si="115"/>
        <v>0</v>
      </c>
      <c r="W202" s="7">
        <f t="shared" si="116"/>
        <v>0</v>
      </c>
      <c r="AC202" s="7">
        <v>15</v>
      </c>
      <c r="AD202" s="52">
        <f>'הזנת נתונים'!A15</f>
        <v>175.666666666667</v>
      </c>
      <c r="AE202" s="7">
        <f t="shared" si="113"/>
        <v>164.666666666667</v>
      </c>
      <c r="AF202" s="7">
        <f t="shared" si="113"/>
        <v>153.666666666667</v>
      </c>
      <c r="AG202" s="7">
        <f t="shared" si="118"/>
        <v>175.666666666667</v>
      </c>
      <c r="AH202" s="7">
        <f t="shared" si="119"/>
        <v>11</v>
      </c>
      <c r="AI202" s="7">
        <f t="shared" si="120"/>
        <v>175.666666666667</v>
      </c>
      <c r="AJ202" s="7">
        <f t="shared" si="121"/>
        <v>0</v>
      </c>
      <c r="AK202" s="7">
        <f t="shared" si="122"/>
        <v>0</v>
      </c>
      <c r="AQ202" s="7">
        <v>15</v>
      </c>
      <c r="AR202" s="52">
        <f>'הזנת נתונים'!A15</f>
        <v>175.666666666667</v>
      </c>
      <c r="AS202" s="7">
        <f t="shared" si="117"/>
        <v>159.166666666667</v>
      </c>
      <c r="AT202" s="7">
        <f t="shared" si="117"/>
        <v>142.666666666667</v>
      </c>
      <c r="AU202" s="7">
        <f t="shared" si="123"/>
        <v>175.666666666667</v>
      </c>
      <c r="AV202" s="7">
        <f t="shared" si="124"/>
        <v>11</v>
      </c>
      <c r="AW202" s="7">
        <f t="shared" si="125"/>
        <v>175.66666666666706</v>
      </c>
      <c r="AX202" s="7">
        <f t="shared" si="126"/>
        <v>0</v>
      </c>
      <c r="AY202" s="7">
        <f t="shared" si="127"/>
        <v>0</v>
      </c>
    </row>
    <row r="203" spans="1:54" x14ac:dyDescent="0.25">
      <c r="A203" s="7">
        <v>16</v>
      </c>
      <c r="B203" s="52">
        <f>'הזנת נתונים'!A16</f>
        <v>186.666666666667</v>
      </c>
      <c r="C203" s="7"/>
      <c r="D203" s="7"/>
      <c r="E203" s="7"/>
      <c r="F203" s="7"/>
      <c r="G203" s="7"/>
      <c r="H203" s="7"/>
      <c r="I203" s="7"/>
      <c r="O203" s="7">
        <v>16</v>
      </c>
      <c r="P203" s="52">
        <f>'הזנת נתונים'!A16</f>
        <v>186.666666666667</v>
      </c>
      <c r="Q203" s="7">
        <f t="shared" si="107"/>
        <v>181.166666666667</v>
      </c>
      <c r="R203" s="7">
        <f t="shared" si="107"/>
        <v>175.666666666667</v>
      </c>
      <c r="S203" s="7">
        <f t="shared" si="111"/>
        <v>186.666666666667</v>
      </c>
      <c r="T203" s="7">
        <f t="shared" si="112"/>
        <v>11</v>
      </c>
      <c r="U203" s="7">
        <f t="shared" si="114"/>
        <v>186.666666666667</v>
      </c>
      <c r="V203" s="7">
        <f t="shared" si="115"/>
        <v>0</v>
      </c>
      <c r="W203" s="7">
        <f t="shared" si="116"/>
        <v>0</v>
      </c>
      <c r="AC203" s="7">
        <v>16</v>
      </c>
      <c r="AD203" s="52">
        <f>'הזנת נתונים'!A16</f>
        <v>186.666666666667</v>
      </c>
      <c r="AE203" s="7">
        <f t="shared" si="113"/>
        <v>175.666666666667</v>
      </c>
      <c r="AF203" s="7">
        <f t="shared" si="113"/>
        <v>164.666666666667</v>
      </c>
      <c r="AG203" s="7">
        <f t="shared" si="118"/>
        <v>186.666666666667</v>
      </c>
      <c r="AH203" s="7">
        <f t="shared" si="119"/>
        <v>11</v>
      </c>
      <c r="AI203" s="7">
        <f t="shared" si="120"/>
        <v>186.666666666667</v>
      </c>
      <c r="AJ203" s="7">
        <f t="shared" si="121"/>
        <v>0</v>
      </c>
      <c r="AK203" s="7">
        <f t="shared" si="122"/>
        <v>0</v>
      </c>
      <c r="AQ203" s="7">
        <v>16</v>
      </c>
      <c r="AR203" s="52">
        <f>'הזנת נתונים'!A16</f>
        <v>186.666666666667</v>
      </c>
      <c r="AS203" s="7">
        <f t="shared" si="117"/>
        <v>170.166666666667</v>
      </c>
      <c r="AT203" s="7">
        <f t="shared" si="117"/>
        <v>153.666666666667</v>
      </c>
      <c r="AU203" s="7">
        <f t="shared" si="123"/>
        <v>186.666666666667</v>
      </c>
      <c r="AV203" s="7">
        <f t="shared" si="124"/>
        <v>11</v>
      </c>
      <c r="AW203" s="7">
        <f t="shared" si="125"/>
        <v>186.666666666667</v>
      </c>
      <c r="AX203" s="7">
        <f t="shared" si="126"/>
        <v>0</v>
      </c>
      <c r="AY203" s="7">
        <f t="shared" si="127"/>
        <v>0</v>
      </c>
    </row>
    <row r="204" spans="1:54" x14ac:dyDescent="0.25">
      <c r="A204" s="7">
        <v>17</v>
      </c>
      <c r="B204" s="52">
        <f>'הזנת נתונים'!A17</f>
        <v>197.666666666667</v>
      </c>
      <c r="C204" s="7"/>
      <c r="D204" s="7"/>
      <c r="E204" s="7"/>
      <c r="F204" s="7"/>
      <c r="G204" s="7"/>
      <c r="H204" s="7"/>
      <c r="I204" s="7"/>
      <c r="O204" s="7">
        <v>17</v>
      </c>
      <c r="P204" s="52">
        <f>'הזנת נתונים'!A17</f>
        <v>197.666666666667</v>
      </c>
      <c r="Q204" s="7">
        <f t="shared" si="107"/>
        <v>192.166666666667</v>
      </c>
      <c r="R204" s="7">
        <f t="shared" si="107"/>
        <v>186.666666666667</v>
      </c>
      <c r="S204" s="7">
        <f t="shared" si="111"/>
        <v>197.666666666667</v>
      </c>
      <c r="T204" s="7">
        <f t="shared" si="112"/>
        <v>11</v>
      </c>
      <c r="U204" s="7">
        <f t="shared" si="114"/>
        <v>197.666666666667</v>
      </c>
      <c r="V204" s="7">
        <f t="shared" si="115"/>
        <v>0</v>
      </c>
      <c r="W204" s="7">
        <f t="shared" si="116"/>
        <v>0</v>
      </c>
      <c r="AC204" s="7">
        <v>17</v>
      </c>
      <c r="AD204" s="52">
        <f>'הזנת נתונים'!A17</f>
        <v>197.666666666667</v>
      </c>
      <c r="AE204" s="7">
        <f t="shared" si="113"/>
        <v>186.666666666667</v>
      </c>
      <c r="AF204" s="7">
        <f t="shared" si="113"/>
        <v>175.666666666667</v>
      </c>
      <c r="AG204" s="7">
        <f t="shared" si="118"/>
        <v>197.666666666667</v>
      </c>
      <c r="AH204" s="7">
        <f t="shared" si="119"/>
        <v>11</v>
      </c>
      <c r="AI204" s="7">
        <f t="shared" si="120"/>
        <v>197.666666666667</v>
      </c>
      <c r="AJ204" s="7">
        <f t="shared" si="121"/>
        <v>0</v>
      </c>
      <c r="AK204" s="7">
        <f t="shared" si="122"/>
        <v>0</v>
      </c>
      <c r="AQ204" s="7">
        <v>17</v>
      </c>
      <c r="AR204" s="52">
        <f>'הזנת נתונים'!A17</f>
        <v>197.666666666667</v>
      </c>
      <c r="AS204" s="7">
        <f t="shared" si="117"/>
        <v>181.166666666667</v>
      </c>
      <c r="AT204" s="7">
        <f t="shared" si="117"/>
        <v>164.666666666667</v>
      </c>
      <c r="AU204" s="7">
        <f t="shared" si="123"/>
        <v>197.666666666667</v>
      </c>
      <c r="AV204" s="7">
        <f t="shared" si="124"/>
        <v>11</v>
      </c>
      <c r="AW204" s="7">
        <f t="shared" si="125"/>
        <v>197.666666666667</v>
      </c>
      <c r="AX204" s="7">
        <f t="shared" si="126"/>
        <v>0</v>
      </c>
      <c r="AY204" s="7">
        <f t="shared" si="127"/>
        <v>0</v>
      </c>
    </row>
    <row r="205" spans="1:54" x14ac:dyDescent="0.25">
      <c r="A205" s="7">
        <v>18</v>
      </c>
      <c r="B205" s="52">
        <f>'הזנת נתונים'!A18</f>
        <v>208.666666666667</v>
      </c>
      <c r="C205" s="7"/>
      <c r="D205" s="7"/>
      <c r="E205" s="7"/>
      <c r="F205" s="7"/>
      <c r="G205" s="7"/>
      <c r="H205" s="7"/>
      <c r="I205" s="7"/>
      <c r="O205" s="7">
        <v>18</v>
      </c>
      <c r="P205" s="52">
        <f>'הזנת נתונים'!A18</f>
        <v>208.666666666667</v>
      </c>
      <c r="Q205" s="7">
        <f t="shared" si="107"/>
        <v>203.166666666667</v>
      </c>
      <c r="R205" s="7">
        <f t="shared" si="107"/>
        <v>197.666666666667</v>
      </c>
      <c r="S205" s="7">
        <f t="shared" si="111"/>
        <v>208.666666666667</v>
      </c>
      <c r="T205" s="7">
        <f t="shared" si="112"/>
        <v>11</v>
      </c>
      <c r="U205" s="7">
        <f t="shared" si="114"/>
        <v>208.666666666667</v>
      </c>
      <c r="V205" s="7">
        <f t="shared" si="115"/>
        <v>0</v>
      </c>
      <c r="W205" s="7">
        <f t="shared" si="116"/>
        <v>0</v>
      </c>
      <c r="AC205" s="7">
        <v>18</v>
      </c>
      <c r="AD205" s="52">
        <f>'הזנת נתונים'!A18</f>
        <v>208.666666666667</v>
      </c>
      <c r="AE205" s="7">
        <f t="shared" si="113"/>
        <v>197.666666666667</v>
      </c>
      <c r="AF205" s="7">
        <f t="shared" si="113"/>
        <v>186.666666666667</v>
      </c>
      <c r="AG205" s="7">
        <f t="shared" si="118"/>
        <v>208.666666666667</v>
      </c>
      <c r="AH205" s="7">
        <f t="shared" si="119"/>
        <v>11</v>
      </c>
      <c r="AI205" s="7">
        <f t="shared" si="120"/>
        <v>208.666666666667</v>
      </c>
      <c r="AJ205" s="7">
        <f t="shared" si="121"/>
        <v>0</v>
      </c>
      <c r="AK205" s="7">
        <f t="shared" si="122"/>
        <v>0</v>
      </c>
      <c r="AQ205" s="7">
        <v>18</v>
      </c>
      <c r="AR205" s="52">
        <f>'הזנת נתונים'!A18</f>
        <v>208.666666666667</v>
      </c>
      <c r="AS205" s="7">
        <f t="shared" si="117"/>
        <v>192.166666666667</v>
      </c>
      <c r="AT205" s="7">
        <f t="shared" si="117"/>
        <v>175.666666666667</v>
      </c>
      <c r="AU205" s="7">
        <f t="shared" si="123"/>
        <v>208.666666666667</v>
      </c>
      <c r="AV205" s="7">
        <f t="shared" si="124"/>
        <v>11</v>
      </c>
      <c r="AW205" s="7">
        <f t="shared" si="125"/>
        <v>208.666666666667</v>
      </c>
      <c r="AX205" s="7">
        <f t="shared" si="126"/>
        <v>0</v>
      </c>
      <c r="AY205" s="7">
        <f t="shared" si="127"/>
        <v>0</v>
      </c>
    </row>
    <row r="206" spans="1:54" x14ac:dyDescent="0.25">
      <c r="A206" s="7">
        <v>19</v>
      </c>
      <c r="B206" s="52">
        <f>'הזנת נתונים'!A19</f>
        <v>219.666666666667</v>
      </c>
      <c r="C206" s="7"/>
      <c r="D206" s="7"/>
      <c r="E206" s="7"/>
      <c r="F206" s="7"/>
      <c r="G206" s="7"/>
      <c r="H206" s="7"/>
      <c r="I206" s="7"/>
      <c r="O206" s="7">
        <v>19</v>
      </c>
      <c r="P206" s="52">
        <f>'הזנת נתונים'!A19</f>
        <v>219.666666666667</v>
      </c>
      <c r="Q206" s="7">
        <f t="shared" si="107"/>
        <v>214.166666666667</v>
      </c>
      <c r="R206" s="7">
        <f t="shared" si="107"/>
        <v>208.666666666667</v>
      </c>
      <c r="S206" s="7">
        <f t="shared" si="111"/>
        <v>219.666666666667</v>
      </c>
      <c r="T206" s="7">
        <f t="shared" si="112"/>
        <v>11</v>
      </c>
      <c r="U206" s="7">
        <f t="shared" si="114"/>
        <v>219.666666666667</v>
      </c>
      <c r="V206" s="7">
        <f t="shared" si="115"/>
        <v>0</v>
      </c>
      <c r="W206" s="7">
        <f t="shared" si="116"/>
        <v>0</v>
      </c>
      <c r="AC206" s="7">
        <v>19</v>
      </c>
      <c r="AD206" s="52">
        <f>'הזנת נתונים'!A19</f>
        <v>219.666666666667</v>
      </c>
      <c r="AE206" s="7">
        <f t="shared" si="113"/>
        <v>208.666666666667</v>
      </c>
      <c r="AF206" s="7">
        <f t="shared" si="113"/>
        <v>197.666666666667</v>
      </c>
      <c r="AG206" s="7">
        <f t="shared" si="118"/>
        <v>219.666666666667</v>
      </c>
      <c r="AH206" s="7">
        <f t="shared" si="119"/>
        <v>11</v>
      </c>
      <c r="AI206" s="7">
        <f t="shared" si="120"/>
        <v>219.666666666667</v>
      </c>
      <c r="AJ206" s="7">
        <f t="shared" si="121"/>
        <v>0</v>
      </c>
      <c r="AK206" s="7">
        <f t="shared" si="122"/>
        <v>0</v>
      </c>
      <c r="AQ206" s="7">
        <v>19</v>
      </c>
      <c r="AR206" s="52">
        <f>'הזנת נתונים'!A19</f>
        <v>219.666666666667</v>
      </c>
      <c r="AS206" s="7">
        <f t="shared" si="117"/>
        <v>203.166666666667</v>
      </c>
      <c r="AT206" s="7">
        <f t="shared" si="117"/>
        <v>186.666666666667</v>
      </c>
      <c r="AU206" s="7">
        <f t="shared" si="123"/>
        <v>219.666666666667</v>
      </c>
      <c r="AV206" s="7">
        <f t="shared" si="124"/>
        <v>11</v>
      </c>
      <c r="AW206" s="7">
        <f t="shared" si="125"/>
        <v>219.666666666667</v>
      </c>
      <c r="AX206" s="7">
        <f t="shared" si="126"/>
        <v>0</v>
      </c>
      <c r="AY206" s="7">
        <f t="shared" si="127"/>
        <v>0</v>
      </c>
    </row>
    <row r="207" spans="1:54" x14ac:dyDescent="0.25">
      <c r="A207" s="7">
        <v>20</v>
      </c>
      <c r="B207" s="52">
        <f>'הזנת נתונים'!A20</f>
        <v>230.666666666667</v>
      </c>
      <c r="C207" s="7">
        <f>AVERAGE(B188:B207)</f>
        <v>126.56666666666686</v>
      </c>
      <c r="D207" s="7"/>
      <c r="E207" s="7"/>
      <c r="F207" s="7"/>
      <c r="G207" s="7"/>
      <c r="H207" s="7"/>
      <c r="I207" s="7"/>
      <c r="O207" s="7">
        <v>20</v>
      </c>
      <c r="P207" s="52">
        <f>'הזנת נתונים'!A20</f>
        <v>230.666666666667</v>
      </c>
      <c r="Q207" s="7">
        <f t="shared" si="107"/>
        <v>225.166666666667</v>
      </c>
      <c r="R207" s="7">
        <f t="shared" si="107"/>
        <v>219.666666666667</v>
      </c>
      <c r="S207" s="7">
        <f t="shared" si="111"/>
        <v>230.666666666667</v>
      </c>
      <c r="T207" s="7">
        <f t="shared" si="112"/>
        <v>11</v>
      </c>
      <c r="U207" s="7">
        <f t="shared" si="114"/>
        <v>230.666666666667</v>
      </c>
      <c r="V207" s="7">
        <f t="shared" si="115"/>
        <v>0</v>
      </c>
      <c r="W207" s="7">
        <f t="shared" si="116"/>
        <v>0</v>
      </c>
      <c r="AC207" s="7">
        <v>20</v>
      </c>
      <c r="AD207" s="52">
        <f>'הזנת נתונים'!A20</f>
        <v>230.666666666667</v>
      </c>
      <c r="AE207" s="7">
        <f t="shared" si="113"/>
        <v>219.666666666667</v>
      </c>
      <c r="AF207" s="7">
        <f t="shared" si="113"/>
        <v>208.666666666667</v>
      </c>
      <c r="AG207" s="7">
        <f t="shared" si="118"/>
        <v>230.666666666667</v>
      </c>
      <c r="AH207" s="7">
        <f t="shared" si="119"/>
        <v>11</v>
      </c>
      <c r="AI207" s="7">
        <f t="shared" si="120"/>
        <v>230.666666666667</v>
      </c>
      <c r="AJ207" s="7">
        <f t="shared" si="121"/>
        <v>0</v>
      </c>
      <c r="AK207" s="7">
        <f t="shared" si="122"/>
        <v>0</v>
      </c>
      <c r="AQ207" s="7">
        <v>20</v>
      </c>
      <c r="AR207" s="52">
        <f>'הזנת נתונים'!A20</f>
        <v>230.666666666667</v>
      </c>
      <c r="AS207" s="7">
        <f t="shared" si="117"/>
        <v>214.166666666667</v>
      </c>
      <c r="AT207" s="7">
        <f t="shared" si="117"/>
        <v>197.666666666667</v>
      </c>
      <c r="AU207" s="7">
        <f t="shared" si="123"/>
        <v>230.666666666667</v>
      </c>
      <c r="AV207" s="7">
        <f t="shared" si="124"/>
        <v>11</v>
      </c>
      <c r="AW207" s="7">
        <f t="shared" si="125"/>
        <v>230.666666666667</v>
      </c>
      <c r="AX207" s="7">
        <f t="shared" si="126"/>
        <v>0</v>
      </c>
      <c r="AY207" s="7">
        <f t="shared" si="127"/>
        <v>0</v>
      </c>
    </row>
    <row r="208" spans="1:54" x14ac:dyDescent="0.25">
      <c r="A208" s="7">
        <v>21</v>
      </c>
      <c r="B208" s="52">
        <f>'הזנת נתונים'!A21</f>
        <v>241.666666666667</v>
      </c>
      <c r="C208" s="7">
        <f t="shared" ref="C208:D247" si="128">AVERAGE(B189:B208)</f>
        <v>137.2500000000002</v>
      </c>
      <c r="D208" s="7"/>
      <c r="E208" s="7"/>
      <c r="F208" s="7"/>
      <c r="G208" s="7"/>
      <c r="H208" s="7"/>
      <c r="I208" s="7"/>
      <c r="O208" s="7">
        <v>21</v>
      </c>
      <c r="P208" s="52">
        <f>'הזנת נתונים'!A21</f>
        <v>241.666666666667</v>
      </c>
      <c r="Q208" s="7">
        <f t="shared" si="107"/>
        <v>236.166666666667</v>
      </c>
      <c r="R208" s="7">
        <f t="shared" si="107"/>
        <v>230.666666666667</v>
      </c>
      <c r="S208" s="7">
        <f t="shared" si="111"/>
        <v>241.666666666667</v>
      </c>
      <c r="T208" s="7">
        <f t="shared" si="112"/>
        <v>11</v>
      </c>
      <c r="U208" s="7">
        <f t="shared" si="114"/>
        <v>241.666666666667</v>
      </c>
      <c r="V208" s="7">
        <f t="shared" si="115"/>
        <v>0</v>
      </c>
      <c r="W208" s="7">
        <f t="shared" si="116"/>
        <v>0</v>
      </c>
      <c r="AC208" s="7">
        <v>21</v>
      </c>
      <c r="AD208" s="52">
        <f>'הזנת נתונים'!A21</f>
        <v>241.666666666667</v>
      </c>
      <c r="AE208" s="7">
        <f t="shared" si="113"/>
        <v>230.666666666667</v>
      </c>
      <c r="AF208" s="7">
        <f t="shared" si="113"/>
        <v>219.666666666667</v>
      </c>
      <c r="AG208" s="7">
        <f t="shared" si="118"/>
        <v>241.666666666667</v>
      </c>
      <c r="AH208" s="7">
        <f t="shared" si="119"/>
        <v>11</v>
      </c>
      <c r="AI208" s="7">
        <f t="shared" si="120"/>
        <v>241.666666666667</v>
      </c>
      <c r="AJ208" s="7">
        <f t="shared" si="121"/>
        <v>0</v>
      </c>
      <c r="AK208" s="7">
        <f t="shared" si="122"/>
        <v>0</v>
      </c>
      <c r="AQ208" s="7">
        <v>21</v>
      </c>
      <c r="AR208" s="52">
        <f>'הזנת נתונים'!A21</f>
        <v>241.666666666667</v>
      </c>
      <c r="AS208" s="7">
        <f t="shared" si="117"/>
        <v>225.166666666667</v>
      </c>
      <c r="AT208" s="7">
        <f t="shared" si="117"/>
        <v>208.666666666667</v>
      </c>
      <c r="AU208" s="7">
        <f t="shared" si="123"/>
        <v>241.666666666667</v>
      </c>
      <c r="AV208" s="7">
        <f t="shared" si="124"/>
        <v>11</v>
      </c>
      <c r="AW208" s="7">
        <f t="shared" si="125"/>
        <v>241.666666666667</v>
      </c>
      <c r="AX208" s="7">
        <f t="shared" si="126"/>
        <v>0</v>
      </c>
      <c r="AY208" s="7">
        <f t="shared" si="127"/>
        <v>0</v>
      </c>
    </row>
    <row r="209" spans="1:51" x14ac:dyDescent="0.25">
      <c r="A209" s="7">
        <v>22</v>
      </c>
      <c r="B209" s="52">
        <f>'הזנת נתונים'!A22</f>
        <v>252.666666666667</v>
      </c>
      <c r="C209" s="7">
        <f t="shared" si="128"/>
        <v>148.13333333333355</v>
      </c>
      <c r="D209" s="7"/>
      <c r="E209" s="7"/>
      <c r="F209" s="7"/>
      <c r="G209" s="7"/>
      <c r="H209" s="7"/>
      <c r="I209" s="7"/>
      <c r="O209" s="7">
        <v>22</v>
      </c>
      <c r="P209" s="52">
        <f>'הזנת נתונים'!A22</f>
        <v>252.666666666667</v>
      </c>
      <c r="Q209" s="7">
        <f t="shared" si="107"/>
        <v>247.166666666667</v>
      </c>
      <c r="R209" s="7">
        <f t="shared" si="107"/>
        <v>241.666666666667</v>
      </c>
      <c r="S209" s="7">
        <f t="shared" si="111"/>
        <v>252.666666666667</v>
      </c>
      <c r="T209" s="7">
        <f t="shared" si="112"/>
        <v>11</v>
      </c>
      <c r="U209" s="7">
        <f t="shared" si="114"/>
        <v>252.666666666667</v>
      </c>
      <c r="V209" s="7">
        <f t="shared" si="115"/>
        <v>0</v>
      </c>
      <c r="W209" s="7">
        <f t="shared" si="116"/>
        <v>0</v>
      </c>
      <c r="AC209" s="7">
        <v>22</v>
      </c>
      <c r="AD209" s="52">
        <f>'הזנת נתונים'!A22</f>
        <v>252.666666666667</v>
      </c>
      <c r="AE209" s="7">
        <f t="shared" si="113"/>
        <v>241.666666666667</v>
      </c>
      <c r="AF209" s="7">
        <f t="shared" si="113"/>
        <v>230.666666666667</v>
      </c>
      <c r="AG209" s="7">
        <f t="shared" si="118"/>
        <v>252.666666666667</v>
      </c>
      <c r="AH209" s="7">
        <f t="shared" si="119"/>
        <v>11</v>
      </c>
      <c r="AI209" s="7">
        <f t="shared" si="120"/>
        <v>252.666666666667</v>
      </c>
      <c r="AJ209" s="7">
        <f t="shared" si="121"/>
        <v>0</v>
      </c>
      <c r="AK209" s="7">
        <f t="shared" si="122"/>
        <v>0</v>
      </c>
      <c r="AQ209" s="7">
        <v>22</v>
      </c>
      <c r="AR209" s="52">
        <f>'הזנת נתונים'!A22</f>
        <v>252.666666666667</v>
      </c>
      <c r="AS209" s="7">
        <f t="shared" si="117"/>
        <v>236.166666666667</v>
      </c>
      <c r="AT209" s="7">
        <f t="shared" si="117"/>
        <v>219.666666666667</v>
      </c>
      <c r="AU209" s="7">
        <f t="shared" si="123"/>
        <v>252.666666666667</v>
      </c>
      <c r="AV209" s="7">
        <f t="shared" si="124"/>
        <v>11</v>
      </c>
      <c r="AW209" s="7">
        <f t="shared" si="125"/>
        <v>252.666666666667</v>
      </c>
      <c r="AX209" s="7">
        <f t="shared" si="126"/>
        <v>0</v>
      </c>
      <c r="AY209" s="7">
        <f t="shared" si="127"/>
        <v>0</v>
      </c>
    </row>
    <row r="210" spans="1:51" x14ac:dyDescent="0.25">
      <c r="A210" s="7">
        <v>23</v>
      </c>
      <c r="B210" s="52">
        <f>'הזנת נתונים'!A23</f>
        <v>263.66666666666703</v>
      </c>
      <c r="C210" s="7">
        <f t="shared" si="128"/>
        <v>159.31666666666689</v>
      </c>
      <c r="D210" s="7"/>
      <c r="E210" s="7"/>
      <c r="F210" s="7"/>
      <c r="G210" s="7"/>
      <c r="H210" s="7"/>
      <c r="I210" s="7"/>
      <c r="O210" s="7">
        <v>23</v>
      </c>
      <c r="P210" s="52">
        <f>'הזנת נתונים'!A23</f>
        <v>263.66666666666703</v>
      </c>
      <c r="Q210" s="7">
        <f t="shared" si="107"/>
        <v>258.16666666666703</v>
      </c>
      <c r="R210" s="7">
        <f t="shared" si="107"/>
        <v>252.66666666666703</v>
      </c>
      <c r="S210" s="7">
        <f t="shared" si="111"/>
        <v>263.66666666666703</v>
      </c>
      <c r="T210" s="7">
        <f t="shared" si="112"/>
        <v>11</v>
      </c>
      <c r="U210" s="7">
        <f t="shared" si="114"/>
        <v>263.66666666666697</v>
      </c>
      <c r="V210" s="7">
        <f t="shared" si="115"/>
        <v>0</v>
      </c>
      <c r="W210" s="7">
        <f t="shared" si="116"/>
        <v>0</v>
      </c>
      <c r="AC210" s="7">
        <v>23</v>
      </c>
      <c r="AD210" s="52">
        <f>'הזנת נתונים'!A23</f>
        <v>263.66666666666703</v>
      </c>
      <c r="AE210" s="7">
        <f t="shared" si="113"/>
        <v>252.666666666667</v>
      </c>
      <c r="AF210" s="7">
        <f t="shared" si="113"/>
        <v>241.666666666667</v>
      </c>
      <c r="AG210" s="7">
        <f t="shared" si="118"/>
        <v>263.66666666666697</v>
      </c>
      <c r="AH210" s="7">
        <f t="shared" si="119"/>
        <v>11</v>
      </c>
      <c r="AI210" s="7">
        <f t="shared" si="120"/>
        <v>263.66666666666697</v>
      </c>
      <c r="AJ210" s="7">
        <f t="shared" si="121"/>
        <v>0</v>
      </c>
      <c r="AK210" s="7">
        <f t="shared" si="122"/>
        <v>0</v>
      </c>
      <c r="AQ210" s="7">
        <v>23</v>
      </c>
      <c r="AR210" s="52">
        <f>'הזנת נתונים'!A23</f>
        <v>263.66666666666703</v>
      </c>
      <c r="AS210" s="7">
        <f t="shared" si="117"/>
        <v>247.16666666666703</v>
      </c>
      <c r="AT210" s="7">
        <f t="shared" si="117"/>
        <v>230.66666666666703</v>
      </c>
      <c r="AU210" s="7">
        <f t="shared" si="123"/>
        <v>263.66666666666703</v>
      </c>
      <c r="AV210" s="7">
        <f t="shared" si="124"/>
        <v>11</v>
      </c>
      <c r="AW210" s="7">
        <f t="shared" si="125"/>
        <v>263.66666666666697</v>
      </c>
      <c r="AX210" s="7">
        <f t="shared" si="126"/>
        <v>0</v>
      </c>
      <c r="AY210" s="7">
        <f t="shared" si="127"/>
        <v>0</v>
      </c>
    </row>
    <row r="211" spans="1:51" x14ac:dyDescent="0.25">
      <c r="A211" s="7">
        <v>24</v>
      </c>
      <c r="B211" s="52">
        <f>'הזנת נתונים'!A24</f>
        <v>274.66666666666703</v>
      </c>
      <c r="C211" s="7">
        <f t="shared" si="128"/>
        <v>170.30000000000024</v>
      </c>
      <c r="D211" s="7"/>
      <c r="E211" s="7"/>
      <c r="F211" s="7"/>
      <c r="G211" s="7"/>
      <c r="H211" s="7"/>
      <c r="I211" s="7"/>
      <c r="O211" s="7">
        <v>24</v>
      </c>
      <c r="P211" s="52">
        <f>'הזנת נתונים'!A24</f>
        <v>274.66666666666703</v>
      </c>
      <c r="Q211" s="7">
        <f t="shared" si="107"/>
        <v>269.16666666666703</v>
      </c>
      <c r="R211" s="7">
        <f t="shared" si="107"/>
        <v>263.66666666666703</v>
      </c>
      <c r="S211" s="7">
        <f t="shared" si="111"/>
        <v>274.66666666666703</v>
      </c>
      <c r="T211" s="7">
        <f t="shared" si="112"/>
        <v>11</v>
      </c>
      <c r="U211" s="7">
        <f t="shared" si="114"/>
        <v>274.66666666666703</v>
      </c>
      <c r="V211" s="7">
        <f t="shared" si="115"/>
        <v>0</v>
      </c>
      <c r="W211" s="7">
        <f t="shared" si="116"/>
        <v>0</v>
      </c>
      <c r="AC211" s="7">
        <v>24</v>
      </c>
      <c r="AD211" s="52">
        <f>'הזנת נתונים'!A24</f>
        <v>274.66666666666703</v>
      </c>
      <c r="AE211" s="7">
        <f t="shared" si="113"/>
        <v>263.66666666666703</v>
      </c>
      <c r="AF211" s="7">
        <f t="shared" si="113"/>
        <v>252.666666666667</v>
      </c>
      <c r="AG211" s="7">
        <f t="shared" si="118"/>
        <v>274.66666666666708</v>
      </c>
      <c r="AH211" s="7">
        <f t="shared" si="119"/>
        <v>11.000000000000028</v>
      </c>
      <c r="AI211" s="7">
        <f t="shared" si="120"/>
        <v>274.66666666666697</v>
      </c>
      <c r="AJ211" s="7">
        <f t="shared" si="121"/>
        <v>0</v>
      </c>
      <c r="AK211" s="7">
        <f t="shared" si="122"/>
        <v>0</v>
      </c>
      <c r="AQ211" s="7">
        <v>24</v>
      </c>
      <c r="AR211" s="52">
        <f>'הזנת נתונים'!A24</f>
        <v>274.66666666666703</v>
      </c>
      <c r="AS211" s="7">
        <f t="shared" si="117"/>
        <v>258.16666666666703</v>
      </c>
      <c r="AT211" s="7">
        <f t="shared" si="117"/>
        <v>241.66666666666703</v>
      </c>
      <c r="AU211" s="7">
        <f t="shared" si="123"/>
        <v>274.66666666666703</v>
      </c>
      <c r="AV211" s="7">
        <f t="shared" si="124"/>
        <v>11</v>
      </c>
      <c r="AW211" s="7">
        <f t="shared" si="125"/>
        <v>274.66666666666703</v>
      </c>
      <c r="AX211" s="7">
        <f t="shared" si="126"/>
        <v>0</v>
      </c>
      <c r="AY211" s="7">
        <f t="shared" si="127"/>
        <v>0</v>
      </c>
    </row>
    <row r="212" spans="1:51" x14ac:dyDescent="0.25">
      <c r="A212" s="7">
        <v>25</v>
      </c>
      <c r="B212" s="52">
        <f>'הזנת נתונים'!A25</f>
        <v>285.66666666666799</v>
      </c>
      <c r="C212" s="7">
        <f t="shared" si="128"/>
        <v>181.08333333333366</v>
      </c>
      <c r="D212" s="7"/>
      <c r="E212" s="7"/>
      <c r="F212" s="7"/>
      <c r="G212" s="7"/>
      <c r="H212" s="7"/>
      <c r="I212" s="7"/>
      <c r="O212" s="7">
        <v>25</v>
      </c>
      <c r="P212" s="52">
        <f>'הזנת נתונים'!A25</f>
        <v>285.66666666666799</v>
      </c>
      <c r="Q212" s="7">
        <f t="shared" si="107"/>
        <v>280.16666666666754</v>
      </c>
      <c r="R212" s="7">
        <f t="shared" si="107"/>
        <v>274.66666666666731</v>
      </c>
      <c r="S212" s="7">
        <f t="shared" si="111"/>
        <v>285.66666666666777</v>
      </c>
      <c r="T212" s="7">
        <f t="shared" si="112"/>
        <v>11.000000000000455</v>
      </c>
      <c r="U212" s="7">
        <f t="shared" si="114"/>
        <v>285.66666666666703</v>
      </c>
      <c r="V212" s="7">
        <f t="shared" si="115"/>
        <v>-9.6633812063373625E-13</v>
      </c>
      <c r="W212" s="7">
        <f t="shared" si="116"/>
        <v>9.338093633899414E-25</v>
      </c>
      <c r="AC212" s="7">
        <v>25</v>
      </c>
      <c r="AD212" s="52">
        <f>'הזנת נתונים'!A25</f>
        <v>285.66666666666799</v>
      </c>
      <c r="AE212" s="7">
        <f t="shared" si="113"/>
        <v>274.66666666666737</v>
      </c>
      <c r="AF212" s="7">
        <f t="shared" si="113"/>
        <v>263.66666666666714</v>
      </c>
      <c r="AG212" s="7">
        <f t="shared" si="118"/>
        <v>285.6666666666676</v>
      </c>
      <c r="AH212" s="7">
        <f t="shared" si="119"/>
        <v>11.000000000000227</v>
      </c>
      <c r="AI212" s="7">
        <f t="shared" si="120"/>
        <v>285.66666666666708</v>
      </c>
      <c r="AJ212" s="7">
        <f t="shared" si="121"/>
        <v>-9.0949470177292824E-13</v>
      </c>
      <c r="AK212" s="7">
        <f t="shared" si="122"/>
        <v>8.2718061255302767E-25</v>
      </c>
      <c r="AQ212" s="7">
        <v>25</v>
      </c>
      <c r="AR212" s="52">
        <f>'הזנת נתונים'!A25</f>
        <v>285.66666666666799</v>
      </c>
      <c r="AS212" s="7">
        <f t="shared" si="117"/>
        <v>269.16666666666731</v>
      </c>
      <c r="AT212" s="7">
        <f t="shared" si="117"/>
        <v>252.66666666666711</v>
      </c>
      <c r="AU212" s="7">
        <f t="shared" si="123"/>
        <v>285.66666666666754</v>
      </c>
      <c r="AV212" s="7">
        <f t="shared" si="124"/>
        <v>11.000000000000133</v>
      </c>
      <c r="AW212" s="7">
        <f t="shared" si="125"/>
        <v>285.66666666666703</v>
      </c>
      <c r="AX212" s="7">
        <f t="shared" si="126"/>
        <v>-9.6633812063373625E-13</v>
      </c>
      <c r="AY212" s="7">
        <f t="shared" si="127"/>
        <v>9.338093633899414E-25</v>
      </c>
    </row>
    <row r="213" spans="1:51" x14ac:dyDescent="0.25">
      <c r="A213" s="7">
        <v>26</v>
      </c>
      <c r="B213" s="52">
        <f>'הזנת נתונים'!A26</f>
        <v>296.66666666666799</v>
      </c>
      <c r="C213" s="7">
        <f t="shared" si="128"/>
        <v>192.16666666666703</v>
      </c>
      <c r="D213" s="7"/>
      <c r="E213" s="7"/>
      <c r="F213" s="7"/>
      <c r="G213" s="7"/>
      <c r="H213" s="7"/>
      <c r="I213" s="7"/>
      <c r="O213" s="7">
        <v>26</v>
      </c>
      <c r="P213" s="52">
        <f>'הזנת נתונים'!A26</f>
        <v>296.66666666666799</v>
      </c>
      <c r="Q213" s="7">
        <f t="shared" si="107"/>
        <v>291.16666666666799</v>
      </c>
      <c r="R213" s="7">
        <f t="shared" si="107"/>
        <v>285.66666666666777</v>
      </c>
      <c r="S213" s="7">
        <f t="shared" si="111"/>
        <v>296.66666666666822</v>
      </c>
      <c r="T213" s="7">
        <f t="shared" si="112"/>
        <v>11.000000000000455</v>
      </c>
      <c r="U213" s="7">
        <f t="shared" si="114"/>
        <v>296.66666666666822</v>
      </c>
      <c r="V213" s="7">
        <f t="shared" si="115"/>
        <v>0</v>
      </c>
      <c r="W213" s="7">
        <f t="shared" si="116"/>
        <v>0</v>
      </c>
      <c r="AC213" s="7">
        <v>26</v>
      </c>
      <c r="AD213" s="52">
        <f>'הזנת נתונים'!A26</f>
        <v>296.66666666666799</v>
      </c>
      <c r="AE213" s="7">
        <f t="shared" si="113"/>
        <v>285.66666666666771</v>
      </c>
      <c r="AF213" s="7">
        <f t="shared" si="113"/>
        <v>274.66666666666737</v>
      </c>
      <c r="AG213" s="7">
        <f t="shared" si="118"/>
        <v>296.66666666666805</v>
      </c>
      <c r="AH213" s="7">
        <f t="shared" si="119"/>
        <v>11.000000000000341</v>
      </c>
      <c r="AI213" s="7">
        <f t="shared" si="120"/>
        <v>296.66666666666782</v>
      </c>
      <c r="AJ213" s="7">
        <f t="shared" si="121"/>
        <v>0</v>
      </c>
      <c r="AK213" s="7">
        <f t="shared" si="122"/>
        <v>0</v>
      </c>
      <c r="AQ213" s="7">
        <v>26</v>
      </c>
      <c r="AR213" s="52">
        <f>'הזנת נתונים'!A26</f>
        <v>296.66666666666799</v>
      </c>
      <c r="AS213" s="7">
        <f t="shared" si="117"/>
        <v>280.16666666666754</v>
      </c>
      <c r="AT213" s="7">
        <f t="shared" si="117"/>
        <v>263.6666666666672</v>
      </c>
      <c r="AU213" s="7">
        <f t="shared" si="123"/>
        <v>296.66666666666788</v>
      </c>
      <c r="AV213" s="7">
        <f t="shared" si="124"/>
        <v>11.000000000000227</v>
      </c>
      <c r="AW213" s="7">
        <f t="shared" si="125"/>
        <v>296.66666666666765</v>
      </c>
      <c r="AX213" s="7">
        <f t="shared" si="126"/>
        <v>0</v>
      </c>
      <c r="AY213" s="7">
        <f t="shared" si="127"/>
        <v>0</v>
      </c>
    </row>
    <row r="214" spans="1:51" x14ac:dyDescent="0.25">
      <c r="A214" s="7">
        <v>27</v>
      </c>
      <c r="B214" s="52">
        <f>'הזנת נתונים'!A27</f>
        <v>307.66666666666799</v>
      </c>
      <c r="C214" s="7">
        <f t="shared" si="128"/>
        <v>203.16666666666711</v>
      </c>
      <c r="D214" s="7"/>
      <c r="E214" s="7"/>
      <c r="F214" s="7"/>
      <c r="G214" s="7"/>
      <c r="H214" s="7"/>
      <c r="I214" s="7"/>
      <c r="O214" s="7">
        <v>27</v>
      </c>
      <c r="P214" s="52">
        <f>'הזנת נתונים'!A27</f>
        <v>307.66666666666799</v>
      </c>
      <c r="Q214" s="7">
        <f t="shared" si="107"/>
        <v>302.16666666666799</v>
      </c>
      <c r="R214" s="7">
        <f t="shared" si="107"/>
        <v>296.66666666666799</v>
      </c>
      <c r="S214" s="7">
        <f t="shared" si="111"/>
        <v>307.66666666666799</v>
      </c>
      <c r="T214" s="7">
        <f t="shared" si="112"/>
        <v>11</v>
      </c>
      <c r="U214" s="7">
        <f t="shared" si="114"/>
        <v>307.66666666666868</v>
      </c>
      <c r="V214" s="7">
        <f t="shared" si="115"/>
        <v>6.8212102632969618E-13</v>
      </c>
      <c r="W214" s="7">
        <f t="shared" si="116"/>
        <v>4.6528909456107807E-25</v>
      </c>
      <c r="AC214" s="7">
        <v>27</v>
      </c>
      <c r="AD214" s="52">
        <f>'הזנת נתונים'!A27</f>
        <v>307.66666666666799</v>
      </c>
      <c r="AE214" s="7">
        <f t="shared" si="113"/>
        <v>296.66666666666799</v>
      </c>
      <c r="AF214" s="7">
        <f t="shared" si="113"/>
        <v>285.66666666666771</v>
      </c>
      <c r="AG214" s="7">
        <f t="shared" si="118"/>
        <v>307.66666666666828</v>
      </c>
      <c r="AH214" s="7">
        <f t="shared" si="119"/>
        <v>11.000000000000284</v>
      </c>
      <c r="AI214" s="7">
        <f t="shared" si="120"/>
        <v>307.66666666666839</v>
      </c>
      <c r="AJ214" s="7">
        <f t="shared" si="121"/>
        <v>0</v>
      </c>
      <c r="AK214" s="7">
        <f t="shared" si="122"/>
        <v>0</v>
      </c>
      <c r="AQ214" s="7">
        <v>27</v>
      </c>
      <c r="AR214" s="52">
        <f>'הזנת נתונים'!A27</f>
        <v>307.66666666666799</v>
      </c>
      <c r="AS214" s="7">
        <f t="shared" si="117"/>
        <v>291.16666666666777</v>
      </c>
      <c r="AT214" s="7">
        <f t="shared" si="117"/>
        <v>274.66666666666742</v>
      </c>
      <c r="AU214" s="7">
        <f t="shared" si="123"/>
        <v>307.66666666666811</v>
      </c>
      <c r="AV214" s="7">
        <f t="shared" si="124"/>
        <v>11.000000000000227</v>
      </c>
      <c r="AW214" s="7">
        <f t="shared" si="125"/>
        <v>307.66666666666811</v>
      </c>
      <c r="AX214" s="7">
        <f t="shared" si="126"/>
        <v>0</v>
      </c>
      <c r="AY214" s="7">
        <f t="shared" si="127"/>
        <v>0</v>
      </c>
    </row>
    <row r="215" spans="1:51" x14ac:dyDescent="0.25">
      <c r="A215" s="7">
        <v>28</v>
      </c>
      <c r="B215" s="52">
        <f>'הזנת נתונים'!A28</f>
        <v>318.66666666666799</v>
      </c>
      <c r="C215" s="7">
        <f t="shared" si="128"/>
        <v>214.1666666666672</v>
      </c>
      <c r="D215" s="7"/>
      <c r="E215" s="7"/>
      <c r="F215" s="7"/>
      <c r="G215" s="7"/>
      <c r="H215" s="7"/>
      <c r="I215" s="7"/>
      <c r="O215" s="7">
        <v>28</v>
      </c>
      <c r="P215" s="52">
        <f>'הזנת נתונים'!A28</f>
        <v>318.66666666666799</v>
      </c>
      <c r="Q215" s="7">
        <f t="shared" si="107"/>
        <v>313.16666666666799</v>
      </c>
      <c r="R215" s="7">
        <f t="shared" si="107"/>
        <v>307.66666666666799</v>
      </c>
      <c r="S215" s="7">
        <f t="shared" si="111"/>
        <v>318.66666666666799</v>
      </c>
      <c r="T215" s="7">
        <f t="shared" si="112"/>
        <v>11</v>
      </c>
      <c r="U215" s="7">
        <f t="shared" si="114"/>
        <v>318.66666666666799</v>
      </c>
      <c r="V215" s="7">
        <f t="shared" si="115"/>
        <v>0</v>
      </c>
      <c r="W215" s="7">
        <f t="shared" si="116"/>
        <v>0</v>
      </c>
      <c r="AC215" s="7">
        <v>28</v>
      </c>
      <c r="AD215" s="52">
        <f>'הזנת נתונים'!A28</f>
        <v>318.66666666666799</v>
      </c>
      <c r="AE215" s="7">
        <f t="shared" si="113"/>
        <v>307.66666666666799</v>
      </c>
      <c r="AF215" s="7">
        <f t="shared" si="113"/>
        <v>296.66666666666794</v>
      </c>
      <c r="AG215" s="7">
        <f t="shared" si="118"/>
        <v>318.66666666666805</v>
      </c>
      <c r="AH215" s="7">
        <f t="shared" si="119"/>
        <v>11.000000000000057</v>
      </c>
      <c r="AI215" s="7">
        <f t="shared" si="120"/>
        <v>318.66666666666856</v>
      </c>
      <c r="AJ215" s="7">
        <f t="shared" si="121"/>
        <v>5.6843418860808015E-13</v>
      </c>
      <c r="AK215" s="7">
        <f t="shared" si="122"/>
        <v>3.2311742677852644E-25</v>
      </c>
      <c r="AQ215" s="7">
        <v>28</v>
      </c>
      <c r="AR215" s="52">
        <f>'הזנת נתונים'!A28</f>
        <v>318.66666666666799</v>
      </c>
      <c r="AS215" s="7">
        <f t="shared" si="117"/>
        <v>302.16666666666799</v>
      </c>
      <c r="AT215" s="7">
        <f t="shared" si="117"/>
        <v>285.66666666666765</v>
      </c>
      <c r="AU215" s="7">
        <f t="shared" si="123"/>
        <v>318.66666666666833</v>
      </c>
      <c r="AV215" s="7">
        <f t="shared" si="124"/>
        <v>11.000000000000227</v>
      </c>
      <c r="AW215" s="7">
        <f t="shared" si="125"/>
        <v>318.66666666666833</v>
      </c>
      <c r="AX215" s="7">
        <f t="shared" si="126"/>
        <v>0</v>
      </c>
      <c r="AY215" s="7">
        <f t="shared" si="127"/>
        <v>0</v>
      </c>
    </row>
    <row r="216" spans="1:51" x14ac:dyDescent="0.25">
      <c r="A216" s="7">
        <v>29</v>
      </c>
      <c r="B216" s="52">
        <f>'הזנת נתונים'!A29</f>
        <v>329.66666666666799</v>
      </c>
      <c r="C216" s="7">
        <f t="shared" si="128"/>
        <v>225.16666666666725</v>
      </c>
      <c r="D216" s="7"/>
      <c r="E216" s="7"/>
      <c r="F216" s="7"/>
      <c r="G216" s="7"/>
      <c r="H216" s="7"/>
      <c r="I216" s="7"/>
      <c r="O216" s="7">
        <v>29</v>
      </c>
      <c r="P216" s="52">
        <f>'הזנת נתונים'!A29</f>
        <v>329.66666666666799</v>
      </c>
      <c r="Q216" s="7">
        <f t="shared" si="107"/>
        <v>324.16666666666799</v>
      </c>
      <c r="R216" s="7">
        <f t="shared" si="107"/>
        <v>318.66666666666799</v>
      </c>
      <c r="S216" s="7">
        <f t="shared" si="111"/>
        <v>329.66666666666799</v>
      </c>
      <c r="T216" s="7">
        <f t="shared" si="112"/>
        <v>11</v>
      </c>
      <c r="U216" s="7">
        <f t="shared" si="114"/>
        <v>329.66666666666799</v>
      </c>
      <c r="V216" s="7">
        <f t="shared" si="115"/>
        <v>0</v>
      </c>
      <c r="W216" s="7">
        <f t="shared" si="116"/>
        <v>0</v>
      </c>
      <c r="AC216" s="7">
        <v>29</v>
      </c>
      <c r="AD216" s="52">
        <f>'הזנת נתונים'!A29</f>
        <v>329.66666666666799</v>
      </c>
      <c r="AE216" s="7">
        <f t="shared" si="113"/>
        <v>318.66666666666799</v>
      </c>
      <c r="AF216" s="7">
        <f t="shared" si="113"/>
        <v>307.66666666666799</v>
      </c>
      <c r="AG216" s="7">
        <f t="shared" si="118"/>
        <v>329.66666666666799</v>
      </c>
      <c r="AH216" s="7">
        <f t="shared" si="119"/>
        <v>11</v>
      </c>
      <c r="AI216" s="7">
        <f t="shared" si="120"/>
        <v>329.66666666666811</v>
      </c>
      <c r="AJ216" s="7">
        <f t="shared" si="121"/>
        <v>0</v>
      </c>
      <c r="AK216" s="7">
        <f t="shared" si="122"/>
        <v>0</v>
      </c>
      <c r="AQ216" s="7">
        <v>29</v>
      </c>
      <c r="AR216" s="52">
        <f>'הזנת נתונים'!A29</f>
        <v>329.66666666666799</v>
      </c>
      <c r="AS216" s="7">
        <f t="shared" si="117"/>
        <v>313.16666666666799</v>
      </c>
      <c r="AT216" s="7">
        <f t="shared" si="117"/>
        <v>296.66666666666782</v>
      </c>
      <c r="AU216" s="7">
        <f t="shared" si="123"/>
        <v>329.66666666666816</v>
      </c>
      <c r="AV216" s="7">
        <f t="shared" si="124"/>
        <v>11.000000000000114</v>
      </c>
      <c r="AW216" s="7">
        <f t="shared" si="125"/>
        <v>329.66666666666856</v>
      </c>
      <c r="AX216" s="7">
        <f t="shared" si="126"/>
        <v>5.6843418860808015E-13</v>
      </c>
      <c r="AY216" s="7">
        <f t="shared" si="127"/>
        <v>3.2311742677852644E-25</v>
      </c>
    </row>
    <row r="217" spans="1:51" x14ac:dyDescent="0.25">
      <c r="A217" s="7">
        <v>30</v>
      </c>
      <c r="B217" s="52">
        <f>'הזנת נתונים'!A30</f>
        <v>340.66666666666799</v>
      </c>
      <c r="C217" s="7">
        <f t="shared" si="128"/>
        <v>236.16666666666728</v>
      </c>
      <c r="D217" s="7"/>
      <c r="E217" s="7"/>
      <c r="F217" s="7"/>
      <c r="G217" s="7"/>
      <c r="H217" s="7"/>
      <c r="I217" s="7"/>
      <c r="O217" s="7">
        <v>30</v>
      </c>
      <c r="P217" s="52">
        <f>'הזנת נתונים'!A30</f>
        <v>340.66666666666799</v>
      </c>
      <c r="Q217" s="7">
        <f t="shared" si="107"/>
        <v>335.16666666666799</v>
      </c>
      <c r="R217" s="7">
        <f t="shared" si="107"/>
        <v>329.66666666666799</v>
      </c>
      <c r="S217" s="7">
        <f t="shared" si="111"/>
        <v>340.66666666666799</v>
      </c>
      <c r="T217" s="7">
        <f t="shared" si="112"/>
        <v>11</v>
      </c>
      <c r="U217" s="7">
        <f t="shared" si="114"/>
        <v>340.66666666666799</v>
      </c>
      <c r="V217" s="7">
        <f t="shared" si="115"/>
        <v>0</v>
      </c>
      <c r="W217" s="7">
        <f t="shared" si="116"/>
        <v>0</v>
      </c>
      <c r="AC217" s="7">
        <v>30</v>
      </c>
      <c r="AD217" s="52">
        <f>'הזנת נתונים'!A30</f>
        <v>340.66666666666799</v>
      </c>
      <c r="AE217" s="7">
        <f t="shared" si="113"/>
        <v>329.66666666666799</v>
      </c>
      <c r="AF217" s="7">
        <f t="shared" si="113"/>
        <v>318.66666666666799</v>
      </c>
      <c r="AG217" s="7">
        <f t="shared" si="118"/>
        <v>340.66666666666799</v>
      </c>
      <c r="AH217" s="7">
        <f t="shared" si="119"/>
        <v>11</v>
      </c>
      <c r="AI217" s="7">
        <f t="shared" si="120"/>
        <v>340.66666666666799</v>
      </c>
      <c r="AJ217" s="7">
        <f t="shared" si="121"/>
        <v>0</v>
      </c>
      <c r="AK217" s="7">
        <f t="shared" si="122"/>
        <v>0</v>
      </c>
      <c r="AQ217" s="7">
        <v>30</v>
      </c>
      <c r="AR217" s="52">
        <f>'הזנת נתונים'!A30</f>
        <v>340.66666666666799</v>
      </c>
      <c r="AS217" s="7">
        <f t="shared" si="117"/>
        <v>324.16666666666799</v>
      </c>
      <c r="AT217" s="7">
        <f t="shared" si="117"/>
        <v>307.66666666666794</v>
      </c>
      <c r="AU217" s="7">
        <f t="shared" si="123"/>
        <v>340.66666666666805</v>
      </c>
      <c r="AV217" s="7">
        <f t="shared" si="124"/>
        <v>11.000000000000037</v>
      </c>
      <c r="AW217" s="7">
        <f t="shared" si="125"/>
        <v>340.66666666666828</v>
      </c>
      <c r="AX217" s="7">
        <f t="shared" si="126"/>
        <v>0</v>
      </c>
      <c r="AY217" s="7">
        <f t="shared" si="127"/>
        <v>0</v>
      </c>
    </row>
    <row r="218" spans="1:51" x14ac:dyDescent="0.25">
      <c r="A218" s="7">
        <v>31</v>
      </c>
      <c r="B218" s="52">
        <f>'הזנת נתונים'!A31</f>
        <v>351.66666666666799</v>
      </c>
      <c r="C218" s="7">
        <f t="shared" si="128"/>
        <v>247.16666666666734</v>
      </c>
      <c r="D218" s="7"/>
      <c r="E218" s="7"/>
      <c r="F218" s="7"/>
      <c r="G218" s="7"/>
      <c r="H218" s="7"/>
      <c r="I218" s="7"/>
      <c r="O218" s="7">
        <v>31</v>
      </c>
      <c r="P218" s="52">
        <f>'הזנת נתונים'!A31</f>
        <v>351.66666666666799</v>
      </c>
      <c r="Q218" s="7">
        <f t="shared" si="107"/>
        <v>346.16666666666799</v>
      </c>
      <c r="R218" s="7">
        <f t="shared" si="107"/>
        <v>340.66666666666799</v>
      </c>
      <c r="S218" s="7">
        <f t="shared" si="111"/>
        <v>351.66666666666799</v>
      </c>
      <c r="T218" s="7">
        <f t="shared" si="112"/>
        <v>11</v>
      </c>
      <c r="U218" s="7">
        <f t="shared" si="114"/>
        <v>351.66666666666799</v>
      </c>
      <c r="V218" s="7">
        <f t="shared" si="115"/>
        <v>0</v>
      </c>
      <c r="W218" s="7">
        <f t="shared" si="116"/>
        <v>0</v>
      </c>
      <c r="AC218" s="7">
        <v>31</v>
      </c>
      <c r="AD218" s="52">
        <f>'הזנת נתונים'!A31</f>
        <v>351.66666666666799</v>
      </c>
      <c r="AE218" s="7">
        <f t="shared" si="113"/>
        <v>340.66666666666799</v>
      </c>
      <c r="AF218" s="7">
        <f t="shared" si="113"/>
        <v>329.66666666666799</v>
      </c>
      <c r="AG218" s="7">
        <f t="shared" si="118"/>
        <v>351.66666666666799</v>
      </c>
      <c r="AH218" s="7">
        <f t="shared" si="119"/>
        <v>11</v>
      </c>
      <c r="AI218" s="7">
        <f t="shared" si="120"/>
        <v>351.66666666666799</v>
      </c>
      <c r="AJ218" s="7">
        <f t="shared" si="121"/>
        <v>0</v>
      </c>
      <c r="AK218" s="7">
        <f t="shared" si="122"/>
        <v>0</v>
      </c>
      <c r="AQ218" s="7">
        <v>31</v>
      </c>
      <c r="AR218" s="52">
        <f>'הזנת נתונים'!A31</f>
        <v>351.66666666666799</v>
      </c>
      <c r="AS218" s="7">
        <f t="shared" si="117"/>
        <v>335.16666666666799</v>
      </c>
      <c r="AT218" s="7">
        <f t="shared" si="117"/>
        <v>318.66666666666799</v>
      </c>
      <c r="AU218" s="7">
        <f t="shared" si="123"/>
        <v>351.66666666666799</v>
      </c>
      <c r="AV218" s="7">
        <f t="shared" si="124"/>
        <v>11</v>
      </c>
      <c r="AW218" s="7">
        <f t="shared" si="125"/>
        <v>351.66666666666811</v>
      </c>
      <c r="AX218" s="7">
        <f t="shared" si="126"/>
        <v>0</v>
      </c>
      <c r="AY218" s="7">
        <f t="shared" si="127"/>
        <v>0</v>
      </c>
    </row>
    <row r="219" spans="1:51" x14ac:dyDescent="0.25">
      <c r="A219" s="7">
        <v>32</v>
      </c>
      <c r="B219" s="52">
        <f>'הזנת נתונים'!A32</f>
        <v>362.66666666666799</v>
      </c>
      <c r="C219" s="7">
        <f t="shared" si="128"/>
        <v>258.16666666666737</v>
      </c>
      <c r="D219" s="7"/>
      <c r="E219" s="7"/>
      <c r="F219" s="7"/>
      <c r="G219" s="7"/>
      <c r="H219" s="7"/>
      <c r="I219" s="7"/>
      <c r="O219" s="7">
        <v>32</v>
      </c>
      <c r="P219" s="52">
        <f>'הזנת נתונים'!A32</f>
        <v>362.66666666666799</v>
      </c>
      <c r="Q219" s="7">
        <f t="shared" si="107"/>
        <v>357.16666666666799</v>
      </c>
      <c r="R219" s="7">
        <f t="shared" si="107"/>
        <v>351.66666666666799</v>
      </c>
      <c r="S219" s="7">
        <f t="shared" si="111"/>
        <v>362.66666666666799</v>
      </c>
      <c r="T219" s="7">
        <f t="shared" si="112"/>
        <v>11</v>
      </c>
      <c r="U219" s="7">
        <f t="shared" si="114"/>
        <v>362.66666666666799</v>
      </c>
      <c r="V219" s="7">
        <f t="shared" si="115"/>
        <v>0</v>
      </c>
      <c r="W219" s="7">
        <f t="shared" si="116"/>
        <v>0</v>
      </c>
      <c r="AC219" s="7">
        <v>32</v>
      </c>
      <c r="AD219" s="52">
        <f>'הזנת נתונים'!A32</f>
        <v>362.66666666666799</v>
      </c>
      <c r="AE219" s="7">
        <f t="shared" si="113"/>
        <v>351.66666666666805</v>
      </c>
      <c r="AF219" s="7">
        <f t="shared" si="113"/>
        <v>340.66666666666805</v>
      </c>
      <c r="AG219" s="7">
        <f t="shared" si="118"/>
        <v>362.66666666666805</v>
      </c>
      <c r="AH219" s="7">
        <f t="shared" si="119"/>
        <v>11</v>
      </c>
      <c r="AI219" s="7">
        <f t="shared" si="120"/>
        <v>362.66666666666799</v>
      </c>
      <c r="AJ219" s="7">
        <f t="shared" si="121"/>
        <v>0</v>
      </c>
      <c r="AK219" s="7">
        <f t="shared" si="122"/>
        <v>0</v>
      </c>
      <c r="AQ219" s="7">
        <v>32</v>
      </c>
      <c r="AR219" s="52">
        <f>'הזנת נתונים'!A32</f>
        <v>362.66666666666799</v>
      </c>
      <c r="AS219" s="7">
        <f t="shared" si="117"/>
        <v>346.16666666666799</v>
      </c>
      <c r="AT219" s="7">
        <f t="shared" si="117"/>
        <v>329.66666666666799</v>
      </c>
      <c r="AU219" s="7">
        <f t="shared" si="123"/>
        <v>362.66666666666799</v>
      </c>
      <c r="AV219" s="7">
        <f t="shared" si="124"/>
        <v>11</v>
      </c>
      <c r="AW219" s="7">
        <f t="shared" si="125"/>
        <v>362.66666666666799</v>
      </c>
      <c r="AX219" s="7">
        <f t="shared" si="126"/>
        <v>0</v>
      </c>
      <c r="AY219" s="7">
        <f t="shared" si="127"/>
        <v>0</v>
      </c>
    </row>
    <row r="220" spans="1:51" x14ac:dyDescent="0.25">
      <c r="A220" s="7">
        <v>33</v>
      </c>
      <c r="B220" s="52">
        <f>'הזנת נתונים'!A33</f>
        <v>373.66666666666799</v>
      </c>
      <c r="C220" s="7">
        <f t="shared" si="128"/>
        <v>269.16666666666742</v>
      </c>
      <c r="D220" s="7"/>
      <c r="E220" s="7"/>
      <c r="F220" s="7"/>
      <c r="G220" s="7"/>
      <c r="H220" s="7"/>
      <c r="I220" s="7"/>
      <c r="O220" s="7">
        <v>33</v>
      </c>
      <c r="P220" s="52">
        <f>'הזנת נתונים'!A33</f>
        <v>373.66666666666799</v>
      </c>
      <c r="Q220" s="7">
        <f t="shared" si="107"/>
        <v>368.16666666666799</v>
      </c>
      <c r="R220" s="7">
        <f t="shared" si="107"/>
        <v>362.66666666666799</v>
      </c>
      <c r="S220" s="7">
        <f t="shared" si="111"/>
        <v>373.66666666666799</v>
      </c>
      <c r="T220" s="7">
        <f t="shared" si="112"/>
        <v>11</v>
      </c>
      <c r="U220" s="7">
        <f t="shared" si="114"/>
        <v>373.66666666666799</v>
      </c>
      <c r="V220" s="7">
        <f t="shared" si="115"/>
        <v>0</v>
      </c>
      <c r="W220" s="7">
        <f t="shared" si="116"/>
        <v>0</v>
      </c>
      <c r="AC220" s="7">
        <v>33</v>
      </c>
      <c r="AD220" s="52">
        <f>'הזנת נתונים'!A33</f>
        <v>373.66666666666799</v>
      </c>
      <c r="AE220" s="7">
        <f t="shared" si="113"/>
        <v>362.66666666666805</v>
      </c>
      <c r="AF220" s="7">
        <f t="shared" si="113"/>
        <v>351.66666666666805</v>
      </c>
      <c r="AG220" s="7">
        <f t="shared" si="118"/>
        <v>373.66666666666805</v>
      </c>
      <c r="AH220" s="7">
        <f t="shared" si="119"/>
        <v>11</v>
      </c>
      <c r="AI220" s="7">
        <f t="shared" si="120"/>
        <v>373.66666666666805</v>
      </c>
      <c r="AJ220" s="7">
        <f t="shared" si="121"/>
        <v>0</v>
      </c>
      <c r="AK220" s="7">
        <f t="shared" si="122"/>
        <v>0</v>
      </c>
      <c r="AQ220" s="7">
        <v>33</v>
      </c>
      <c r="AR220" s="52">
        <f>'הזנת נתונים'!A33</f>
        <v>373.66666666666799</v>
      </c>
      <c r="AS220" s="7">
        <f t="shared" si="117"/>
        <v>357.16666666666799</v>
      </c>
      <c r="AT220" s="7">
        <f t="shared" si="117"/>
        <v>340.66666666666799</v>
      </c>
      <c r="AU220" s="7">
        <f t="shared" si="123"/>
        <v>373.66666666666799</v>
      </c>
      <c r="AV220" s="7">
        <f t="shared" si="124"/>
        <v>11</v>
      </c>
      <c r="AW220" s="7">
        <f t="shared" si="125"/>
        <v>373.66666666666799</v>
      </c>
      <c r="AX220" s="7">
        <f t="shared" si="126"/>
        <v>0</v>
      </c>
      <c r="AY220" s="7">
        <f t="shared" si="127"/>
        <v>0</v>
      </c>
    </row>
    <row r="221" spans="1:51" x14ac:dyDescent="0.25">
      <c r="A221" s="7">
        <v>34</v>
      </c>
      <c r="B221" s="52">
        <f>'הזנת נתונים'!A34</f>
        <v>384.66666666666799</v>
      </c>
      <c r="C221" s="7">
        <f t="shared" si="128"/>
        <v>280.16666666666748</v>
      </c>
      <c r="D221" s="7"/>
      <c r="E221" s="7"/>
      <c r="F221" s="7"/>
      <c r="G221" s="7"/>
      <c r="H221" s="7"/>
      <c r="I221" s="7"/>
      <c r="O221" s="7">
        <v>34</v>
      </c>
      <c r="P221" s="52">
        <f>'הזנת נתונים'!A34</f>
        <v>384.66666666666799</v>
      </c>
      <c r="Q221" s="7">
        <f t="shared" si="107"/>
        <v>379.16666666666799</v>
      </c>
      <c r="R221" s="7">
        <f t="shared" si="107"/>
        <v>373.66666666666799</v>
      </c>
      <c r="S221" s="7">
        <f t="shared" si="111"/>
        <v>384.66666666666799</v>
      </c>
      <c r="T221" s="7">
        <f t="shared" si="112"/>
        <v>11</v>
      </c>
      <c r="U221" s="7">
        <f t="shared" si="114"/>
        <v>384.66666666666799</v>
      </c>
      <c r="V221" s="7">
        <f t="shared" si="115"/>
        <v>0</v>
      </c>
      <c r="W221" s="7">
        <f t="shared" si="116"/>
        <v>0</v>
      </c>
      <c r="AC221" s="7">
        <v>34</v>
      </c>
      <c r="AD221" s="52">
        <f>'הזנת נתונים'!A34</f>
        <v>384.66666666666799</v>
      </c>
      <c r="AE221" s="7">
        <f t="shared" si="113"/>
        <v>373.66666666666805</v>
      </c>
      <c r="AF221" s="7">
        <f t="shared" si="113"/>
        <v>362.66666666666805</v>
      </c>
      <c r="AG221" s="7">
        <f t="shared" si="118"/>
        <v>384.66666666666805</v>
      </c>
      <c r="AH221" s="7">
        <f t="shared" si="119"/>
        <v>11</v>
      </c>
      <c r="AI221" s="7">
        <f t="shared" si="120"/>
        <v>384.66666666666805</v>
      </c>
      <c r="AJ221" s="7">
        <f t="shared" si="121"/>
        <v>0</v>
      </c>
      <c r="AK221" s="7">
        <f t="shared" si="122"/>
        <v>0</v>
      </c>
      <c r="AQ221" s="7">
        <v>34</v>
      </c>
      <c r="AR221" s="52">
        <f>'הזנת נתונים'!A34</f>
        <v>384.66666666666799</v>
      </c>
      <c r="AS221" s="7">
        <f t="shared" si="117"/>
        <v>368.16666666666799</v>
      </c>
      <c r="AT221" s="7">
        <f t="shared" si="117"/>
        <v>351.66666666666799</v>
      </c>
      <c r="AU221" s="7">
        <f t="shared" si="123"/>
        <v>384.66666666666799</v>
      </c>
      <c r="AV221" s="7">
        <f t="shared" si="124"/>
        <v>11</v>
      </c>
      <c r="AW221" s="7">
        <f t="shared" si="125"/>
        <v>384.66666666666799</v>
      </c>
      <c r="AX221" s="7">
        <f t="shared" si="126"/>
        <v>0</v>
      </c>
      <c r="AY221" s="7">
        <f t="shared" si="127"/>
        <v>0</v>
      </c>
    </row>
    <row r="222" spans="1:51" x14ac:dyDescent="0.25">
      <c r="A222" s="7">
        <v>35</v>
      </c>
      <c r="B222" s="52">
        <f>'הזנת נתונים'!A35</f>
        <v>395.66666666666799</v>
      </c>
      <c r="C222" s="7">
        <f t="shared" si="128"/>
        <v>291.16666666666754</v>
      </c>
      <c r="D222" s="7"/>
      <c r="E222" s="7"/>
      <c r="F222" s="7"/>
      <c r="G222" s="7"/>
      <c r="H222" s="7"/>
      <c r="I222" s="7"/>
      <c r="O222" s="7">
        <v>35</v>
      </c>
      <c r="P222" s="52">
        <f>'הזנת נתונים'!A35</f>
        <v>395.66666666666799</v>
      </c>
      <c r="Q222" s="7">
        <f t="shared" si="107"/>
        <v>390.16666666666799</v>
      </c>
      <c r="R222" s="7">
        <f t="shared" si="107"/>
        <v>384.66666666666799</v>
      </c>
      <c r="S222" s="7">
        <f t="shared" si="111"/>
        <v>395.66666666666799</v>
      </c>
      <c r="T222" s="7">
        <f t="shared" si="112"/>
        <v>11</v>
      </c>
      <c r="U222" s="7">
        <f t="shared" si="114"/>
        <v>395.66666666666799</v>
      </c>
      <c r="V222" s="7">
        <f t="shared" si="115"/>
        <v>0</v>
      </c>
      <c r="W222" s="7">
        <f t="shared" si="116"/>
        <v>0</v>
      </c>
      <c r="AC222" s="7">
        <v>35</v>
      </c>
      <c r="AD222" s="52">
        <f>'הזנת נתונים'!A35</f>
        <v>395.66666666666799</v>
      </c>
      <c r="AE222" s="7">
        <f t="shared" si="113"/>
        <v>384.66666666666805</v>
      </c>
      <c r="AF222" s="7">
        <f t="shared" si="113"/>
        <v>373.66666666666805</v>
      </c>
      <c r="AG222" s="7">
        <f t="shared" si="118"/>
        <v>395.66666666666805</v>
      </c>
      <c r="AH222" s="7">
        <f t="shared" si="119"/>
        <v>11</v>
      </c>
      <c r="AI222" s="7">
        <f t="shared" si="120"/>
        <v>395.66666666666805</v>
      </c>
      <c r="AJ222" s="7">
        <f t="shared" si="121"/>
        <v>0</v>
      </c>
      <c r="AK222" s="7">
        <f t="shared" si="122"/>
        <v>0</v>
      </c>
      <c r="AQ222" s="7">
        <v>35</v>
      </c>
      <c r="AR222" s="52">
        <f>'הזנת נתונים'!A35</f>
        <v>395.66666666666799</v>
      </c>
      <c r="AS222" s="7">
        <f t="shared" si="117"/>
        <v>379.16666666666799</v>
      </c>
      <c r="AT222" s="7">
        <f t="shared" si="117"/>
        <v>362.66666666666799</v>
      </c>
      <c r="AU222" s="7">
        <f t="shared" si="123"/>
        <v>395.66666666666799</v>
      </c>
      <c r="AV222" s="7">
        <f t="shared" si="124"/>
        <v>11</v>
      </c>
      <c r="AW222" s="7">
        <f t="shared" si="125"/>
        <v>395.66666666666799</v>
      </c>
      <c r="AX222" s="7">
        <f t="shared" si="126"/>
        <v>0</v>
      </c>
      <c r="AY222" s="7">
        <f t="shared" si="127"/>
        <v>0</v>
      </c>
    </row>
    <row r="223" spans="1:51" x14ac:dyDescent="0.25">
      <c r="A223" s="7">
        <v>36</v>
      </c>
      <c r="B223" s="52">
        <f>'הזנת נתונים'!A36</f>
        <v>406.66666666666799</v>
      </c>
      <c r="C223" s="7">
        <f t="shared" si="128"/>
        <v>302.16666666666754</v>
      </c>
      <c r="D223" s="7"/>
      <c r="E223" s="7"/>
      <c r="F223" s="7"/>
      <c r="G223" s="7"/>
      <c r="H223" s="7"/>
      <c r="I223" s="7"/>
      <c r="O223" s="7">
        <v>36</v>
      </c>
      <c r="P223" s="52">
        <f>'הזנת נתונים'!A36</f>
        <v>406.66666666666799</v>
      </c>
      <c r="Q223" s="7">
        <f t="shared" si="107"/>
        <v>401.16666666666799</v>
      </c>
      <c r="R223" s="7">
        <f t="shared" si="107"/>
        <v>395.66666666666799</v>
      </c>
      <c r="S223" s="7">
        <f t="shared" si="111"/>
        <v>406.66666666666799</v>
      </c>
      <c r="T223" s="7">
        <f t="shared" si="112"/>
        <v>11</v>
      </c>
      <c r="U223" s="7">
        <f t="shared" si="114"/>
        <v>406.66666666666799</v>
      </c>
      <c r="V223" s="7">
        <f t="shared" si="115"/>
        <v>0</v>
      </c>
      <c r="W223" s="7">
        <f t="shared" si="116"/>
        <v>0</v>
      </c>
      <c r="AC223" s="7">
        <v>36</v>
      </c>
      <c r="AD223" s="52">
        <f>'הזנת נתונים'!A36</f>
        <v>406.66666666666799</v>
      </c>
      <c r="AE223" s="7">
        <f t="shared" si="113"/>
        <v>395.66666666666805</v>
      </c>
      <c r="AF223" s="7">
        <f t="shared" si="113"/>
        <v>384.66666666666805</v>
      </c>
      <c r="AG223" s="7">
        <f t="shared" si="118"/>
        <v>406.66666666666805</v>
      </c>
      <c r="AH223" s="7">
        <f t="shared" si="119"/>
        <v>11</v>
      </c>
      <c r="AI223" s="7">
        <f t="shared" si="120"/>
        <v>406.66666666666805</v>
      </c>
      <c r="AJ223" s="7">
        <f t="shared" si="121"/>
        <v>0</v>
      </c>
      <c r="AK223" s="7">
        <f t="shared" si="122"/>
        <v>0</v>
      </c>
      <c r="AQ223" s="7">
        <v>36</v>
      </c>
      <c r="AR223" s="52">
        <f>'הזנת נתונים'!A36</f>
        <v>406.66666666666799</v>
      </c>
      <c r="AS223" s="7">
        <f t="shared" si="117"/>
        <v>390.16666666666799</v>
      </c>
      <c r="AT223" s="7">
        <f t="shared" si="117"/>
        <v>373.66666666666799</v>
      </c>
      <c r="AU223" s="7">
        <f t="shared" si="123"/>
        <v>406.66666666666799</v>
      </c>
      <c r="AV223" s="7">
        <f t="shared" si="124"/>
        <v>11</v>
      </c>
      <c r="AW223" s="7">
        <f t="shared" si="125"/>
        <v>406.66666666666799</v>
      </c>
      <c r="AX223" s="7">
        <f t="shared" si="126"/>
        <v>0</v>
      </c>
      <c r="AY223" s="7">
        <f t="shared" si="127"/>
        <v>0</v>
      </c>
    </row>
    <row r="224" spans="1:51" x14ac:dyDescent="0.25">
      <c r="A224" s="7">
        <v>37</v>
      </c>
      <c r="B224" s="52">
        <f>'הזנת נתונים'!A37</f>
        <v>417.66666666666799</v>
      </c>
      <c r="C224" s="7">
        <f t="shared" si="128"/>
        <v>313.1666666666676</v>
      </c>
      <c r="D224" s="7"/>
      <c r="E224" s="7"/>
      <c r="F224" s="7"/>
      <c r="G224" s="7"/>
      <c r="H224" s="7"/>
      <c r="I224" s="7"/>
      <c r="O224" s="7">
        <v>37</v>
      </c>
      <c r="P224" s="52">
        <f>'הזנת נתונים'!A37</f>
        <v>417.66666666666799</v>
      </c>
      <c r="Q224" s="7">
        <f t="shared" si="107"/>
        <v>412.16666666666799</v>
      </c>
      <c r="R224" s="7">
        <f t="shared" si="107"/>
        <v>406.66666666666799</v>
      </c>
      <c r="S224" s="7">
        <f t="shared" si="111"/>
        <v>417.66666666666799</v>
      </c>
      <c r="T224" s="7">
        <f t="shared" si="112"/>
        <v>11</v>
      </c>
      <c r="U224" s="7">
        <f t="shared" si="114"/>
        <v>417.66666666666799</v>
      </c>
      <c r="V224" s="7">
        <f t="shared" si="115"/>
        <v>0</v>
      </c>
      <c r="W224" s="7">
        <f t="shared" si="116"/>
        <v>0</v>
      </c>
      <c r="AC224" s="7">
        <v>37</v>
      </c>
      <c r="AD224" s="52">
        <f>'הזנת נתונים'!A37</f>
        <v>417.66666666666799</v>
      </c>
      <c r="AE224" s="7">
        <f t="shared" si="113"/>
        <v>406.66666666666805</v>
      </c>
      <c r="AF224" s="7">
        <f t="shared" si="113"/>
        <v>395.66666666666805</v>
      </c>
      <c r="AG224" s="7">
        <f t="shared" si="118"/>
        <v>417.66666666666805</v>
      </c>
      <c r="AH224" s="7">
        <f t="shared" si="119"/>
        <v>11</v>
      </c>
      <c r="AI224" s="7">
        <f t="shared" si="120"/>
        <v>417.66666666666805</v>
      </c>
      <c r="AJ224" s="7">
        <f t="shared" si="121"/>
        <v>0</v>
      </c>
      <c r="AK224" s="7">
        <f t="shared" si="122"/>
        <v>0</v>
      </c>
      <c r="AQ224" s="7">
        <v>37</v>
      </c>
      <c r="AR224" s="52">
        <f>'הזנת נתונים'!A37</f>
        <v>417.66666666666799</v>
      </c>
      <c r="AS224" s="7">
        <f t="shared" si="117"/>
        <v>401.16666666666799</v>
      </c>
      <c r="AT224" s="7">
        <f t="shared" si="117"/>
        <v>384.66666666666799</v>
      </c>
      <c r="AU224" s="7">
        <f t="shared" si="123"/>
        <v>417.66666666666799</v>
      </c>
      <c r="AV224" s="7">
        <f t="shared" si="124"/>
        <v>11</v>
      </c>
      <c r="AW224" s="7">
        <f t="shared" si="125"/>
        <v>417.66666666666799</v>
      </c>
      <c r="AX224" s="7">
        <f t="shared" si="126"/>
        <v>0</v>
      </c>
      <c r="AY224" s="7">
        <f t="shared" si="127"/>
        <v>0</v>
      </c>
    </row>
    <row r="225" spans="1:51" x14ac:dyDescent="0.25">
      <c r="A225" s="7">
        <v>38</v>
      </c>
      <c r="B225" s="52">
        <f>'הזנת נתונים'!A38</f>
        <v>428.66666666666902</v>
      </c>
      <c r="C225" s="7">
        <f t="shared" si="128"/>
        <v>324.16666666666771</v>
      </c>
      <c r="D225" s="7"/>
      <c r="E225" s="7"/>
      <c r="F225" s="7"/>
      <c r="G225" s="7"/>
      <c r="H225" s="7"/>
      <c r="I225" s="7"/>
      <c r="O225" s="7">
        <v>38</v>
      </c>
      <c r="P225" s="52">
        <f>'הזנת נתונים'!A38</f>
        <v>428.66666666666902</v>
      </c>
      <c r="Q225" s="7">
        <f t="shared" si="107"/>
        <v>423.1666666666685</v>
      </c>
      <c r="R225" s="7">
        <f t="shared" si="107"/>
        <v>417.66666666666822</v>
      </c>
      <c r="S225" s="7">
        <f t="shared" si="111"/>
        <v>428.66666666666879</v>
      </c>
      <c r="T225" s="7">
        <f t="shared" si="112"/>
        <v>11.000000000000568</v>
      </c>
      <c r="U225" s="7">
        <f t="shared" si="114"/>
        <v>428.66666666666799</v>
      </c>
      <c r="V225" s="7">
        <f t="shared" si="115"/>
        <v>-1.0231815394945443E-12</v>
      </c>
      <c r="W225" s="7">
        <f t="shared" si="116"/>
        <v>1.0469004627624257E-24</v>
      </c>
      <c r="AC225" s="7">
        <v>38</v>
      </c>
      <c r="AD225" s="52">
        <f>'הזנת נתונים'!A38</f>
        <v>428.66666666666902</v>
      </c>
      <c r="AE225" s="7">
        <f t="shared" si="113"/>
        <v>417.66666666666833</v>
      </c>
      <c r="AF225" s="7">
        <f t="shared" si="113"/>
        <v>406.66666666666816</v>
      </c>
      <c r="AG225" s="7">
        <f t="shared" si="118"/>
        <v>428.6666666666685</v>
      </c>
      <c r="AH225" s="7">
        <f t="shared" si="119"/>
        <v>11.000000000000171</v>
      </c>
      <c r="AI225" s="7">
        <f t="shared" si="120"/>
        <v>428.66666666666805</v>
      </c>
      <c r="AJ225" s="7">
        <f t="shared" si="121"/>
        <v>-9.6633812063373625E-13</v>
      </c>
      <c r="AK225" s="7">
        <f t="shared" si="122"/>
        <v>9.338093633899414E-25</v>
      </c>
      <c r="AQ225" s="7">
        <v>38</v>
      </c>
      <c r="AR225" s="52">
        <f>'הזנת נתונים'!A38</f>
        <v>428.66666666666902</v>
      </c>
      <c r="AS225" s="7">
        <f t="shared" si="117"/>
        <v>412.16666666666828</v>
      </c>
      <c r="AT225" s="7">
        <f t="shared" si="117"/>
        <v>395.66666666666811</v>
      </c>
      <c r="AU225" s="7">
        <f t="shared" si="123"/>
        <v>428.66666666666845</v>
      </c>
      <c r="AV225" s="7">
        <f t="shared" si="124"/>
        <v>11.000000000000114</v>
      </c>
      <c r="AW225" s="7">
        <f t="shared" si="125"/>
        <v>428.66666666666799</v>
      </c>
      <c r="AX225" s="7">
        <f t="shared" si="126"/>
        <v>-1.0231815394945443E-12</v>
      </c>
      <c r="AY225" s="7">
        <f t="shared" si="127"/>
        <v>1.0469004627624257E-24</v>
      </c>
    </row>
    <row r="226" spans="1:51" x14ac:dyDescent="0.25">
      <c r="A226" s="7">
        <v>39</v>
      </c>
      <c r="B226" s="52">
        <f>'הזנת נתונים'!A39</f>
        <v>439.66666666666902</v>
      </c>
      <c r="C226" s="7">
        <f t="shared" si="128"/>
        <v>335.16666666666777</v>
      </c>
      <c r="D226" s="7">
        <f>AVERAGE(C207:C226)</f>
        <v>230.69916666666722</v>
      </c>
      <c r="E226" s="7">
        <f>2*C226-D226</f>
        <v>439.63416666666831</v>
      </c>
      <c r="F226" s="7">
        <f>2*(C226-D226)/(20-1)</f>
        <v>10.996578947368478</v>
      </c>
      <c r="G226" s="7"/>
      <c r="H226" s="7"/>
      <c r="I226" s="7"/>
      <c r="O226" s="7">
        <v>39</v>
      </c>
      <c r="P226" s="52">
        <f>'הזנת נתונים'!A39</f>
        <v>439.66666666666902</v>
      </c>
      <c r="Q226" s="7">
        <f t="shared" si="107"/>
        <v>434.16666666666902</v>
      </c>
      <c r="R226" s="7">
        <f t="shared" si="107"/>
        <v>428.66666666666879</v>
      </c>
      <c r="S226" s="7">
        <f t="shared" si="111"/>
        <v>439.66666666666924</v>
      </c>
      <c r="T226" s="7">
        <f t="shared" si="112"/>
        <v>11.000000000000455</v>
      </c>
      <c r="U226" s="7">
        <f t="shared" si="114"/>
        <v>439.66666666666936</v>
      </c>
      <c r="V226" s="7">
        <f t="shared" si="115"/>
        <v>0</v>
      </c>
      <c r="W226" s="7">
        <f t="shared" si="116"/>
        <v>0</v>
      </c>
      <c r="AC226" s="7">
        <v>39</v>
      </c>
      <c r="AD226" s="52">
        <f>'הזנת נתונים'!A39</f>
        <v>439.66666666666902</v>
      </c>
      <c r="AE226" s="7">
        <f t="shared" si="113"/>
        <v>428.66666666666862</v>
      </c>
      <c r="AF226" s="7">
        <f t="shared" si="113"/>
        <v>417.66666666666833</v>
      </c>
      <c r="AG226" s="7">
        <f t="shared" si="118"/>
        <v>439.6666666666689</v>
      </c>
      <c r="AH226" s="7">
        <f t="shared" si="119"/>
        <v>11.000000000000284</v>
      </c>
      <c r="AI226" s="7">
        <f t="shared" si="120"/>
        <v>439.66666666666868</v>
      </c>
      <c r="AJ226" s="7">
        <f t="shared" si="121"/>
        <v>0</v>
      </c>
      <c r="AK226" s="7">
        <f t="shared" si="122"/>
        <v>0</v>
      </c>
      <c r="AQ226" s="7">
        <v>39</v>
      </c>
      <c r="AR226" s="52">
        <f>'הזנת נתונים'!A39</f>
        <v>439.66666666666902</v>
      </c>
      <c r="AS226" s="7">
        <f t="shared" si="117"/>
        <v>423.1666666666685</v>
      </c>
      <c r="AT226" s="7">
        <f t="shared" si="117"/>
        <v>406.66666666666822</v>
      </c>
      <c r="AU226" s="7">
        <f t="shared" si="123"/>
        <v>439.66666666666879</v>
      </c>
      <c r="AV226" s="7">
        <f t="shared" si="124"/>
        <v>11.00000000000019</v>
      </c>
      <c r="AW226" s="7">
        <f t="shared" si="125"/>
        <v>439.66666666666856</v>
      </c>
      <c r="AX226" s="7">
        <f t="shared" si="126"/>
        <v>-4.5474735088646412E-13</v>
      </c>
      <c r="AY226" s="7">
        <f t="shared" si="127"/>
        <v>2.0679515313825692E-25</v>
      </c>
    </row>
    <row r="227" spans="1:51" x14ac:dyDescent="0.25">
      <c r="A227" s="7">
        <v>40</v>
      </c>
      <c r="B227" s="52">
        <f>'הזנת נתונים'!A40</f>
        <v>450.66666666666902</v>
      </c>
      <c r="C227" s="7">
        <f t="shared" si="128"/>
        <v>346.16666666666788</v>
      </c>
      <c r="D227" s="7">
        <f t="shared" si="128"/>
        <v>241.6791666666673</v>
      </c>
      <c r="E227" s="7">
        <f t="shared" ref="E227:E247" si="129">2*C227-D227</f>
        <v>450.65416666666846</v>
      </c>
      <c r="F227" s="7">
        <f t="shared" ref="F227:F247" si="130">2*(C227-D227)/(20-1)</f>
        <v>10.998684210526378</v>
      </c>
      <c r="G227" s="7">
        <f>E226+F226</f>
        <v>450.63074561403681</v>
      </c>
      <c r="H227" s="7">
        <f>G227-B227</f>
        <v>-3.5921052632204464E-2</v>
      </c>
      <c r="I227" s="7">
        <f>H227^2</f>
        <v>1.2903220222056032E-3</v>
      </c>
      <c r="O227" s="7">
        <v>40</v>
      </c>
      <c r="P227" s="52">
        <f>'הזנת נתונים'!A40</f>
        <v>450.66666666666902</v>
      </c>
      <c r="Q227" s="7">
        <f t="shared" si="107"/>
        <v>445.16666666666902</v>
      </c>
      <c r="R227" s="7">
        <f t="shared" si="107"/>
        <v>439.66666666666902</v>
      </c>
      <c r="S227" s="7">
        <f t="shared" si="111"/>
        <v>450.66666666666902</v>
      </c>
      <c r="T227" s="7">
        <f t="shared" si="112"/>
        <v>11</v>
      </c>
      <c r="U227" s="7">
        <f t="shared" si="114"/>
        <v>450.6666666666697</v>
      </c>
      <c r="V227" s="7">
        <f t="shared" si="115"/>
        <v>6.8212102632969618E-13</v>
      </c>
      <c r="W227" s="7">
        <f t="shared" si="116"/>
        <v>4.6528909456107807E-25</v>
      </c>
      <c r="AC227" s="7">
        <v>40</v>
      </c>
      <c r="AD227" s="52">
        <f>'הזנת נתונים'!A40</f>
        <v>450.66666666666902</v>
      </c>
      <c r="AE227" s="7">
        <f t="shared" si="113"/>
        <v>439.66666666666902</v>
      </c>
      <c r="AF227" s="7">
        <f t="shared" si="113"/>
        <v>428.66666666666862</v>
      </c>
      <c r="AG227" s="7">
        <f t="shared" si="118"/>
        <v>450.66666666666941</v>
      </c>
      <c r="AH227" s="7">
        <f t="shared" si="119"/>
        <v>11.000000000000398</v>
      </c>
      <c r="AI227" s="7">
        <f t="shared" si="120"/>
        <v>450.66666666666919</v>
      </c>
      <c r="AJ227" s="7">
        <f t="shared" si="121"/>
        <v>0</v>
      </c>
      <c r="AK227" s="7">
        <f t="shared" si="122"/>
        <v>0</v>
      </c>
      <c r="AQ227" s="7">
        <v>40</v>
      </c>
      <c r="AR227" s="52">
        <f>'הזנת נתונים'!A40</f>
        <v>450.66666666666902</v>
      </c>
      <c r="AS227" s="7">
        <f t="shared" si="117"/>
        <v>434.16666666666873</v>
      </c>
      <c r="AT227" s="7">
        <f t="shared" si="117"/>
        <v>417.66666666666839</v>
      </c>
      <c r="AU227" s="7">
        <f t="shared" si="123"/>
        <v>450.66666666666907</v>
      </c>
      <c r="AV227" s="7">
        <f t="shared" si="124"/>
        <v>11.000000000000227</v>
      </c>
      <c r="AW227" s="7">
        <f t="shared" si="125"/>
        <v>450.66666666666896</v>
      </c>
      <c r="AX227" s="7">
        <f t="shared" si="126"/>
        <v>0</v>
      </c>
      <c r="AY227" s="7">
        <f t="shared" si="127"/>
        <v>0</v>
      </c>
    </row>
    <row r="228" spans="1:51" x14ac:dyDescent="0.25">
      <c r="A228" s="7">
        <v>41</v>
      </c>
      <c r="B228" s="52">
        <f>'הזנת נתונים'!A41</f>
        <v>461.66666666666902</v>
      </c>
      <c r="C228" s="7">
        <f t="shared" si="128"/>
        <v>357.16666666666799</v>
      </c>
      <c r="D228" s="7">
        <f t="shared" si="128"/>
        <v>252.67500000000069</v>
      </c>
      <c r="E228" s="7">
        <f t="shared" si="129"/>
        <v>461.65833333333529</v>
      </c>
      <c r="F228" s="7">
        <f t="shared" si="130"/>
        <v>10.99912280701761</v>
      </c>
      <c r="G228" s="7">
        <f t="shared" ref="G228:G247" si="131">E227+F227</f>
        <v>461.65285087719485</v>
      </c>
      <c r="H228" s="7">
        <f t="shared" ref="H228:H247" si="132">G228-B228</f>
        <v>-1.3815789474165285E-2</v>
      </c>
      <c r="I228" s="7">
        <f t="shared" ref="I228:I247" si="133">H228^2</f>
        <v>1.9087603879445629E-4</v>
      </c>
      <c r="O228" s="7">
        <v>41</v>
      </c>
      <c r="P228" s="52">
        <f>'הזנת נתונים'!A41</f>
        <v>461.66666666666902</v>
      </c>
      <c r="Q228" s="7">
        <f t="shared" si="107"/>
        <v>456.16666666666902</v>
      </c>
      <c r="R228" s="7">
        <f t="shared" si="107"/>
        <v>450.66666666666902</v>
      </c>
      <c r="S228" s="7">
        <f t="shared" si="111"/>
        <v>461.66666666666902</v>
      </c>
      <c r="T228" s="7">
        <f t="shared" si="112"/>
        <v>11</v>
      </c>
      <c r="U228" s="7">
        <f t="shared" si="114"/>
        <v>461.66666666666902</v>
      </c>
      <c r="V228" s="7">
        <f t="shared" si="115"/>
        <v>0</v>
      </c>
      <c r="W228" s="7">
        <f t="shared" si="116"/>
        <v>0</v>
      </c>
      <c r="AC228" s="7">
        <v>41</v>
      </c>
      <c r="AD228" s="52">
        <f>'הזנת נתונים'!A41</f>
        <v>461.66666666666902</v>
      </c>
      <c r="AE228" s="7">
        <f t="shared" si="113"/>
        <v>450.66666666666902</v>
      </c>
      <c r="AF228" s="7">
        <f t="shared" si="113"/>
        <v>439.66666666666885</v>
      </c>
      <c r="AG228" s="7">
        <f t="shared" si="118"/>
        <v>461.66666666666919</v>
      </c>
      <c r="AH228" s="7">
        <f t="shared" si="119"/>
        <v>11.000000000000171</v>
      </c>
      <c r="AI228" s="7">
        <f t="shared" si="120"/>
        <v>461.66666666666981</v>
      </c>
      <c r="AJ228" s="7">
        <f t="shared" si="121"/>
        <v>7.9580786405131221E-13</v>
      </c>
      <c r="AK228" s="7">
        <f t="shared" si="122"/>
        <v>6.3331015648591181E-25</v>
      </c>
      <c r="AQ228" s="7">
        <v>41</v>
      </c>
      <c r="AR228" s="52">
        <f>'הזנת נתונים'!A41</f>
        <v>461.66666666666902</v>
      </c>
      <c r="AS228" s="7">
        <f t="shared" si="117"/>
        <v>445.16666666666902</v>
      </c>
      <c r="AT228" s="7">
        <f t="shared" si="117"/>
        <v>428.66666666666862</v>
      </c>
      <c r="AU228" s="7">
        <f t="shared" si="123"/>
        <v>461.66666666666941</v>
      </c>
      <c r="AV228" s="7">
        <f t="shared" si="124"/>
        <v>11.000000000000265</v>
      </c>
      <c r="AW228" s="7">
        <f t="shared" si="125"/>
        <v>461.6666666666693</v>
      </c>
      <c r="AX228" s="7">
        <f t="shared" si="126"/>
        <v>0</v>
      </c>
      <c r="AY228" s="7">
        <f t="shared" si="127"/>
        <v>0</v>
      </c>
    </row>
    <row r="229" spans="1:51" x14ac:dyDescent="0.25">
      <c r="A229" s="7">
        <v>42</v>
      </c>
      <c r="B229" s="52">
        <f>'הזנת נתונים'!A42</f>
        <v>472.66666666666902</v>
      </c>
      <c r="C229" s="7">
        <f t="shared" si="128"/>
        <v>368.16666666666805</v>
      </c>
      <c r="D229" s="7">
        <f t="shared" si="128"/>
        <v>263.67666666666736</v>
      </c>
      <c r="E229" s="7">
        <f t="shared" si="129"/>
        <v>472.65666666666874</v>
      </c>
      <c r="F229" s="7">
        <f t="shared" si="130"/>
        <v>10.998947368421126</v>
      </c>
      <c r="G229" s="7">
        <f t="shared" si="131"/>
        <v>472.65745614035291</v>
      </c>
      <c r="H229" s="7">
        <f t="shared" si="132"/>
        <v>-9.2105263161101902E-3</v>
      </c>
      <c r="I229" s="7">
        <f t="shared" si="133"/>
        <v>8.4833795019758352E-5</v>
      </c>
      <c r="O229" s="7">
        <v>42</v>
      </c>
      <c r="P229" s="52">
        <f>'הזנת נתונים'!A42</f>
        <v>472.66666666666902</v>
      </c>
      <c r="Q229" s="7">
        <f t="shared" si="107"/>
        <v>467.16666666666902</v>
      </c>
      <c r="R229" s="7">
        <f t="shared" si="107"/>
        <v>461.66666666666902</v>
      </c>
      <c r="S229" s="7">
        <f t="shared" si="111"/>
        <v>472.66666666666902</v>
      </c>
      <c r="T229" s="7">
        <f t="shared" si="112"/>
        <v>11</v>
      </c>
      <c r="U229" s="7">
        <f t="shared" si="114"/>
        <v>472.66666666666902</v>
      </c>
      <c r="V229" s="7">
        <f t="shared" si="115"/>
        <v>0</v>
      </c>
      <c r="W229" s="7">
        <f t="shared" si="116"/>
        <v>0</v>
      </c>
      <c r="AC229" s="7">
        <v>42</v>
      </c>
      <c r="AD229" s="52">
        <f>'הזנת נתונים'!A42</f>
        <v>472.66666666666902</v>
      </c>
      <c r="AE229" s="7">
        <f t="shared" si="113"/>
        <v>461.66666666666902</v>
      </c>
      <c r="AF229" s="7">
        <f t="shared" si="113"/>
        <v>450.66666666666902</v>
      </c>
      <c r="AG229" s="7">
        <f t="shared" si="118"/>
        <v>472.66666666666902</v>
      </c>
      <c r="AH229" s="7">
        <f t="shared" si="119"/>
        <v>11</v>
      </c>
      <c r="AI229" s="7">
        <f t="shared" si="120"/>
        <v>472.66666666666936</v>
      </c>
      <c r="AJ229" s="7">
        <f t="shared" si="121"/>
        <v>0</v>
      </c>
      <c r="AK229" s="7">
        <f t="shared" si="122"/>
        <v>0</v>
      </c>
      <c r="AQ229" s="7">
        <v>42</v>
      </c>
      <c r="AR229" s="52">
        <f>'הזנת נתונים'!A42</f>
        <v>472.66666666666902</v>
      </c>
      <c r="AS229" s="7">
        <f t="shared" si="117"/>
        <v>456.16666666666902</v>
      </c>
      <c r="AT229" s="7">
        <f t="shared" si="117"/>
        <v>439.66666666666885</v>
      </c>
      <c r="AU229" s="7">
        <f t="shared" si="123"/>
        <v>472.66666666666919</v>
      </c>
      <c r="AV229" s="7">
        <f t="shared" si="124"/>
        <v>11.000000000000114</v>
      </c>
      <c r="AW229" s="7">
        <f t="shared" si="125"/>
        <v>472.6666666666697</v>
      </c>
      <c r="AX229" s="7">
        <f t="shared" si="126"/>
        <v>6.8212102632969618E-13</v>
      </c>
      <c r="AY229" s="7">
        <f t="shared" si="127"/>
        <v>4.6528909456107807E-25</v>
      </c>
    </row>
    <row r="230" spans="1:51" x14ac:dyDescent="0.25">
      <c r="A230" s="7">
        <v>43</v>
      </c>
      <c r="B230" s="52">
        <f>'הזנת נתונים'!A43</f>
        <v>483.66666666666902</v>
      </c>
      <c r="C230" s="7">
        <f t="shared" si="128"/>
        <v>379.16666666666816</v>
      </c>
      <c r="D230" s="7">
        <f t="shared" si="128"/>
        <v>274.66916666666742</v>
      </c>
      <c r="E230" s="7">
        <f t="shared" si="129"/>
        <v>483.6641666666689</v>
      </c>
      <c r="F230" s="7">
        <f t="shared" si="130"/>
        <v>10.999736842105341</v>
      </c>
      <c r="G230" s="7">
        <f t="shared" si="131"/>
        <v>483.65561403508985</v>
      </c>
      <c r="H230" s="7">
        <f t="shared" si="132"/>
        <v>-1.1052631579161698E-2</v>
      </c>
      <c r="I230" s="7">
        <f t="shared" si="133"/>
        <v>1.221606648246824E-4</v>
      </c>
      <c r="O230" s="7">
        <v>43</v>
      </c>
      <c r="P230" s="52">
        <f>'הזנת נתונים'!A43</f>
        <v>483.66666666666902</v>
      </c>
      <c r="Q230" s="7">
        <f t="shared" si="107"/>
        <v>478.16666666666902</v>
      </c>
      <c r="R230" s="7">
        <f t="shared" si="107"/>
        <v>472.66666666666902</v>
      </c>
      <c r="S230" s="7">
        <f t="shared" si="111"/>
        <v>483.66666666666902</v>
      </c>
      <c r="T230" s="7">
        <f t="shared" si="112"/>
        <v>11</v>
      </c>
      <c r="U230" s="7">
        <f t="shared" si="114"/>
        <v>483.66666666666902</v>
      </c>
      <c r="V230" s="7">
        <f t="shared" si="115"/>
        <v>0</v>
      </c>
      <c r="W230" s="7">
        <f t="shared" si="116"/>
        <v>0</v>
      </c>
      <c r="AC230" s="7">
        <v>43</v>
      </c>
      <c r="AD230" s="52">
        <f>'הזנת נתונים'!A43</f>
        <v>483.66666666666902</v>
      </c>
      <c r="AE230" s="7">
        <f t="shared" si="113"/>
        <v>472.66666666666902</v>
      </c>
      <c r="AF230" s="7">
        <f t="shared" si="113"/>
        <v>461.66666666666902</v>
      </c>
      <c r="AG230" s="7">
        <f t="shared" si="118"/>
        <v>483.66666666666902</v>
      </c>
      <c r="AH230" s="7">
        <f t="shared" si="119"/>
        <v>11</v>
      </c>
      <c r="AI230" s="7">
        <f t="shared" si="120"/>
        <v>483.66666666666902</v>
      </c>
      <c r="AJ230" s="7">
        <f t="shared" si="121"/>
        <v>0</v>
      </c>
      <c r="AK230" s="7">
        <f t="shared" si="122"/>
        <v>0</v>
      </c>
      <c r="AQ230" s="7">
        <v>43</v>
      </c>
      <c r="AR230" s="52">
        <f>'הזנת נתונים'!A43</f>
        <v>483.66666666666902</v>
      </c>
      <c r="AS230" s="7">
        <f t="shared" si="117"/>
        <v>467.16666666666902</v>
      </c>
      <c r="AT230" s="7">
        <f t="shared" si="117"/>
        <v>450.66666666666896</v>
      </c>
      <c r="AU230" s="7">
        <f t="shared" si="123"/>
        <v>483.66666666666907</v>
      </c>
      <c r="AV230" s="7">
        <f t="shared" si="124"/>
        <v>11.000000000000037</v>
      </c>
      <c r="AW230" s="7">
        <f t="shared" si="125"/>
        <v>483.6666666666693</v>
      </c>
      <c r="AX230" s="7">
        <f t="shared" si="126"/>
        <v>0</v>
      </c>
      <c r="AY230" s="7">
        <f t="shared" si="127"/>
        <v>0</v>
      </c>
    </row>
    <row r="231" spans="1:51" x14ac:dyDescent="0.25">
      <c r="A231" s="7">
        <v>44</v>
      </c>
      <c r="B231" s="52">
        <f>'הזנת נתונים'!A44</f>
        <v>494.66666666666902</v>
      </c>
      <c r="C231" s="7">
        <f t="shared" si="128"/>
        <v>390.16666666666822</v>
      </c>
      <c r="D231" s="7">
        <f t="shared" si="128"/>
        <v>285.66250000000082</v>
      </c>
      <c r="E231" s="7">
        <f t="shared" si="129"/>
        <v>494.67083333333562</v>
      </c>
      <c r="F231" s="7">
        <f t="shared" si="130"/>
        <v>11.000438596491305</v>
      </c>
      <c r="G231" s="7">
        <f t="shared" si="131"/>
        <v>494.66390350877424</v>
      </c>
      <c r="H231" s="7">
        <f t="shared" si="132"/>
        <v>-2.7631578947762137E-3</v>
      </c>
      <c r="I231" s="7">
        <f t="shared" si="133"/>
        <v>7.6350415514641167E-6</v>
      </c>
      <c r="O231" s="7">
        <v>44</v>
      </c>
      <c r="P231" s="52">
        <f>'הזנת נתונים'!A44</f>
        <v>494.66666666666902</v>
      </c>
      <c r="Q231" s="7">
        <f t="shared" si="107"/>
        <v>489.16666666666902</v>
      </c>
      <c r="R231" s="7">
        <f t="shared" si="107"/>
        <v>483.66666666666902</v>
      </c>
      <c r="S231" s="7">
        <f t="shared" si="111"/>
        <v>494.66666666666902</v>
      </c>
      <c r="T231" s="7">
        <f t="shared" si="112"/>
        <v>11</v>
      </c>
      <c r="U231" s="7">
        <f t="shared" si="114"/>
        <v>494.66666666666902</v>
      </c>
      <c r="V231" s="7">
        <f t="shared" si="115"/>
        <v>0</v>
      </c>
      <c r="W231" s="7">
        <f t="shared" si="116"/>
        <v>0</v>
      </c>
      <c r="AC231" s="7">
        <v>44</v>
      </c>
      <c r="AD231" s="52">
        <f>'הזנת נתונים'!A44</f>
        <v>494.66666666666902</v>
      </c>
      <c r="AE231" s="7">
        <f t="shared" si="113"/>
        <v>483.66666666666902</v>
      </c>
      <c r="AF231" s="7">
        <f t="shared" si="113"/>
        <v>472.66666666666902</v>
      </c>
      <c r="AG231" s="7">
        <f t="shared" si="118"/>
        <v>494.66666666666902</v>
      </c>
      <c r="AH231" s="7">
        <f t="shared" si="119"/>
        <v>11</v>
      </c>
      <c r="AI231" s="7">
        <f t="shared" si="120"/>
        <v>494.66666666666902</v>
      </c>
      <c r="AJ231" s="7">
        <f t="shared" si="121"/>
        <v>0</v>
      </c>
      <c r="AK231" s="7">
        <f t="shared" si="122"/>
        <v>0</v>
      </c>
      <c r="AQ231" s="7">
        <v>44</v>
      </c>
      <c r="AR231" s="52">
        <f>'הזנת נתונים'!A44</f>
        <v>494.66666666666902</v>
      </c>
      <c r="AS231" s="7">
        <f t="shared" si="117"/>
        <v>478.16666666666902</v>
      </c>
      <c r="AT231" s="7">
        <f t="shared" si="117"/>
        <v>461.66666666666902</v>
      </c>
      <c r="AU231" s="7">
        <f t="shared" si="123"/>
        <v>494.66666666666902</v>
      </c>
      <c r="AV231" s="7">
        <f t="shared" si="124"/>
        <v>11</v>
      </c>
      <c r="AW231" s="7">
        <f t="shared" si="125"/>
        <v>494.66666666666913</v>
      </c>
      <c r="AX231" s="7">
        <f t="shared" si="126"/>
        <v>0</v>
      </c>
      <c r="AY231" s="7">
        <f t="shared" si="127"/>
        <v>0</v>
      </c>
    </row>
    <row r="232" spans="1:51" x14ac:dyDescent="0.25">
      <c r="A232" s="7">
        <v>45</v>
      </c>
      <c r="B232" s="52">
        <f>'הזנת נתונים'!A45</f>
        <v>505.66666666666799</v>
      </c>
      <c r="C232" s="7">
        <f t="shared" si="128"/>
        <v>401.16666666666822</v>
      </c>
      <c r="D232" s="7">
        <f t="shared" si="128"/>
        <v>296.66666666666754</v>
      </c>
      <c r="E232" s="7">
        <f t="shared" si="129"/>
        <v>505.6666666666689</v>
      </c>
      <c r="F232" s="7">
        <f t="shared" si="130"/>
        <v>11.000000000000071</v>
      </c>
      <c r="G232" s="7">
        <f t="shared" si="131"/>
        <v>505.6712719298269</v>
      </c>
      <c r="H232" s="7">
        <f t="shared" si="132"/>
        <v>4.6052631589077464E-3</v>
      </c>
      <c r="I232" s="7">
        <f t="shared" si="133"/>
        <v>2.1208448762792956E-5</v>
      </c>
      <c r="O232" s="7">
        <v>45</v>
      </c>
      <c r="P232" s="52">
        <f>'הזנת נתונים'!A45</f>
        <v>505.66666666666799</v>
      </c>
      <c r="Q232" s="7">
        <f t="shared" si="107"/>
        <v>500.1666666666685</v>
      </c>
      <c r="R232" s="7">
        <f t="shared" si="107"/>
        <v>494.66666666666879</v>
      </c>
      <c r="S232" s="7">
        <f t="shared" si="111"/>
        <v>505.66666666666822</v>
      </c>
      <c r="T232" s="7">
        <f t="shared" si="112"/>
        <v>10.999999999999432</v>
      </c>
      <c r="U232" s="7">
        <f t="shared" si="114"/>
        <v>505.66666666666902</v>
      </c>
      <c r="V232" s="7">
        <f t="shared" si="115"/>
        <v>1.0231815394945443E-12</v>
      </c>
      <c r="W232" s="7">
        <f t="shared" si="116"/>
        <v>1.0469004627624257E-24</v>
      </c>
      <c r="AC232" s="7">
        <v>45</v>
      </c>
      <c r="AD232" s="52">
        <f>'הזנת נתונים'!A45</f>
        <v>505.66666666666799</v>
      </c>
      <c r="AE232" s="7">
        <f t="shared" si="113"/>
        <v>494.66666666666862</v>
      </c>
      <c r="AF232" s="7">
        <f t="shared" si="113"/>
        <v>483.66666666666885</v>
      </c>
      <c r="AG232" s="7">
        <f t="shared" si="118"/>
        <v>505.66666666666839</v>
      </c>
      <c r="AH232" s="7">
        <f t="shared" si="119"/>
        <v>10.999999999999773</v>
      </c>
      <c r="AI232" s="7">
        <f t="shared" si="120"/>
        <v>505.66666666666902</v>
      </c>
      <c r="AJ232" s="7">
        <f t="shared" si="121"/>
        <v>1.0231815394945443E-12</v>
      </c>
      <c r="AK232" s="7">
        <f t="shared" si="122"/>
        <v>1.0469004627624257E-24</v>
      </c>
      <c r="AQ232" s="7">
        <v>45</v>
      </c>
      <c r="AR232" s="52">
        <f>'הזנת נתונים'!A45</f>
        <v>505.66666666666799</v>
      </c>
      <c r="AS232" s="7">
        <f t="shared" si="117"/>
        <v>489.16666666666879</v>
      </c>
      <c r="AT232" s="7">
        <f t="shared" si="117"/>
        <v>472.66666666666896</v>
      </c>
      <c r="AU232" s="7">
        <f t="shared" si="123"/>
        <v>505.66666666666862</v>
      </c>
      <c r="AV232" s="7">
        <f t="shared" si="124"/>
        <v>10.999999999999886</v>
      </c>
      <c r="AW232" s="7">
        <f t="shared" si="125"/>
        <v>505.66666666666902</v>
      </c>
      <c r="AX232" s="7">
        <f t="shared" si="126"/>
        <v>1.0231815394945443E-12</v>
      </c>
      <c r="AY232" s="7">
        <f t="shared" si="127"/>
        <v>1.0469004627624257E-24</v>
      </c>
    </row>
    <row r="233" spans="1:51" x14ac:dyDescent="0.25">
      <c r="A233" s="7">
        <v>46</v>
      </c>
      <c r="B233" s="52">
        <f>'הזנת נתונים'!A46</f>
        <v>516.66666666666902</v>
      </c>
      <c r="C233" s="7">
        <f t="shared" si="128"/>
        <v>412.16666666666833</v>
      </c>
      <c r="D233" s="7">
        <f t="shared" si="128"/>
        <v>307.6666666666676</v>
      </c>
      <c r="E233" s="7">
        <f t="shared" si="129"/>
        <v>516.66666666666902</v>
      </c>
      <c r="F233" s="7">
        <f t="shared" si="130"/>
        <v>11.000000000000078</v>
      </c>
      <c r="G233" s="7">
        <f t="shared" si="131"/>
        <v>516.66666666666902</v>
      </c>
      <c r="H233" s="7">
        <f t="shared" si="132"/>
        <v>0</v>
      </c>
      <c r="I233" s="7">
        <f t="shared" si="133"/>
        <v>0</v>
      </c>
      <c r="O233" s="7">
        <v>46</v>
      </c>
      <c r="P233" s="52">
        <f>'הזנת נתונים'!A46</f>
        <v>516.66666666666902</v>
      </c>
      <c r="Q233" s="7">
        <f t="shared" si="107"/>
        <v>511.1666666666685</v>
      </c>
      <c r="R233" s="7">
        <f t="shared" si="107"/>
        <v>505.6666666666685</v>
      </c>
      <c r="S233" s="7">
        <f t="shared" si="111"/>
        <v>516.66666666666856</v>
      </c>
      <c r="T233" s="7">
        <f t="shared" si="112"/>
        <v>11</v>
      </c>
      <c r="U233" s="7">
        <f t="shared" si="114"/>
        <v>516.66666666666765</v>
      </c>
      <c r="V233" s="7">
        <f t="shared" si="115"/>
        <v>-1.3642420526593924E-12</v>
      </c>
      <c r="W233" s="7">
        <f t="shared" si="116"/>
        <v>1.8611563782443123E-24</v>
      </c>
      <c r="AC233" s="7">
        <v>46</v>
      </c>
      <c r="AD233" s="52">
        <f>'הזנת נתונים'!A46</f>
        <v>516.66666666666902</v>
      </c>
      <c r="AE233" s="7">
        <f t="shared" si="113"/>
        <v>505.66666666666862</v>
      </c>
      <c r="AF233" s="7">
        <f t="shared" si="113"/>
        <v>494.66666666666873</v>
      </c>
      <c r="AG233" s="7">
        <f t="shared" si="118"/>
        <v>516.66666666666856</v>
      </c>
      <c r="AH233" s="7">
        <f t="shared" si="119"/>
        <v>10.999999999999886</v>
      </c>
      <c r="AI233" s="7">
        <f t="shared" si="120"/>
        <v>516.66666666666811</v>
      </c>
      <c r="AJ233" s="7">
        <f t="shared" si="121"/>
        <v>-9.0949470177292824E-13</v>
      </c>
      <c r="AK233" s="7">
        <f t="shared" si="122"/>
        <v>8.2718061255302767E-25</v>
      </c>
      <c r="AQ233" s="7">
        <v>46</v>
      </c>
      <c r="AR233" s="52">
        <f>'הזנת נתונים'!A46</f>
        <v>516.66666666666902</v>
      </c>
      <c r="AS233" s="7">
        <f t="shared" si="117"/>
        <v>500.16666666666873</v>
      </c>
      <c r="AT233" s="7">
        <f t="shared" si="117"/>
        <v>483.6666666666689</v>
      </c>
      <c r="AU233" s="7">
        <f t="shared" si="123"/>
        <v>516.66666666666856</v>
      </c>
      <c r="AV233" s="7">
        <f t="shared" si="124"/>
        <v>10.999999999999886</v>
      </c>
      <c r="AW233" s="7">
        <f t="shared" si="125"/>
        <v>516.66666666666856</v>
      </c>
      <c r="AX233" s="7">
        <f t="shared" si="126"/>
        <v>0</v>
      </c>
      <c r="AY233" s="7">
        <f t="shared" si="127"/>
        <v>0</v>
      </c>
    </row>
    <row r="234" spans="1:51" x14ac:dyDescent="0.25">
      <c r="A234" s="7">
        <v>47</v>
      </c>
      <c r="B234" s="52">
        <f>'הזנת נתונים'!A47</f>
        <v>527.66666666666902</v>
      </c>
      <c r="C234" s="7">
        <f t="shared" si="128"/>
        <v>423.16666666666833</v>
      </c>
      <c r="D234" s="7">
        <f t="shared" si="128"/>
        <v>318.66666666666771</v>
      </c>
      <c r="E234" s="7">
        <f t="shared" si="129"/>
        <v>527.66666666666902</v>
      </c>
      <c r="F234" s="7">
        <f t="shared" si="130"/>
        <v>11.000000000000066</v>
      </c>
      <c r="G234" s="7">
        <f t="shared" si="131"/>
        <v>527.66666666666913</v>
      </c>
      <c r="H234" s="7">
        <f t="shared" si="132"/>
        <v>0</v>
      </c>
      <c r="I234" s="7">
        <f t="shared" si="133"/>
        <v>0</v>
      </c>
      <c r="O234" s="7">
        <v>47</v>
      </c>
      <c r="P234" s="52">
        <f>'הזנת נתונים'!A47</f>
        <v>527.66666666666902</v>
      </c>
      <c r="Q234" s="7">
        <f t="shared" si="107"/>
        <v>522.16666666666902</v>
      </c>
      <c r="R234" s="7">
        <f t="shared" si="107"/>
        <v>516.66666666666879</v>
      </c>
      <c r="S234" s="7">
        <f t="shared" si="111"/>
        <v>527.66666666666924</v>
      </c>
      <c r="T234" s="7">
        <f t="shared" si="112"/>
        <v>11.000000000000455</v>
      </c>
      <c r="U234" s="7">
        <f t="shared" si="114"/>
        <v>527.66666666666856</v>
      </c>
      <c r="V234" s="7">
        <f t="shared" si="115"/>
        <v>0</v>
      </c>
      <c r="W234" s="7">
        <f t="shared" si="116"/>
        <v>0</v>
      </c>
      <c r="AC234" s="7">
        <v>47</v>
      </c>
      <c r="AD234" s="52">
        <f>'הזנת נתונים'!A47</f>
        <v>527.66666666666902</v>
      </c>
      <c r="AE234" s="7">
        <f t="shared" si="113"/>
        <v>516.66666666666868</v>
      </c>
      <c r="AF234" s="7">
        <f t="shared" si="113"/>
        <v>505.66666666666862</v>
      </c>
      <c r="AG234" s="7">
        <f t="shared" si="118"/>
        <v>527.66666666666879</v>
      </c>
      <c r="AH234" s="7">
        <f t="shared" si="119"/>
        <v>11.000000000000057</v>
      </c>
      <c r="AI234" s="7">
        <f t="shared" si="120"/>
        <v>527.66666666666845</v>
      </c>
      <c r="AJ234" s="7">
        <f t="shared" si="121"/>
        <v>0</v>
      </c>
      <c r="AK234" s="7">
        <f t="shared" si="122"/>
        <v>0</v>
      </c>
      <c r="AQ234" s="7">
        <v>47</v>
      </c>
      <c r="AR234" s="52">
        <f>'הזנת נתונים'!A47</f>
        <v>527.66666666666902</v>
      </c>
      <c r="AS234" s="7">
        <f t="shared" si="117"/>
        <v>511.16666666666873</v>
      </c>
      <c r="AT234" s="7">
        <f t="shared" si="117"/>
        <v>494.66666666666885</v>
      </c>
      <c r="AU234" s="7">
        <f t="shared" si="123"/>
        <v>527.66666666666856</v>
      </c>
      <c r="AV234" s="7">
        <f t="shared" si="124"/>
        <v>10.999999999999924</v>
      </c>
      <c r="AW234" s="7">
        <f t="shared" si="125"/>
        <v>527.66666666666845</v>
      </c>
      <c r="AX234" s="7">
        <f t="shared" si="126"/>
        <v>0</v>
      </c>
      <c r="AY234" s="7">
        <f t="shared" si="127"/>
        <v>0</v>
      </c>
    </row>
    <row r="235" spans="1:51" x14ac:dyDescent="0.25">
      <c r="A235" s="7">
        <v>48</v>
      </c>
      <c r="B235" s="52">
        <f>'הזנת נתונים'!A48</f>
        <v>538.66666666666902</v>
      </c>
      <c r="C235" s="7">
        <f t="shared" si="128"/>
        <v>434.16666666666845</v>
      </c>
      <c r="D235" s="7">
        <f t="shared" si="128"/>
        <v>329.66666666666777</v>
      </c>
      <c r="E235" s="7">
        <f t="shared" si="129"/>
        <v>538.66666666666913</v>
      </c>
      <c r="F235" s="7">
        <f t="shared" si="130"/>
        <v>11.000000000000071</v>
      </c>
      <c r="G235" s="7">
        <f t="shared" si="131"/>
        <v>538.66666666666913</v>
      </c>
      <c r="H235" s="7">
        <f t="shared" si="132"/>
        <v>0</v>
      </c>
      <c r="I235" s="7">
        <f t="shared" si="133"/>
        <v>0</v>
      </c>
      <c r="O235" s="7">
        <v>48</v>
      </c>
      <c r="P235" s="52">
        <f>'הזנת נתונים'!A48</f>
        <v>538.66666666666902</v>
      </c>
      <c r="Q235" s="7">
        <f t="shared" si="107"/>
        <v>533.16666666666902</v>
      </c>
      <c r="R235" s="7">
        <f t="shared" si="107"/>
        <v>527.66666666666902</v>
      </c>
      <c r="S235" s="7">
        <f t="shared" si="111"/>
        <v>538.66666666666902</v>
      </c>
      <c r="T235" s="7">
        <f t="shared" si="112"/>
        <v>11</v>
      </c>
      <c r="U235" s="7">
        <f t="shared" si="114"/>
        <v>538.6666666666697</v>
      </c>
      <c r="V235" s="7">
        <f t="shared" si="115"/>
        <v>0</v>
      </c>
      <c r="W235" s="7">
        <f t="shared" si="116"/>
        <v>0</v>
      </c>
      <c r="AC235" s="7">
        <v>48</v>
      </c>
      <c r="AD235" s="52">
        <f>'הזנת נתונים'!A48</f>
        <v>538.66666666666902</v>
      </c>
      <c r="AE235" s="7">
        <f t="shared" si="113"/>
        <v>527.66666666666902</v>
      </c>
      <c r="AF235" s="7">
        <f t="shared" si="113"/>
        <v>516.66666666666879</v>
      </c>
      <c r="AG235" s="7">
        <f t="shared" si="118"/>
        <v>538.66666666666924</v>
      </c>
      <c r="AH235" s="7">
        <f t="shared" si="119"/>
        <v>11.000000000000227</v>
      </c>
      <c r="AI235" s="7">
        <f t="shared" si="120"/>
        <v>538.66666666666879</v>
      </c>
      <c r="AJ235" s="7">
        <f t="shared" si="121"/>
        <v>0</v>
      </c>
      <c r="AK235" s="7">
        <f t="shared" si="122"/>
        <v>0</v>
      </c>
      <c r="AQ235" s="7">
        <v>48</v>
      </c>
      <c r="AR235" s="52">
        <f>'הזנת נתונים'!A48</f>
        <v>538.66666666666902</v>
      </c>
      <c r="AS235" s="7">
        <f t="shared" si="117"/>
        <v>522.16666666666879</v>
      </c>
      <c r="AT235" s="7">
        <f t="shared" si="117"/>
        <v>505.66666666666879</v>
      </c>
      <c r="AU235" s="7">
        <f t="shared" si="123"/>
        <v>538.66666666666879</v>
      </c>
      <c r="AV235" s="7">
        <f t="shared" si="124"/>
        <v>11</v>
      </c>
      <c r="AW235" s="7">
        <f t="shared" si="125"/>
        <v>538.66666666666845</v>
      </c>
      <c r="AX235" s="7">
        <f t="shared" si="126"/>
        <v>0</v>
      </c>
      <c r="AY235" s="7">
        <f t="shared" si="127"/>
        <v>0</v>
      </c>
    </row>
    <row r="236" spans="1:51" x14ac:dyDescent="0.25">
      <c r="A236" s="7">
        <v>49</v>
      </c>
      <c r="B236" s="52">
        <f>'הזנת נתונים'!A49</f>
        <v>549.66666666666902</v>
      </c>
      <c r="C236" s="7">
        <f t="shared" si="128"/>
        <v>445.1666666666685</v>
      </c>
      <c r="D236" s="7">
        <f t="shared" si="128"/>
        <v>340.66666666666777</v>
      </c>
      <c r="E236" s="7">
        <f t="shared" si="129"/>
        <v>549.66666666666924</v>
      </c>
      <c r="F236" s="7">
        <f t="shared" si="130"/>
        <v>11.000000000000078</v>
      </c>
      <c r="G236" s="7">
        <f t="shared" si="131"/>
        <v>549.66666666666924</v>
      </c>
      <c r="H236" s="7">
        <f t="shared" si="132"/>
        <v>0</v>
      </c>
      <c r="I236" s="7">
        <f t="shared" si="133"/>
        <v>0</v>
      </c>
      <c r="O236" s="7">
        <v>49</v>
      </c>
      <c r="P236" s="52">
        <f>'הזנת נתונים'!A49</f>
        <v>549.66666666666902</v>
      </c>
      <c r="Q236" s="7">
        <f t="shared" si="107"/>
        <v>544.16666666666902</v>
      </c>
      <c r="R236" s="7">
        <f t="shared" si="107"/>
        <v>538.66666666666902</v>
      </c>
      <c r="S236" s="7">
        <f t="shared" si="111"/>
        <v>549.66666666666902</v>
      </c>
      <c r="T236" s="7">
        <f t="shared" si="112"/>
        <v>11</v>
      </c>
      <c r="U236" s="7">
        <f t="shared" si="114"/>
        <v>549.66666666666902</v>
      </c>
      <c r="V236" s="7">
        <f t="shared" si="115"/>
        <v>0</v>
      </c>
      <c r="W236" s="7">
        <f t="shared" si="116"/>
        <v>0</v>
      </c>
      <c r="AC236" s="7">
        <v>49</v>
      </c>
      <c r="AD236" s="52">
        <f>'הזנת נתונים'!A49</f>
        <v>549.66666666666902</v>
      </c>
      <c r="AE236" s="7">
        <f t="shared" si="113"/>
        <v>538.66666666666902</v>
      </c>
      <c r="AF236" s="7">
        <f t="shared" si="113"/>
        <v>527.6666666666689</v>
      </c>
      <c r="AG236" s="7">
        <f t="shared" si="118"/>
        <v>549.66666666666913</v>
      </c>
      <c r="AH236" s="7">
        <f t="shared" si="119"/>
        <v>11.000000000000114</v>
      </c>
      <c r="AI236" s="7">
        <f t="shared" si="120"/>
        <v>549.66666666666947</v>
      </c>
      <c r="AJ236" s="7">
        <f t="shared" si="121"/>
        <v>0</v>
      </c>
      <c r="AK236" s="7">
        <f t="shared" si="122"/>
        <v>0</v>
      </c>
      <c r="AQ236" s="7">
        <v>49</v>
      </c>
      <c r="AR236" s="52">
        <f>'הזנת נתונים'!A49</f>
        <v>549.66666666666902</v>
      </c>
      <c r="AS236" s="7">
        <f t="shared" si="117"/>
        <v>533.16666666666902</v>
      </c>
      <c r="AT236" s="7">
        <f t="shared" si="117"/>
        <v>516.66666666666879</v>
      </c>
      <c r="AU236" s="7">
        <f t="shared" si="123"/>
        <v>549.66666666666924</v>
      </c>
      <c r="AV236" s="7">
        <f t="shared" si="124"/>
        <v>11.000000000000151</v>
      </c>
      <c r="AW236" s="7">
        <f t="shared" si="125"/>
        <v>549.66666666666879</v>
      </c>
      <c r="AX236" s="7">
        <f t="shared" si="126"/>
        <v>0</v>
      </c>
      <c r="AY236" s="7">
        <f t="shared" si="127"/>
        <v>0</v>
      </c>
    </row>
    <row r="237" spans="1:51" x14ac:dyDescent="0.25">
      <c r="A237" s="7">
        <v>50</v>
      </c>
      <c r="B237" s="52">
        <f>'הזנת נתונים'!A50</f>
        <v>560.66666666666902</v>
      </c>
      <c r="C237" s="7">
        <f t="shared" si="128"/>
        <v>456.1666666666685</v>
      </c>
      <c r="D237" s="7">
        <f t="shared" si="128"/>
        <v>351.66666666666794</v>
      </c>
      <c r="E237" s="7">
        <f t="shared" si="129"/>
        <v>560.66666666666902</v>
      </c>
      <c r="F237" s="7">
        <f t="shared" si="130"/>
        <v>11.00000000000006</v>
      </c>
      <c r="G237" s="7">
        <f t="shared" si="131"/>
        <v>560.66666666666936</v>
      </c>
      <c r="H237" s="7">
        <f t="shared" si="132"/>
        <v>0</v>
      </c>
      <c r="I237" s="7">
        <f t="shared" si="133"/>
        <v>0</v>
      </c>
      <c r="O237" s="7">
        <v>50</v>
      </c>
      <c r="P237" s="52">
        <f>'הזנת נתונים'!A50</f>
        <v>560.66666666666902</v>
      </c>
      <c r="Q237" s="7">
        <f t="shared" si="107"/>
        <v>555.16666666666902</v>
      </c>
      <c r="R237" s="7">
        <f t="shared" si="107"/>
        <v>549.66666666666902</v>
      </c>
      <c r="S237" s="7">
        <f t="shared" si="111"/>
        <v>560.66666666666902</v>
      </c>
      <c r="T237" s="7">
        <f t="shared" si="112"/>
        <v>11</v>
      </c>
      <c r="U237" s="7">
        <f t="shared" si="114"/>
        <v>560.66666666666902</v>
      </c>
      <c r="V237" s="7">
        <f t="shared" si="115"/>
        <v>0</v>
      </c>
      <c r="W237" s="7">
        <f t="shared" si="116"/>
        <v>0</v>
      </c>
      <c r="AC237" s="7">
        <v>50</v>
      </c>
      <c r="AD237" s="52">
        <f>'הזנת נתונים'!A50</f>
        <v>560.66666666666902</v>
      </c>
      <c r="AE237" s="7">
        <f t="shared" si="113"/>
        <v>549.66666666666902</v>
      </c>
      <c r="AF237" s="7">
        <f t="shared" si="113"/>
        <v>538.66666666666902</v>
      </c>
      <c r="AG237" s="7">
        <f t="shared" si="118"/>
        <v>560.66666666666902</v>
      </c>
      <c r="AH237" s="7">
        <f t="shared" si="119"/>
        <v>11</v>
      </c>
      <c r="AI237" s="7">
        <f t="shared" si="120"/>
        <v>560.66666666666924</v>
      </c>
      <c r="AJ237" s="7">
        <f t="shared" si="121"/>
        <v>0</v>
      </c>
      <c r="AK237" s="7">
        <f t="shared" si="122"/>
        <v>0</v>
      </c>
      <c r="AQ237" s="7">
        <v>50</v>
      </c>
      <c r="AR237" s="52">
        <f>'הזנת נתונים'!A50</f>
        <v>560.66666666666902</v>
      </c>
      <c r="AS237" s="7">
        <f t="shared" si="117"/>
        <v>544.16666666666902</v>
      </c>
      <c r="AT237" s="7">
        <f t="shared" si="117"/>
        <v>527.6666666666689</v>
      </c>
      <c r="AU237" s="7">
        <f t="shared" si="123"/>
        <v>560.66666666666913</v>
      </c>
      <c r="AV237" s="7">
        <f t="shared" si="124"/>
        <v>11.000000000000076</v>
      </c>
      <c r="AW237" s="7">
        <f t="shared" si="125"/>
        <v>560.66666666666936</v>
      </c>
      <c r="AX237" s="7">
        <f t="shared" si="126"/>
        <v>0</v>
      </c>
      <c r="AY237" s="7">
        <f t="shared" si="127"/>
        <v>0</v>
      </c>
    </row>
    <row r="238" spans="1:51" x14ac:dyDescent="0.25">
      <c r="A238" s="7">
        <v>51</v>
      </c>
      <c r="B238" s="52">
        <f>'הזנת נתונים'!A51</f>
        <v>571.66666666666902</v>
      </c>
      <c r="C238" s="7">
        <f t="shared" si="128"/>
        <v>467.16666666666862</v>
      </c>
      <c r="D238" s="7">
        <f t="shared" si="128"/>
        <v>362.66666666666799</v>
      </c>
      <c r="E238" s="7">
        <f t="shared" si="129"/>
        <v>571.66666666666924</v>
      </c>
      <c r="F238" s="7">
        <f t="shared" si="130"/>
        <v>11.000000000000066</v>
      </c>
      <c r="G238" s="7">
        <f t="shared" si="131"/>
        <v>571.66666666666913</v>
      </c>
      <c r="H238" s="7">
        <f t="shared" si="132"/>
        <v>0</v>
      </c>
      <c r="I238" s="7">
        <f t="shared" si="133"/>
        <v>0</v>
      </c>
      <c r="O238" s="7">
        <v>51</v>
      </c>
      <c r="P238" s="52">
        <f>'הזנת נתונים'!A51</f>
        <v>571.66666666666902</v>
      </c>
      <c r="Q238" s="7">
        <f t="shared" si="107"/>
        <v>566.16666666666902</v>
      </c>
      <c r="R238" s="7">
        <f t="shared" si="107"/>
        <v>560.66666666666902</v>
      </c>
      <c r="S238" s="7">
        <f t="shared" si="111"/>
        <v>571.66666666666902</v>
      </c>
      <c r="T238" s="7">
        <f t="shared" si="112"/>
        <v>11</v>
      </c>
      <c r="U238" s="7">
        <f t="shared" si="114"/>
        <v>571.66666666666902</v>
      </c>
      <c r="V238" s="7">
        <f t="shared" si="115"/>
        <v>0</v>
      </c>
      <c r="W238" s="7">
        <f t="shared" si="116"/>
        <v>0</v>
      </c>
      <c r="AC238" s="7">
        <v>51</v>
      </c>
      <c r="AD238" s="52">
        <f>'הזנת נתונים'!A51</f>
        <v>571.66666666666902</v>
      </c>
      <c r="AE238" s="7">
        <f t="shared" si="113"/>
        <v>560.66666666666902</v>
      </c>
      <c r="AF238" s="7">
        <f t="shared" si="113"/>
        <v>549.66666666666902</v>
      </c>
      <c r="AG238" s="7">
        <f t="shared" si="118"/>
        <v>571.66666666666902</v>
      </c>
      <c r="AH238" s="7">
        <f t="shared" si="119"/>
        <v>11</v>
      </c>
      <c r="AI238" s="7">
        <f t="shared" si="120"/>
        <v>571.66666666666902</v>
      </c>
      <c r="AJ238" s="7">
        <f t="shared" si="121"/>
        <v>0</v>
      </c>
      <c r="AK238" s="7">
        <f t="shared" si="122"/>
        <v>0</v>
      </c>
      <c r="AQ238" s="7">
        <v>51</v>
      </c>
      <c r="AR238" s="52">
        <f>'הזנת נתונים'!A51</f>
        <v>571.66666666666902</v>
      </c>
      <c r="AS238" s="7">
        <f t="shared" si="117"/>
        <v>555.16666666666902</v>
      </c>
      <c r="AT238" s="7">
        <f t="shared" si="117"/>
        <v>538.66666666666902</v>
      </c>
      <c r="AU238" s="7">
        <f t="shared" si="123"/>
        <v>571.66666666666902</v>
      </c>
      <c r="AV238" s="7">
        <f t="shared" si="124"/>
        <v>11</v>
      </c>
      <c r="AW238" s="7">
        <f t="shared" si="125"/>
        <v>571.66666666666924</v>
      </c>
      <c r="AX238" s="7">
        <f t="shared" si="126"/>
        <v>0</v>
      </c>
      <c r="AY238" s="7">
        <f t="shared" si="127"/>
        <v>0</v>
      </c>
    </row>
    <row r="239" spans="1:51" x14ac:dyDescent="0.25">
      <c r="A239" s="7">
        <v>52</v>
      </c>
      <c r="B239" s="52">
        <f>'הזנת נתונים'!A52</f>
        <v>582.66666666666902</v>
      </c>
      <c r="C239" s="7">
        <f t="shared" si="128"/>
        <v>478.16666666666868</v>
      </c>
      <c r="D239" s="7">
        <f t="shared" si="128"/>
        <v>373.66666666666811</v>
      </c>
      <c r="E239" s="7">
        <f t="shared" si="129"/>
        <v>582.66666666666924</v>
      </c>
      <c r="F239" s="7">
        <f t="shared" si="130"/>
        <v>11.00000000000006</v>
      </c>
      <c r="G239" s="7">
        <f t="shared" si="131"/>
        <v>582.66666666666936</v>
      </c>
      <c r="H239" s="7">
        <f t="shared" si="132"/>
        <v>0</v>
      </c>
      <c r="I239" s="7">
        <f t="shared" si="133"/>
        <v>0</v>
      </c>
      <c r="O239" s="7">
        <v>52</v>
      </c>
      <c r="P239" s="52">
        <f>'הזנת נתונים'!A52</f>
        <v>582.66666666666902</v>
      </c>
      <c r="Q239" s="7">
        <f t="shared" si="107"/>
        <v>577.16666666666902</v>
      </c>
      <c r="R239" s="7">
        <f t="shared" si="107"/>
        <v>571.66666666666902</v>
      </c>
      <c r="S239" s="7">
        <f t="shared" si="111"/>
        <v>582.66666666666902</v>
      </c>
      <c r="T239" s="7">
        <f t="shared" si="112"/>
        <v>11</v>
      </c>
      <c r="U239" s="7">
        <f t="shared" si="114"/>
        <v>582.66666666666902</v>
      </c>
      <c r="V239" s="7">
        <f t="shared" si="115"/>
        <v>0</v>
      </c>
      <c r="W239" s="7">
        <f t="shared" si="116"/>
        <v>0</v>
      </c>
      <c r="AC239" s="7">
        <v>52</v>
      </c>
      <c r="AD239" s="52">
        <f>'הזנת נתונים'!A52</f>
        <v>582.66666666666902</v>
      </c>
      <c r="AE239" s="7">
        <f t="shared" si="113"/>
        <v>571.66666666666902</v>
      </c>
      <c r="AF239" s="7">
        <f t="shared" si="113"/>
        <v>560.66666666666902</v>
      </c>
      <c r="AG239" s="7">
        <f t="shared" si="118"/>
        <v>582.66666666666902</v>
      </c>
      <c r="AH239" s="7">
        <f t="shared" si="119"/>
        <v>11</v>
      </c>
      <c r="AI239" s="7">
        <f t="shared" si="120"/>
        <v>582.66666666666902</v>
      </c>
      <c r="AJ239" s="7">
        <f t="shared" si="121"/>
        <v>0</v>
      </c>
      <c r="AK239" s="7">
        <f t="shared" si="122"/>
        <v>0</v>
      </c>
      <c r="AQ239" s="7">
        <v>52</v>
      </c>
      <c r="AR239" s="52">
        <f>'הזנת נתונים'!A52</f>
        <v>582.66666666666902</v>
      </c>
      <c r="AS239" s="7">
        <f t="shared" si="117"/>
        <v>566.16666666666902</v>
      </c>
      <c r="AT239" s="7">
        <f t="shared" si="117"/>
        <v>549.66666666666902</v>
      </c>
      <c r="AU239" s="7">
        <f t="shared" si="123"/>
        <v>582.66666666666902</v>
      </c>
      <c r="AV239" s="7">
        <f t="shared" si="124"/>
        <v>11</v>
      </c>
      <c r="AW239" s="7">
        <f t="shared" si="125"/>
        <v>582.66666666666902</v>
      </c>
      <c r="AX239" s="7">
        <f t="shared" si="126"/>
        <v>0</v>
      </c>
      <c r="AY239" s="7">
        <f t="shared" si="127"/>
        <v>0</v>
      </c>
    </row>
    <row r="240" spans="1:51" x14ac:dyDescent="0.25">
      <c r="A240" s="7">
        <v>53</v>
      </c>
      <c r="B240" s="52">
        <f>'הזנת נתונים'!A53</f>
        <v>593.66666666666902</v>
      </c>
      <c r="C240" s="7">
        <f t="shared" si="128"/>
        <v>489.16666666666868</v>
      </c>
      <c r="D240" s="7">
        <f t="shared" si="128"/>
        <v>384.66666666666816</v>
      </c>
      <c r="E240" s="7">
        <f t="shared" si="129"/>
        <v>593.66666666666924</v>
      </c>
      <c r="F240" s="7">
        <f t="shared" si="130"/>
        <v>11.000000000000053</v>
      </c>
      <c r="G240" s="7">
        <f t="shared" si="131"/>
        <v>593.66666666666936</v>
      </c>
      <c r="H240" s="7">
        <f t="shared" si="132"/>
        <v>0</v>
      </c>
      <c r="I240" s="7">
        <f t="shared" si="133"/>
        <v>0</v>
      </c>
      <c r="O240" s="7">
        <v>53</v>
      </c>
      <c r="P240" s="52">
        <f>'הזנת נתונים'!A53</f>
        <v>593.66666666666902</v>
      </c>
      <c r="Q240" s="7">
        <f t="shared" si="107"/>
        <v>588.16666666666902</v>
      </c>
      <c r="R240" s="7">
        <f t="shared" si="107"/>
        <v>582.66666666666902</v>
      </c>
      <c r="S240" s="7">
        <f t="shared" si="111"/>
        <v>593.66666666666902</v>
      </c>
      <c r="T240" s="7">
        <f t="shared" si="112"/>
        <v>11</v>
      </c>
      <c r="U240" s="7">
        <f t="shared" si="114"/>
        <v>593.66666666666902</v>
      </c>
      <c r="V240" s="7">
        <f t="shared" si="115"/>
        <v>0</v>
      </c>
      <c r="W240" s="7">
        <f t="shared" si="116"/>
        <v>0</v>
      </c>
      <c r="AC240" s="7">
        <v>53</v>
      </c>
      <c r="AD240" s="52">
        <f>'הזנת נתונים'!A53</f>
        <v>593.66666666666902</v>
      </c>
      <c r="AE240" s="7">
        <f t="shared" si="113"/>
        <v>582.66666666666902</v>
      </c>
      <c r="AF240" s="7">
        <f t="shared" si="113"/>
        <v>571.66666666666902</v>
      </c>
      <c r="AG240" s="7">
        <f t="shared" si="118"/>
        <v>593.66666666666902</v>
      </c>
      <c r="AH240" s="7">
        <f t="shared" si="119"/>
        <v>11</v>
      </c>
      <c r="AI240" s="7">
        <f t="shared" si="120"/>
        <v>593.66666666666902</v>
      </c>
      <c r="AJ240" s="7">
        <f t="shared" si="121"/>
        <v>0</v>
      </c>
      <c r="AK240" s="7">
        <f t="shared" si="122"/>
        <v>0</v>
      </c>
      <c r="AQ240" s="7">
        <v>53</v>
      </c>
      <c r="AR240" s="52">
        <f>'הזנת נתונים'!A53</f>
        <v>593.66666666666902</v>
      </c>
      <c r="AS240" s="7">
        <f t="shared" si="117"/>
        <v>577.16666666666902</v>
      </c>
      <c r="AT240" s="7">
        <f t="shared" si="117"/>
        <v>560.66666666666902</v>
      </c>
      <c r="AU240" s="7">
        <f t="shared" si="123"/>
        <v>593.66666666666902</v>
      </c>
      <c r="AV240" s="7">
        <f t="shared" si="124"/>
        <v>11</v>
      </c>
      <c r="AW240" s="7">
        <f t="shared" si="125"/>
        <v>593.66666666666902</v>
      </c>
      <c r="AX240" s="7">
        <f t="shared" si="126"/>
        <v>0</v>
      </c>
      <c r="AY240" s="7">
        <f t="shared" si="127"/>
        <v>0</v>
      </c>
    </row>
    <row r="241" spans="1:51" x14ac:dyDescent="0.25">
      <c r="A241" s="7">
        <v>54</v>
      </c>
      <c r="B241" s="52">
        <f>'הזנת נתונים'!A54</f>
        <v>604.66666666666902</v>
      </c>
      <c r="C241" s="7">
        <f t="shared" si="128"/>
        <v>500.16666666666879</v>
      </c>
      <c r="D241" s="7">
        <f t="shared" si="128"/>
        <v>395.66666666666822</v>
      </c>
      <c r="E241" s="7">
        <f t="shared" si="129"/>
        <v>604.66666666666936</v>
      </c>
      <c r="F241" s="7">
        <f t="shared" si="130"/>
        <v>11.00000000000006</v>
      </c>
      <c r="G241" s="7">
        <f t="shared" si="131"/>
        <v>604.66666666666924</v>
      </c>
      <c r="H241" s="7">
        <f t="shared" si="132"/>
        <v>0</v>
      </c>
      <c r="I241" s="7">
        <f t="shared" si="133"/>
        <v>0</v>
      </c>
      <c r="O241" s="7">
        <v>54</v>
      </c>
      <c r="P241" s="52">
        <f>'הזנת נתונים'!A54</f>
        <v>604.66666666666902</v>
      </c>
      <c r="Q241" s="7">
        <f t="shared" si="107"/>
        <v>599.16666666666902</v>
      </c>
      <c r="R241" s="7">
        <f t="shared" si="107"/>
        <v>593.66666666666902</v>
      </c>
      <c r="S241" s="7">
        <f t="shared" si="111"/>
        <v>604.66666666666902</v>
      </c>
      <c r="T241" s="7">
        <f t="shared" si="112"/>
        <v>11</v>
      </c>
      <c r="U241" s="7">
        <f t="shared" si="114"/>
        <v>604.66666666666902</v>
      </c>
      <c r="V241" s="7">
        <f t="shared" si="115"/>
        <v>0</v>
      </c>
      <c r="W241" s="7">
        <f t="shared" si="116"/>
        <v>0</v>
      </c>
      <c r="AC241" s="7">
        <v>54</v>
      </c>
      <c r="AD241" s="52">
        <f>'הזנת נתונים'!A54</f>
        <v>604.66666666666902</v>
      </c>
      <c r="AE241" s="7">
        <f t="shared" si="113"/>
        <v>593.66666666666902</v>
      </c>
      <c r="AF241" s="7">
        <f t="shared" si="113"/>
        <v>582.66666666666902</v>
      </c>
      <c r="AG241" s="7">
        <f t="shared" si="118"/>
        <v>604.66666666666902</v>
      </c>
      <c r="AH241" s="7">
        <f t="shared" si="119"/>
        <v>11</v>
      </c>
      <c r="AI241" s="7">
        <f t="shared" si="120"/>
        <v>604.66666666666902</v>
      </c>
      <c r="AJ241" s="7">
        <f t="shared" si="121"/>
        <v>0</v>
      </c>
      <c r="AK241" s="7">
        <f t="shared" si="122"/>
        <v>0</v>
      </c>
      <c r="AQ241" s="7">
        <v>54</v>
      </c>
      <c r="AR241" s="52">
        <f>'הזנת נתונים'!A54</f>
        <v>604.66666666666902</v>
      </c>
      <c r="AS241" s="7">
        <f t="shared" si="117"/>
        <v>588.16666666666902</v>
      </c>
      <c r="AT241" s="7">
        <f t="shared" si="117"/>
        <v>571.66666666666902</v>
      </c>
      <c r="AU241" s="7">
        <f t="shared" si="123"/>
        <v>604.66666666666902</v>
      </c>
      <c r="AV241" s="7">
        <f t="shared" si="124"/>
        <v>11</v>
      </c>
      <c r="AW241" s="7">
        <f t="shared" si="125"/>
        <v>604.66666666666902</v>
      </c>
      <c r="AX241" s="7">
        <f t="shared" si="126"/>
        <v>0</v>
      </c>
      <c r="AY241" s="7">
        <f t="shared" si="127"/>
        <v>0</v>
      </c>
    </row>
    <row r="242" spans="1:51" x14ac:dyDescent="0.25">
      <c r="A242" s="7">
        <v>55</v>
      </c>
      <c r="B242" s="52">
        <f>'הזנת נתונים'!A55</f>
        <v>615.66666666666902</v>
      </c>
      <c r="C242" s="7">
        <f t="shared" si="128"/>
        <v>511.1666666666689</v>
      </c>
      <c r="D242" s="7">
        <f t="shared" si="128"/>
        <v>406.66666666666833</v>
      </c>
      <c r="E242" s="7">
        <f t="shared" si="129"/>
        <v>615.66666666666947</v>
      </c>
      <c r="F242" s="7">
        <f t="shared" si="130"/>
        <v>11.00000000000006</v>
      </c>
      <c r="G242" s="7">
        <f t="shared" si="131"/>
        <v>615.66666666666947</v>
      </c>
      <c r="H242" s="7">
        <f t="shared" si="132"/>
        <v>0</v>
      </c>
      <c r="I242" s="7">
        <f t="shared" si="133"/>
        <v>0</v>
      </c>
      <c r="O242" s="7">
        <v>55</v>
      </c>
      <c r="P242" s="52">
        <f>'הזנת נתונים'!A55</f>
        <v>615.66666666666902</v>
      </c>
      <c r="Q242" s="7">
        <f t="shared" si="107"/>
        <v>610.16666666666902</v>
      </c>
      <c r="R242" s="7">
        <f t="shared" si="107"/>
        <v>604.66666666666902</v>
      </c>
      <c r="S242" s="7">
        <f t="shared" si="111"/>
        <v>615.66666666666902</v>
      </c>
      <c r="T242" s="7">
        <f t="shared" si="112"/>
        <v>11</v>
      </c>
      <c r="U242" s="7">
        <f t="shared" si="114"/>
        <v>615.66666666666902</v>
      </c>
      <c r="V242" s="7">
        <f t="shared" si="115"/>
        <v>0</v>
      </c>
      <c r="W242" s="7">
        <f t="shared" si="116"/>
        <v>0</v>
      </c>
      <c r="AC242" s="7">
        <v>55</v>
      </c>
      <c r="AD242" s="52">
        <f>'הזנת נתונים'!A55</f>
        <v>615.66666666666902</v>
      </c>
      <c r="AE242" s="7">
        <f t="shared" si="113"/>
        <v>604.66666666666902</v>
      </c>
      <c r="AF242" s="7">
        <f t="shared" si="113"/>
        <v>593.66666666666902</v>
      </c>
      <c r="AG242" s="7">
        <f t="shared" si="118"/>
        <v>615.66666666666902</v>
      </c>
      <c r="AH242" s="7">
        <f t="shared" si="119"/>
        <v>11</v>
      </c>
      <c r="AI242" s="7">
        <f t="shared" si="120"/>
        <v>615.66666666666902</v>
      </c>
      <c r="AJ242" s="7">
        <f t="shared" si="121"/>
        <v>0</v>
      </c>
      <c r="AK242" s="7">
        <f t="shared" si="122"/>
        <v>0</v>
      </c>
      <c r="AQ242" s="7">
        <v>55</v>
      </c>
      <c r="AR242" s="52">
        <f>'הזנת נתונים'!A55</f>
        <v>615.66666666666902</v>
      </c>
      <c r="AS242" s="7">
        <f t="shared" si="117"/>
        <v>599.16666666666902</v>
      </c>
      <c r="AT242" s="7">
        <f t="shared" si="117"/>
        <v>582.66666666666902</v>
      </c>
      <c r="AU242" s="7">
        <f t="shared" si="123"/>
        <v>615.66666666666902</v>
      </c>
      <c r="AV242" s="7">
        <f t="shared" si="124"/>
        <v>11</v>
      </c>
      <c r="AW242" s="7">
        <f t="shared" si="125"/>
        <v>615.66666666666902</v>
      </c>
      <c r="AX242" s="7">
        <f t="shared" si="126"/>
        <v>0</v>
      </c>
      <c r="AY242" s="7">
        <f t="shared" si="127"/>
        <v>0</v>
      </c>
    </row>
    <row r="243" spans="1:51" x14ac:dyDescent="0.25">
      <c r="A243" s="7">
        <v>56</v>
      </c>
      <c r="B243" s="52">
        <f>'הזנת נתונים'!A56</f>
        <v>626.66666666666902</v>
      </c>
      <c r="C243" s="7">
        <f t="shared" si="128"/>
        <v>522.1666666666689</v>
      </c>
      <c r="D243" s="7">
        <f t="shared" si="128"/>
        <v>417.66666666666845</v>
      </c>
      <c r="E243" s="7">
        <f t="shared" si="129"/>
        <v>626.66666666666936</v>
      </c>
      <c r="F243" s="7">
        <f t="shared" si="130"/>
        <v>11.000000000000048</v>
      </c>
      <c r="G243" s="7">
        <f t="shared" si="131"/>
        <v>626.66666666666958</v>
      </c>
      <c r="H243" s="7">
        <f t="shared" si="132"/>
        <v>0</v>
      </c>
      <c r="I243" s="7">
        <f t="shared" si="133"/>
        <v>0</v>
      </c>
      <c r="O243" s="7">
        <v>56</v>
      </c>
      <c r="P243" s="52">
        <f>'הזנת נתונים'!A56</f>
        <v>626.66666666666902</v>
      </c>
      <c r="Q243" s="7">
        <f t="shared" si="107"/>
        <v>621.16666666666902</v>
      </c>
      <c r="R243" s="7">
        <f t="shared" si="107"/>
        <v>615.66666666666902</v>
      </c>
      <c r="S243" s="7">
        <f t="shared" si="111"/>
        <v>626.66666666666902</v>
      </c>
      <c r="T243" s="7">
        <f t="shared" si="112"/>
        <v>11</v>
      </c>
      <c r="U243" s="7">
        <f t="shared" si="114"/>
        <v>626.66666666666902</v>
      </c>
      <c r="V243" s="7">
        <f t="shared" si="115"/>
        <v>0</v>
      </c>
      <c r="W243" s="7">
        <f t="shared" si="116"/>
        <v>0</v>
      </c>
      <c r="AC243" s="7">
        <v>56</v>
      </c>
      <c r="AD243" s="52">
        <f>'הזנת נתונים'!A56</f>
        <v>626.66666666666902</v>
      </c>
      <c r="AE243" s="7">
        <f t="shared" si="113"/>
        <v>615.66666666666902</v>
      </c>
      <c r="AF243" s="7">
        <f t="shared" si="113"/>
        <v>604.66666666666902</v>
      </c>
      <c r="AG243" s="7">
        <f t="shared" si="118"/>
        <v>626.66666666666902</v>
      </c>
      <c r="AH243" s="7">
        <f t="shared" si="119"/>
        <v>11</v>
      </c>
      <c r="AI243" s="7">
        <f t="shared" si="120"/>
        <v>626.66666666666902</v>
      </c>
      <c r="AJ243" s="7">
        <f t="shared" si="121"/>
        <v>0</v>
      </c>
      <c r="AK243" s="7">
        <f t="shared" si="122"/>
        <v>0</v>
      </c>
      <c r="AQ243" s="7">
        <v>56</v>
      </c>
      <c r="AR243" s="52">
        <f>'הזנת נתונים'!A56</f>
        <v>626.66666666666902</v>
      </c>
      <c r="AS243" s="7">
        <f t="shared" si="117"/>
        <v>610.16666666666902</v>
      </c>
      <c r="AT243" s="7">
        <f t="shared" si="117"/>
        <v>593.66666666666902</v>
      </c>
      <c r="AU243" s="7">
        <f t="shared" si="123"/>
        <v>626.66666666666902</v>
      </c>
      <c r="AV243" s="7">
        <f t="shared" si="124"/>
        <v>11</v>
      </c>
      <c r="AW243" s="7">
        <f t="shared" si="125"/>
        <v>626.66666666666902</v>
      </c>
      <c r="AX243" s="7">
        <f t="shared" si="126"/>
        <v>0</v>
      </c>
      <c r="AY243" s="7">
        <f t="shared" si="127"/>
        <v>0</v>
      </c>
    </row>
    <row r="244" spans="1:51" x14ac:dyDescent="0.25">
      <c r="A244" s="7">
        <v>57</v>
      </c>
      <c r="B244" s="52">
        <f>'הזנת נתונים'!A57</f>
        <v>637.66666666666902</v>
      </c>
      <c r="C244" s="7">
        <f t="shared" si="128"/>
        <v>533.16666666666902</v>
      </c>
      <c r="D244" s="7">
        <f t="shared" si="128"/>
        <v>428.66666666666845</v>
      </c>
      <c r="E244" s="7">
        <f t="shared" si="129"/>
        <v>637.66666666666958</v>
      </c>
      <c r="F244" s="7">
        <f t="shared" si="130"/>
        <v>11.00000000000006</v>
      </c>
      <c r="G244" s="7">
        <f t="shared" si="131"/>
        <v>637.66666666666936</v>
      </c>
      <c r="H244" s="7">
        <f t="shared" si="132"/>
        <v>0</v>
      </c>
      <c r="I244" s="7">
        <f t="shared" si="133"/>
        <v>0</v>
      </c>
      <c r="O244" s="7">
        <v>57</v>
      </c>
      <c r="P244" s="52">
        <f>'הזנת נתונים'!A57</f>
        <v>637.66666666666902</v>
      </c>
      <c r="Q244" s="7">
        <f t="shared" si="107"/>
        <v>632.16666666666902</v>
      </c>
      <c r="R244" s="7">
        <f t="shared" si="107"/>
        <v>626.66666666666902</v>
      </c>
      <c r="S244" s="7">
        <f t="shared" si="111"/>
        <v>637.66666666666902</v>
      </c>
      <c r="T244" s="7">
        <f t="shared" si="112"/>
        <v>11</v>
      </c>
      <c r="U244" s="7">
        <f t="shared" si="114"/>
        <v>637.66666666666902</v>
      </c>
      <c r="V244" s="7">
        <f t="shared" si="115"/>
        <v>0</v>
      </c>
      <c r="W244" s="7">
        <f t="shared" si="116"/>
        <v>0</v>
      </c>
      <c r="AC244" s="7">
        <v>57</v>
      </c>
      <c r="AD244" s="52">
        <f>'הזנת נתונים'!A57</f>
        <v>637.66666666666902</v>
      </c>
      <c r="AE244" s="7">
        <f t="shared" si="113"/>
        <v>626.66666666666902</v>
      </c>
      <c r="AF244" s="7">
        <f t="shared" si="113"/>
        <v>615.66666666666902</v>
      </c>
      <c r="AG244" s="7">
        <f t="shared" si="118"/>
        <v>637.66666666666902</v>
      </c>
      <c r="AH244" s="7">
        <f t="shared" si="119"/>
        <v>11</v>
      </c>
      <c r="AI244" s="7">
        <f t="shared" si="120"/>
        <v>637.66666666666902</v>
      </c>
      <c r="AJ244" s="7">
        <f t="shared" si="121"/>
        <v>0</v>
      </c>
      <c r="AK244" s="7">
        <f t="shared" si="122"/>
        <v>0</v>
      </c>
      <c r="AQ244" s="7">
        <v>57</v>
      </c>
      <c r="AR244" s="52">
        <f>'הזנת נתונים'!A57</f>
        <v>637.66666666666902</v>
      </c>
      <c r="AS244" s="7">
        <f t="shared" si="117"/>
        <v>621.16666666666902</v>
      </c>
      <c r="AT244" s="7">
        <f t="shared" si="117"/>
        <v>604.66666666666902</v>
      </c>
      <c r="AU244" s="7">
        <f t="shared" si="123"/>
        <v>637.66666666666902</v>
      </c>
      <c r="AV244" s="7">
        <f t="shared" si="124"/>
        <v>11</v>
      </c>
      <c r="AW244" s="7">
        <f t="shared" si="125"/>
        <v>637.66666666666902</v>
      </c>
      <c r="AX244" s="7">
        <f t="shared" si="126"/>
        <v>0</v>
      </c>
      <c r="AY244" s="7">
        <f t="shared" si="127"/>
        <v>0</v>
      </c>
    </row>
    <row r="245" spans="1:51" x14ac:dyDescent="0.25">
      <c r="A245" s="7">
        <v>58</v>
      </c>
      <c r="B245" s="52">
        <f>'הזנת נתונים'!A58</f>
        <v>648.66666666666902</v>
      </c>
      <c r="C245" s="7">
        <f t="shared" si="128"/>
        <v>544.16666666666902</v>
      </c>
      <c r="D245" s="7">
        <f t="shared" si="128"/>
        <v>439.6666666666685</v>
      </c>
      <c r="E245" s="7">
        <f t="shared" si="129"/>
        <v>648.66666666666947</v>
      </c>
      <c r="F245" s="7">
        <f t="shared" si="130"/>
        <v>11.000000000000053</v>
      </c>
      <c r="G245" s="7">
        <f t="shared" si="131"/>
        <v>648.6666666666697</v>
      </c>
      <c r="H245" s="7">
        <f t="shared" si="132"/>
        <v>0</v>
      </c>
      <c r="I245" s="7">
        <f t="shared" si="133"/>
        <v>0</v>
      </c>
      <c r="O245" s="7">
        <v>58</v>
      </c>
      <c r="P245" s="52">
        <f>'הזנת נתונים'!A58</f>
        <v>648.66666666666902</v>
      </c>
      <c r="Q245" s="7">
        <f t="shared" si="107"/>
        <v>643.16666666666902</v>
      </c>
      <c r="R245" s="7">
        <f t="shared" si="107"/>
        <v>637.66666666666902</v>
      </c>
      <c r="S245" s="7">
        <f t="shared" si="111"/>
        <v>648.66666666666902</v>
      </c>
      <c r="T245" s="7">
        <f t="shared" si="112"/>
        <v>11</v>
      </c>
      <c r="U245" s="7">
        <f t="shared" si="114"/>
        <v>648.66666666666902</v>
      </c>
      <c r="V245" s="7">
        <f t="shared" si="115"/>
        <v>0</v>
      </c>
      <c r="W245" s="7">
        <f t="shared" si="116"/>
        <v>0</v>
      </c>
      <c r="AC245" s="7">
        <v>58</v>
      </c>
      <c r="AD245" s="52">
        <f>'הזנת נתונים'!A58</f>
        <v>648.66666666666902</v>
      </c>
      <c r="AE245" s="7">
        <f t="shared" si="113"/>
        <v>637.66666666666902</v>
      </c>
      <c r="AF245" s="7">
        <f t="shared" si="113"/>
        <v>626.66666666666902</v>
      </c>
      <c r="AG245" s="7">
        <f t="shared" si="118"/>
        <v>648.66666666666902</v>
      </c>
      <c r="AH245" s="7">
        <f t="shared" si="119"/>
        <v>11</v>
      </c>
      <c r="AI245" s="7">
        <f t="shared" si="120"/>
        <v>648.66666666666902</v>
      </c>
      <c r="AJ245" s="7">
        <f t="shared" si="121"/>
        <v>0</v>
      </c>
      <c r="AK245" s="7">
        <f t="shared" si="122"/>
        <v>0</v>
      </c>
      <c r="AQ245" s="7">
        <v>58</v>
      </c>
      <c r="AR245" s="52">
        <f>'הזנת נתונים'!A58</f>
        <v>648.66666666666902</v>
      </c>
      <c r="AS245" s="7">
        <f t="shared" si="117"/>
        <v>632.16666666666902</v>
      </c>
      <c r="AT245" s="7">
        <f t="shared" si="117"/>
        <v>615.66666666666902</v>
      </c>
      <c r="AU245" s="7">
        <f t="shared" si="123"/>
        <v>648.66666666666902</v>
      </c>
      <c r="AV245" s="7">
        <f t="shared" si="124"/>
        <v>11</v>
      </c>
      <c r="AW245" s="7">
        <f t="shared" si="125"/>
        <v>648.66666666666902</v>
      </c>
      <c r="AX245" s="7">
        <f t="shared" si="126"/>
        <v>0</v>
      </c>
      <c r="AY245" s="7">
        <f t="shared" si="127"/>
        <v>0</v>
      </c>
    </row>
    <row r="246" spans="1:51" x14ac:dyDescent="0.25">
      <c r="A246" s="7">
        <v>59</v>
      </c>
      <c r="B246" s="52">
        <f>'הזנת נתונים'!A59</f>
        <v>659.66666666666902</v>
      </c>
      <c r="C246" s="7">
        <f t="shared" si="128"/>
        <v>555.16666666666902</v>
      </c>
      <c r="D246" s="7">
        <f t="shared" si="128"/>
        <v>450.6666666666685</v>
      </c>
      <c r="E246" s="7">
        <f t="shared" si="129"/>
        <v>659.66666666666947</v>
      </c>
      <c r="F246" s="7">
        <f t="shared" si="130"/>
        <v>11.000000000000053</v>
      </c>
      <c r="G246" s="7">
        <f t="shared" si="131"/>
        <v>659.66666666666947</v>
      </c>
      <c r="H246" s="7">
        <f t="shared" si="132"/>
        <v>0</v>
      </c>
      <c r="I246" s="7">
        <f t="shared" si="133"/>
        <v>0</v>
      </c>
      <c r="O246" s="7">
        <v>59</v>
      </c>
      <c r="P246" s="52">
        <f>'הזנת נתונים'!A59</f>
        <v>659.66666666666902</v>
      </c>
      <c r="Q246" s="7">
        <f t="shared" si="107"/>
        <v>654.16666666666902</v>
      </c>
      <c r="R246" s="7">
        <f t="shared" si="107"/>
        <v>648.66666666666902</v>
      </c>
      <c r="S246" s="7">
        <f t="shared" si="111"/>
        <v>659.66666666666902</v>
      </c>
      <c r="T246" s="7">
        <f t="shared" si="112"/>
        <v>11</v>
      </c>
      <c r="U246" s="7">
        <f t="shared" si="114"/>
        <v>659.66666666666902</v>
      </c>
      <c r="V246" s="7">
        <f t="shared" si="115"/>
        <v>0</v>
      </c>
      <c r="W246" s="7">
        <f t="shared" si="116"/>
        <v>0</v>
      </c>
      <c r="AC246" s="7">
        <v>59</v>
      </c>
      <c r="AD246" s="52">
        <f>'הזנת נתונים'!A59</f>
        <v>659.66666666666902</v>
      </c>
      <c r="AE246" s="7">
        <f t="shared" si="113"/>
        <v>648.66666666666902</v>
      </c>
      <c r="AF246" s="7">
        <f t="shared" si="113"/>
        <v>637.66666666666902</v>
      </c>
      <c r="AG246" s="7">
        <f t="shared" si="118"/>
        <v>659.66666666666902</v>
      </c>
      <c r="AH246" s="7">
        <f t="shared" si="119"/>
        <v>11</v>
      </c>
      <c r="AI246" s="7">
        <f t="shared" si="120"/>
        <v>659.66666666666902</v>
      </c>
      <c r="AJ246" s="7">
        <f t="shared" si="121"/>
        <v>0</v>
      </c>
      <c r="AK246" s="7">
        <f t="shared" si="122"/>
        <v>0</v>
      </c>
      <c r="AQ246" s="7">
        <v>59</v>
      </c>
      <c r="AR246" s="52">
        <f>'הזנת נתונים'!A59</f>
        <v>659.66666666666902</v>
      </c>
      <c r="AS246" s="7">
        <f t="shared" si="117"/>
        <v>643.16666666666902</v>
      </c>
      <c r="AT246" s="7">
        <f t="shared" si="117"/>
        <v>626.66666666666902</v>
      </c>
      <c r="AU246" s="7">
        <f t="shared" si="123"/>
        <v>659.66666666666902</v>
      </c>
      <c r="AV246" s="7">
        <f t="shared" si="124"/>
        <v>11</v>
      </c>
      <c r="AW246" s="7">
        <f t="shared" si="125"/>
        <v>659.66666666666902</v>
      </c>
      <c r="AX246" s="7">
        <f t="shared" si="126"/>
        <v>0</v>
      </c>
      <c r="AY246" s="7">
        <f t="shared" si="127"/>
        <v>0</v>
      </c>
    </row>
    <row r="247" spans="1:51" x14ac:dyDescent="0.25">
      <c r="A247" s="7">
        <v>60</v>
      </c>
      <c r="B247" s="52">
        <f>'הזנת נתונים'!A60</f>
        <v>670.66666666666902</v>
      </c>
      <c r="C247" s="7">
        <f t="shared" si="128"/>
        <v>566.16666666666902</v>
      </c>
      <c r="D247" s="7">
        <f t="shared" si="128"/>
        <v>461.66666666666862</v>
      </c>
      <c r="E247" s="7">
        <f t="shared" si="129"/>
        <v>670.66666666666947</v>
      </c>
      <c r="F247" s="7">
        <f t="shared" si="130"/>
        <v>11.000000000000043</v>
      </c>
      <c r="G247" s="7">
        <f t="shared" si="131"/>
        <v>670.66666666666947</v>
      </c>
      <c r="H247" s="7">
        <f t="shared" si="132"/>
        <v>0</v>
      </c>
      <c r="I247" s="7">
        <f t="shared" si="133"/>
        <v>0</v>
      </c>
      <c r="O247" s="7">
        <v>60</v>
      </c>
      <c r="P247" s="52">
        <f>'הזנת נתונים'!A60</f>
        <v>670.66666666666902</v>
      </c>
      <c r="Q247" s="7">
        <f t="shared" si="107"/>
        <v>665.16666666666902</v>
      </c>
      <c r="R247" s="7">
        <f t="shared" si="107"/>
        <v>659.66666666666902</v>
      </c>
      <c r="S247" s="7">
        <f t="shared" si="111"/>
        <v>670.66666666666902</v>
      </c>
      <c r="T247" s="7">
        <f t="shared" si="112"/>
        <v>11</v>
      </c>
      <c r="U247" s="7">
        <f t="shared" si="114"/>
        <v>670.66666666666902</v>
      </c>
      <c r="V247" s="7">
        <f t="shared" si="115"/>
        <v>0</v>
      </c>
      <c r="W247" s="7">
        <f t="shared" si="116"/>
        <v>0</v>
      </c>
      <c r="AC247" s="7">
        <v>60</v>
      </c>
      <c r="AD247" s="52">
        <f>'הזנת נתונים'!A60</f>
        <v>670.66666666666902</v>
      </c>
      <c r="AE247" s="7">
        <f t="shared" si="113"/>
        <v>659.66666666666902</v>
      </c>
      <c r="AF247" s="7">
        <f t="shared" si="113"/>
        <v>648.66666666666902</v>
      </c>
      <c r="AG247" s="7">
        <f t="shared" si="118"/>
        <v>670.66666666666902</v>
      </c>
      <c r="AH247" s="7">
        <f t="shared" si="119"/>
        <v>11</v>
      </c>
      <c r="AI247" s="7">
        <f t="shared" si="120"/>
        <v>670.66666666666902</v>
      </c>
      <c r="AJ247" s="7">
        <f t="shared" si="121"/>
        <v>0</v>
      </c>
      <c r="AK247" s="7">
        <f t="shared" si="122"/>
        <v>0</v>
      </c>
      <c r="AQ247" s="7">
        <v>60</v>
      </c>
      <c r="AR247" s="52">
        <f>'הזנת נתונים'!A60</f>
        <v>670.66666666666902</v>
      </c>
      <c r="AS247" s="7">
        <f t="shared" si="117"/>
        <v>654.16666666666902</v>
      </c>
      <c r="AT247" s="7">
        <f t="shared" si="117"/>
        <v>637.66666666666902</v>
      </c>
      <c r="AU247" s="7">
        <f t="shared" si="123"/>
        <v>670.66666666666902</v>
      </c>
      <c r="AV247" s="7">
        <f t="shared" si="124"/>
        <v>11</v>
      </c>
      <c r="AW247" s="7">
        <f t="shared" si="125"/>
        <v>670.66666666666902</v>
      </c>
      <c r="AX247" s="7">
        <f t="shared" si="126"/>
        <v>0</v>
      </c>
      <c r="AY247" s="7">
        <f t="shared" si="127"/>
        <v>0</v>
      </c>
    </row>
    <row r="259" spans="31:44" x14ac:dyDescent="0.25">
      <c r="AE259" s="63" t="s">
        <v>22</v>
      </c>
      <c r="AF259" s="63" t="s">
        <v>115</v>
      </c>
      <c r="AG259" s="65" t="s">
        <v>6</v>
      </c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7"/>
    </row>
    <row r="260" spans="31:44" x14ac:dyDescent="0.25">
      <c r="AE260" s="64"/>
      <c r="AF260" s="64"/>
      <c r="AG260" s="54">
        <v>1</v>
      </c>
      <c r="AH260" s="54">
        <v>2</v>
      </c>
      <c r="AI260" s="54">
        <v>3</v>
      </c>
      <c r="AJ260" s="54">
        <v>4</v>
      </c>
      <c r="AK260" s="54">
        <v>5</v>
      </c>
      <c r="AL260" s="54">
        <v>6</v>
      </c>
      <c r="AM260" s="54">
        <v>7</v>
      </c>
      <c r="AN260" s="54">
        <v>8</v>
      </c>
      <c r="AO260" s="54">
        <v>9</v>
      </c>
      <c r="AP260" s="54">
        <v>10</v>
      </c>
      <c r="AQ260" s="54">
        <v>11</v>
      </c>
      <c r="AR260" s="54">
        <v>12</v>
      </c>
    </row>
    <row r="261" spans="31:44" x14ac:dyDescent="0.25">
      <c r="AE261" s="1">
        <f>X188</f>
        <v>4.3291910331383914</v>
      </c>
      <c r="AF261" s="1">
        <v>2</v>
      </c>
      <c r="AG261" s="51">
        <f>Z189</f>
        <v>681.66666666666902</v>
      </c>
      <c r="AH261" s="51">
        <f>Z190</f>
        <v>692.66666666666902</v>
      </c>
      <c r="AI261" s="51">
        <f>Z191</f>
        <v>703.66666666666902</v>
      </c>
      <c r="AJ261" s="51">
        <f>Z192</f>
        <v>714.66666666666902</v>
      </c>
      <c r="AK261" s="51">
        <f>Z193</f>
        <v>725.66666666666902</v>
      </c>
      <c r="AL261" s="51">
        <f>Z194</f>
        <v>736.66666666666902</v>
      </c>
      <c r="AM261" s="51">
        <f>Z195</f>
        <v>747.66666666666902</v>
      </c>
      <c r="AN261" s="51">
        <f>Z196</f>
        <v>758.66666666666902</v>
      </c>
      <c r="AO261" s="51">
        <f>Z197</f>
        <v>769.66666666666902</v>
      </c>
      <c r="AP261" s="51">
        <f>Z198</f>
        <v>780.66666666666902</v>
      </c>
      <c r="AQ261" s="51">
        <f>Z199</f>
        <v>791.66666666666902</v>
      </c>
      <c r="AR261" s="51">
        <f>Z200</f>
        <v>802.66666666666902</v>
      </c>
    </row>
    <row r="262" spans="31:44" x14ac:dyDescent="0.25">
      <c r="AE262" s="1">
        <f>AL188</f>
        <v>0.29065968325230335</v>
      </c>
      <c r="AF262" s="1">
        <v>3</v>
      </c>
      <c r="AG262" s="51">
        <f>AN189</f>
        <v>681.66666666666902</v>
      </c>
      <c r="AH262" s="51">
        <f>AN190</f>
        <v>692.66666666666902</v>
      </c>
      <c r="AI262" s="51">
        <f>AN191</f>
        <v>703.66666666666902</v>
      </c>
      <c r="AJ262" s="51">
        <f>AN192</f>
        <v>714.66666666666902</v>
      </c>
      <c r="AK262" s="51">
        <f>AN193</f>
        <v>725.66666666666902</v>
      </c>
      <c r="AL262" s="51">
        <f>AN194</f>
        <v>736.66666666666902</v>
      </c>
      <c r="AM262" s="51">
        <f>AN195</f>
        <v>747.66666666666902</v>
      </c>
      <c r="AN262" s="51">
        <f>AN196</f>
        <v>758.66666666666902</v>
      </c>
      <c r="AO262" s="51">
        <f>AN197</f>
        <v>769.66666666666902</v>
      </c>
      <c r="AP262" s="51">
        <f>AN198</f>
        <v>780.66666666666902</v>
      </c>
      <c r="AQ262" s="51">
        <f>AN199</f>
        <v>791.66666666666902</v>
      </c>
      <c r="AR262" s="51">
        <f>AN200</f>
        <v>802.66666666666902</v>
      </c>
    </row>
    <row r="263" spans="31:44" x14ac:dyDescent="0.25">
      <c r="AE263" s="1">
        <f>AZ188</f>
        <v>7.355724435126712E-2</v>
      </c>
      <c r="AF263" s="1">
        <v>4</v>
      </c>
      <c r="AG263" s="51">
        <f>BB189</f>
        <v>681.66666666666902</v>
      </c>
      <c r="AH263" s="51">
        <f>BB190</f>
        <v>692.66666666666902</v>
      </c>
      <c r="AI263" s="51">
        <f>BB191</f>
        <v>703.66666666666902</v>
      </c>
      <c r="AJ263" s="51">
        <f>BB192</f>
        <v>714.66666666666902</v>
      </c>
      <c r="AK263" s="51">
        <f>BB193</f>
        <v>725.66666666666902</v>
      </c>
      <c r="AL263" s="51">
        <f>BB194</f>
        <v>736.66666666666902</v>
      </c>
      <c r="AM263" s="51">
        <f>BB195</f>
        <v>747.66666666666902</v>
      </c>
      <c r="AN263" s="51">
        <f>BB196</f>
        <v>758.66666666666902</v>
      </c>
      <c r="AO263" s="51">
        <f>BB197</f>
        <v>769.66666666666902</v>
      </c>
      <c r="AP263" s="51">
        <f>BB198</f>
        <v>780.66666666666902</v>
      </c>
      <c r="AQ263" s="51">
        <f>BB199</f>
        <v>791.66666666666902</v>
      </c>
      <c r="AR263" s="51">
        <f>BB200</f>
        <v>802.66666666666902</v>
      </c>
    </row>
    <row r="264" spans="31:44" x14ac:dyDescent="0.25">
      <c r="AE264" s="1">
        <f>J2</f>
        <v>2.9813507625272732E-2</v>
      </c>
      <c r="AF264" s="1">
        <v>5</v>
      </c>
      <c r="AG264" s="51">
        <f>L3</f>
        <v>681.66666666666902</v>
      </c>
      <c r="AH264" s="51">
        <f>L4</f>
        <v>692.66666666666902</v>
      </c>
      <c r="AI264" s="51">
        <f>L5</f>
        <v>703.66666666666902</v>
      </c>
      <c r="AJ264" s="51">
        <f>L6</f>
        <v>714.66666666666902</v>
      </c>
      <c r="AK264" s="51">
        <f>L7</f>
        <v>725.66666666666902</v>
      </c>
      <c r="AL264" s="51">
        <f>L8</f>
        <v>736.66666666666902</v>
      </c>
      <c r="AM264" s="51">
        <f>L9</f>
        <v>747.66666666666902</v>
      </c>
      <c r="AN264" s="51">
        <f>L10</f>
        <v>758.66666666666902</v>
      </c>
      <c r="AO264" s="51">
        <f>L11</f>
        <v>769.66666666666902</v>
      </c>
      <c r="AP264" s="51">
        <f>L12</f>
        <v>780.66666666666902</v>
      </c>
      <c r="AQ264" s="51">
        <f>L13</f>
        <v>791.66666666666902</v>
      </c>
      <c r="AR264" s="51">
        <f>L14</f>
        <v>802.66666666666902</v>
      </c>
    </row>
    <row r="265" spans="31:44" x14ac:dyDescent="0.25">
      <c r="AE265" s="1">
        <f>X2</f>
        <v>2.9767923630355537E-2</v>
      </c>
      <c r="AF265" s="1">
        <v>6</v>
      </c>
      <c r="AG265" s="51">
        <f>Z3</f>
        <v>681.6666666666689</v>
      </c>
      <c r="AH265" s="51">
        <f>Z4</f>
        <v>692.6666666666689</v>
      </c>
      <c r="AI265" s="51">
        <f>Z5</f>
        <v>703.6666666666689</v>
      </c>
      <c r="AJ265" s="51">
        <f>Z6</f>
        <v>714.6666666666689</v>
      </c>
      <c r="AK265" s="51">
        <f>Z7</f>
        <v>725.6666666666689</v>
      </c>
      <c r="AL265" s="51">
        <f>Z8</f>
        <v>736.6666666666689</v>
      </c>
      <c r="AM265" s="51">
        <f>Z9</f>
        <v>747.6666666666689</v>
      </c>
      <c r="AN265" s="51">
        <f>Z10</f>
        <v>758.6666666666689</v>
      </c>
      <c r="AO265" s="51">
        <f>Z11</f>
        <v>769.6666666666689</v>
      </c>
      <c r="AP265" s="51">
        <f>Z12</f>
        <v>780.6666666666689</v>
      </c>
      <c r="AQ265" s="51">
        <f>Z13</f>
        <v>791.6666666666689</v>
      </c>
      <c r="AR265" s="51">
        <f>Z14</f>
        <v>802.6666666666689</v>
      </c>
    </row>
    <row r="266" spans="31:44" x14ac:dyDescent="0.25">
      <c r="AE266" s="1">
        <f>AL2</f>
        <v>3.5428719339941788E-3</v>
      </c>
      <c r="AF266" s="1">
        <v>7</v>
      </c>
      <c r="AG266" s="51">
        <f>AN3</f>
        <v>681.6666666666689</v>
      </c>
      <c r="AH266" s="51">
        <f>AN4</f>
        <v>692.6666666666689</v>
      </c>
      <c r="AI266" s="51">
        <f>AN5</f>
        <v>703.6666666666689</v>
      </c>
      <c r="AJ266" s="51">
        <f>AN6</f>
        <v>714.6666666666689</v>
      </c>
      <c r="AK266" s="51">
        <f>AN7</f>
        <v>725.6666666666689</v>
      </c>
      <c r="AL266" s="51">
        <f>AN8</f>
        <v>736.6666666666689</v>
      </c>
      <c r="AM266" s="51">
        <f>AN9</f>
        <v>747.6666666666689</v>
      </c>
      <c r="AN266" s="51">
        <f>AN10</f>
        <v>758.6666666666689</v>
      </c>
      <c r="AO266" s="51">
        <f>AN11</f>
        <v>769.6666666666689</v>
      </c>
      <c r="AP266" s="51">
        <f>AN12</f>
        <v>780.6666666666689</v>
      </c>
      <c r="AQ266" s="51">
        <f>AN13</f>
        <v>791.6666666666689</v>
      </c>
      <c r="AR266" s="51">
        <f>AN14</f>
        <v>802.6666666666689</v>
      </c>
    </row>
    <row r="267" spans="31:44" x14ac:dyDescent="0.25">
      <c r="AE267" s="1">
        <f>AZ2</f>
        <v>2.0169005102008636E-3</v>
      </c>
      <c r="AF267" s="1">
        <v>8</v>
      </c>
      <c r="AG267" s="51">
        <f>BB3</f>
        <v>681.6666666666689</v>
      </c>
      <c r="AH267" s="51">
        <f>BB4</f>
        <v>692.6666666666689</v>
      </c>
      <c r="AI267" s="51">
        <f>BB5</f>
        <v>703.6666666666689</v>
      </c>
      <c r="AJ267" s="51">
        <f>BB6</f>
        <v>714.6666666666689</v>
      </c>
      <c r="AK267" s="51">
        <f>BB7</f>
        <v>725.6666666666689</v>
      </c>
      <c r="AL267" s="51">
        <f>BB8</f>
        <v>736.6666666666689</v>
      </c>
      <c r="AM267" s="51">
        <f>BB9</f>
        <v>747.6666666666689</v>
      </c>
      <c r="AN267" s="51">
        <f>BB10</f>
        <v>758.6666666666689</v>
      </c>
      <c r="AO267" s="51">
        <f>BB11</f>
        <v>769.6666666666689</v>
      </c>
      <c r="AP267" s="51">
        <f>BB12</f>
        <v>780.6666666666689</v>
      </c>
      <c r="AQ267" s="51">
        <f>BB13</f>
        <v>791.6666666666689</v>
      </c>
      <c r="AR267" s="51">
        <f>BB14</f>
        <v>802.6666666666689</v>
      </c>
    </row>
    <row r="268" spans="31:44" x14ac:dyDescent="0.25">
      <c r="AE268" s="1">
        <f>BN2</f>
        <v>1.2455166324197248E-3</v>
      </c>
      <c r="AF268" s="1">
        <v>9</v>
      </c>
      <c r="AG268" s="51">
        <f>BP3</f>
        <v>681.66666666666902</v>
      </c>
      <c r="AH268" s="51">
        <f>BP4</f>
        <v>692.66666666666902</v>
      </c>
      <c r="AI268" s="51">
        <f>BP5</f>
        <v>703.66666666666913</v>
      </c>
      <c r="AJ268" s="51">
        <f>BP6</f>
        <v>714.66666666666913</v>
      </c>
      <c r="AK268" s="51">
        <f>BP7</f>
        <v>725.66666666666913</v>
      </c>
      <c r="AL268" s="51">
        <f>BP8</f>
        <v>736.66666666666924</v>
      </c>
      <c r="AM268" s="51">
        <f>BP9</f>
        <v>747.66666666666924</v>
      </c>
      <c r="AN268" s="51">
        <f>BP10</f>
        <v>758.66666666666924</v>
      </c>
      <c r="AO268" s="51">
        <f>BP11</f>
        <v>769.66666666666924</v>
      </c>
      <c r="AP268" s="51">
        <f>BP12</f>
        <v>780.66666666666924</v>
      </c>
      <c r="AQ268" s="51">
        <f>BP13</f>
        <v>791.66666666666936</v>
      </c>
      <c r="AR268" s="51">
        <f>BP14</f>
        <v>802.66666666666936</v>
      </c>
    </row>
    <row r="269" spans="31:44" x14ac:dyDescent="0.25">
      <c r="AE269" s="1">
        <f>J64</f>
        <v>8.1937836662042559E-4</v>
      </c>
      <c r="AF269" s="1">
        <v>10</v>
      </c>
      <c r="AG269" s="51">
        <f>L65</f>
        <v>681.66666666666902</v>
      </c>
      <c r="AH269" s="51">
        <f>L66</f>
        <v>692.66666666666902</v>
      </c>
      <c r="AI269" s="51">
        <f>L67</f>
        <v>703.66666666666913</v>
      </c>
      <c r="AJ269" s="51">
        <f>L68</f>
        <v>714.66666666666913</v>
      </c>
      <c r="AK269" s="51">
        <f>L69</f>
        <v>725.66666666666913</v>
      </c>
      <c r="AL269" s="51">
        <f>L70</f>
        <v>736.66666666666913</v>
      </c>
      <c r="AM269" s="51">
        <f>L71</f>
        <v>747.66666666666924</v>
      </c>
      <c r="AN269" s="51">
        <f>L72</f>
        <v>758.66666666666924</v>
      </c>
      <c r="AO269" s="51">
        <f>L73</f>
        <v>769.66666666666924</v>
      </c>
      <c r="AP269" s="51">
        <f>L74</f>
        <v>780.66666666666924</v>
      </c>
      <c r="AQ269" s="51">
        <f>L75</f>
        <v>791.66666666666924</v>
      </c>
      <c r="AR269" s="51">
        <f>L76</f>
        <v>802.66666666666924</v>
      </c>
    </row>
    <row r="270" spans="31:44" x14ac:dyDescent="0.25">
      <c r="AE270" s="1">
        <f>X64</f>
        <v>5.6714635227094986E-4</v>
      </c>
      <c r="AF270" s="1">
        <v>11</v>
      </c>
      <c r="AG270" s="51">
        <f>Z65</f>
        <v>681.66666666666902</v>
      </c>
      <c r="AH270" s="51">
        <f>Z66</f>
        <v>692.66666666666902</v>
      </c>
      <c r="AI270" s="51">
        <f>Z67</f>
        <v>703.66666666666913</v>
      </c>
      <c r="AJ270" s="51">
        <f>Z68</f>
        <v>714.66666666666913</v>
      </c>
      <c r="AK270" s="51">
        <f>Z69</f>
        <v>725.66666666666913</v>
      </c>
      <c r="AL270" s="51">
        <f>Z70</f>
        <v>736.66666666666913</v>
      </c>
      <c r="AM270" s="51">
        <f>Z71</f>
        <v>747.66666666666913</v>
      </c>
      <c r="AN270" s="51">
        <f>Z72</f>
        <v>758.66666666666924</v>
      </c>
      <c r="AO270" s="51">
        <f>Z73</f>
        <v>769.66666666666924</v>
      </c>
      <c r="AP270" s="51">
        <f>Z74</f>
        <v>780.66666666666924</v>
      </c>
      <c r="AQ270" s="51">
        <f>Z75</f>
        <v>791.66666666666924</v>
      </c>
      <c r="AR270" s="51">
        <f>Z76</f>
        <v>802.66666666666924</v>
      </c>
    </row>
    <row r="271" spans="31:44" x14ac:dyDescent="0.25">
      <c r="AE271" s="1">
        <f>AL64</f>
        <v>4.0939508532479818E-4</v>
      </c>
      <c r="AF271" s="1">
        <v>12</v>
      </c>
      <c r="AG271" s="51">
        <f>AN65</f>
        <v>681.66666666666902</v>
      </c>
      <c r="AH271" s="51">
        <f>AN66</f>
        <v>692.66666666666902</v>
      </c>
      <c r="AI271" s="51">
        <f>AN67</f>
        <v>703.66666666666913</v>
      </c>
      <c r="AJ271" s="51">
        <f>AN68</f>
        <v>714.66666666666913</v>
      </c>
      <c r="AK271" s="51">
        <f>AN69</f>
        <v>725.66666666666913</v>
      </c>
      <c r="AL271" s="51">
        <f>AN70</f>
        <v>736.66666666666913</v>
      </c>
      <c r="AM271" s="51">
        <f>AN71</f>
        <v>747.66666666666913</v>
      </c>
      <c r="AN271" s="51">
        <f>AN72</f>
        <v>758.66666666666924</v>
      </c>
      <c r="AO271" s="51">
        <f>AN73</f>
        <v>769.66666666666924</v>
      </c>
      <c r="AP271" s="51">
        <f>AN74</f>
        <v>780.66666666666924</v>
      </c>
      <c r="AQ271" s="51">
        <f>AN75</f>
        <v>791.66666666666924</v>
      </c>
      <c r="AR271" s="51">
        <f>AN76</f>
        <v>802.66666666666924</v>
      </c>
    </row>
    <row r="272" spans="31:44" x14ac:dyDescent="0.25">
      <c r="AE272" s="1">
        <f>AZ64</f>
        <v>3.0621053228278063E-4</v>
      </c>
      <c r="AF272" s="1">
        <v>13</v>
      </c>
      <c r="AG272" s="51">
        <f>BB65</f>
        <v>681.66666666666902</v>
      </c>
      <c r="AH272" s="51">
        <f>BB66</f>
        <v>692.66666666666902</v>
      </c>
      <c r="AI272" s="51">
        <f>BB67</f>
        <v>703.66666666666902</v>
      </c>
      <c r="AJ272" s="51">
        <f>BB68</f>
        <v>714.66666666666913</v>
      </c>
      <c r="AK272" s="51">
        <f>BB69</f>
        <v>725.66666666666913</v>
      </c>
      <c r="AL272" s="51">
        <f>BB70</f>
        <v>736.66666666666913</v>
      </c>
      <c r="AM272" s="51">
        <f>BB71</f>
        <v>747.66666666666913</v>
      </c>
      <c r="AN272" s="51">
        <f>BB72</f>
        <v>758.66666666666913</v>
      </c>
      <c r="AO272" s="51">
        <f>BB73</f>
        <v>769.66666666666924</v>
      </c>
      <c r="AP272" s="51">
        <f>BB74</f>
        <v>780.66666666666924</v>
      </c>
      <c r="AQ272" s="51">
        <f>BB75</f>
        <v>791.66666666666924</v>
      </c>
      <c r="AR272" s="51">
        <f>BB76</f>
        <v>802.66666666666924</v>
      </c>
    </row>
    <row r="273" spans="31:44" x14ac:dyDescent="0.25">
      <c r="AE273" s="1">
        <f>BN64</f>
        <v>2.3617706955159201E-4</v>
      </c>
      <c r="AF273" s="1">
        <v>14</v>
      </c>
      <c r="AG273" s="51">
        <f>BP65</f>
        <v>681.66666666666913</v>
      </c>
      <c r="AH273" s="51">
        <f>BP66</f>
        <v>692.66666666666924</v>
      </c>
      <c r="AI273" s="51">
        <f>BP67</f>
        <v>703.66666666666924</v>
      </c>
      <c r="AJ273" s="51">
        <f>BP68</f>
        <v>714.66666666666924</v>
      </c>
      <c r="AK273" s="51">
        <f>BP69</f>
        <v>725.66666666666936</v>
      </c>
      <c r="AL273" s="51">
        <f>BP70</f>
        <v>736.66666666666936</v>
      </c>
      <c r="AM273" s="51">
        <f>BP71</f>
        <v>747.66666666666936</v>
      </c>
      <c r="AN273" s="51">
        <f>BP72</f>
        <v>758.66666666666947</v>
      </c>
      <c r="AO273" s="51">
        <f>BP73</f>
        <v>769.66666666666947</v>
      </c>
      <c r="AP273" s="51">
        <f>BP74</f>
        <v>780.66666666666947</v>
      </c>
      <c r="AQ273" s="51">
        <f>BP75</f>
        <v>791.66666666666947</v>
      </c>
      <c r="AR273" s="51">
        <f>BP76</f>
        <v>802.66666666666958</v>
      </c>
    </row>
    <row r="274" spans="31:44" x14ac:dyDescent="0.25">
      <c r="AE274" s="1">
        <f>J126</f>
        <v>1.8716522584278898E-4</v>
      </c>
      <c r="AF274" s="1">
        <v>15</v>
      </c>
      <c r="AG274" s="51">
        <f>L127</f>
        <v>681.66666666666936</v>
      </c>
      <c r="AH274" s="51">
        <f>L128</f>
        <v>692.66666666666947</v>
      </c>
      <c r="AI274" s="51">
        <f>L129</f>
        <v>703.66666666666947</v>
      </c>
      <c r="AJ274" s="51">
        <f>L130</f>
        <v>714.66666666666958</v>
      </c>
      <c r="AK274" s="51">
        <f>L131</f>
        <v>725.66666666666958</v>
      </c>
      <c r="AL274" s="51">
        <f>L132</f>
        <v>736.6666666666697</v>
      </c>
      <c r="AM274" s="51">
        <f>L133</f>
        <v>747.6666666666697</v>
      </c>
      <c r="AN274" s="51">
        <f>L134</f>
        <v>758.6666666666697</v>
      </c>
      <c r="AO274" s="51">
        <f>L135</f>
        <v>769.66666666666981</v>
      </c>
      <c r="AP274" s="51">
        <f>L136</f>
        <v>780.66666666666981</v>
      </c>
      <c r="AQ274" s="51">
        <f>L137</f>
        <v>791.66666666666993</v>
      </c>
      <c r="AR274" s="51">
        <f>L138</f>
        <v>802.66666666666993</v>
      </c>
    </row>
    <row r="275" spans="31:44" x14ac:dyDescent="0.25">
      <c r="AE275" s="1">
        <f>X126</f>
        <v>0.47794559084140026</v>
      </c>
      <c r="AF275" s="1">
        <v>16</v>
      </c>
      <c r="AG275" s="51">
        <f>Z127</f>
        <v>680.97916666666913</v>
      </c>
      <c r="AH275" s="51">
        <f>Z128</f>
        <v>691.29166666666924</v>
      </c>
      <c r="AI275" s="51">
        <f>Z129</f>
        <v>701.60416666666924</v>
      </c>
      <c r="AJ275" s="51">
        <f>Z130</f>
        <v>711.91666666666924</v>
      </c>
      <c r="AK275" s="51">
        <f>Z131</f>
        <v>722.22916666666924</v>
      </c>
      <c r="AL275" s="51">
        <f>Z132</f>
        <v>732.54166666666924</v>
      </c>
      <c r="AM275" s="51">
        <f>Z133</f>
        <v>742.85416666666936</v>
      </c>
      <c r="AN275" s="51">
        <f>Z134</f>
        <v>753.16666666666936</v>
      </c>
      <c r="AO275" s="51">
        <f>Z135</f>
        <v>763.47916666666936</v>
      </c>
      <c r="AP275" s="51">
        <f>Z136</f>
        <v>773.79166666666947</v>
      </c>
      <c r="AQ275" s="51">
        <f>Z137</f>
        <v>784.10416666666947</v>
      </c>
      <c r="AR275" s="51">
        <f>Z138</f>
        <v>794.41666666666947</v>
      </c>
    </row>
    <row r="276" spans="31:44" x14ac:dyDescent="0.25">
      <c r="AE276" s="1">
        <f>AL126</f>
        <v>1.2621576210378887E-4</v>
      </c>
      <c r="AF276" s="1">
        <v>17</v>
      </c>
      <c r="AG276" s="51">
        <f>AN127</f>
        <v>681.66666666666924</v>
      </c>
      <c r="AH276" s="51">
        <f>AN128</f>
        <v>692.66666666666936</v>
      </c>
      <c r="AI276" s="51">
        <f>AN129</f>
        <v>703.66666666666936</v>
      </c>
      <c r="AJ276" s="51">
        <f>AN130</f>
        <v>714.66666666666936</v>
      </c>
      <c r="AK276" s="51">
        <f>AN131</f>
        <v>725.66666666666947</v>
      </c>
      <c r="AL276" s="51">
        <f>AN132</f>
        <v>736.66666666666947</v>
      </c>
      <c r="AM276" s="51">
        <f>AN133</f>
        <v>747.66666666666947</v>
      </c>
      <c r="AN276" s="51">
        <f>AN134</f>
        <v>758.66666666666947</v>
      </c>
      <c r="AO276" s="51">
        <f>AN135</f>
        <v>769.66666666666958</v>
      </c>
      <c r="AP276" s="51">
        <f>AN136</f>
        <v>780.66666666666958</v>
      </c>
      <c r="AQ276" s="51">
        <f>AN137</f>
        <v>791.6666666666697</v>
      </c>
      <c r="AR276" s="51">
        <f>AN138</f>
        <v>802.6666666666697</v>
      </c>
    </row>
    <row r="277" spans="31:44" x14ac:dyDescent="0.25">
      <c r="AE277" s="1">
        <f>AZ126</f>
        <v>1.0704030275575549E-4</v>
      </c>
      <c r="AF277" s="1">
        <v>18</v>
      </c>
      <c r="AG277" s="51">
        <f>BB127</f>
        <v>681.66666666666947</v>
      </c>
      <c r="AH277" s="51">
        <f>BB128</f>
        <v>692.66666666666958</v>
      </c>
      <c r="AI277" s="51">
        <f>BB129</f>
        <v>703.66666666666958</v>
      </c>
      <c r="AJ277" s="51">
        <f>BB130</f>
        <v>714.6666666666697</v>
      </c>
      <c r="AK277" s="51">
        <f>BB131</f>
        <v>725.6666666666697</v>
      </c>
      <c r="AL277" s="51">
        <f>BB132</f>
        <v>736.66666666666981</v>
      </c>
      <c r="AM277" s="51">
        <f>BB133</f>
        <v>747.66666666666981</v>
      </c>
      <c r="AN277" s="51">
        <f>BB134</f>
        <v>758.66666666666993</v>
      </c>
      <c r="AO277" s="51">
        <f>BB135</f>
        <v>769.66666666666993</v>
      </c>
      <c r="AP277" s="51">
        <f>BB136</f>
        <v>780.66666666667004</v>
      </c>
      <c r="AQ277" s="51">
        <f>BB137</f>
        <v>791.66666666667004</v>
      </c>
      <c r="AR277" s="51">
        <f>BB138</f>
        <v>802.66666666667015</v>
      </c>
    </row>
    <row r="278" spans="31:44" x14ac:dyDescent="0.25">
      <c r="AE278" s="1">
        <f>BN126</f>
        <v>9.262767006445823E-5</v>
      </c>
      <c r="AF278" s="1">
        <v>19</v>
      </c>
      <c r="AG278" s="51">
        <f>BP127</f>
        <v>681.66666666666902</v>
      </c>
      <c r="AH278" s="51">
        <f>BP128</f>
        <v>692.66666666666902</v>
      </c>
      <c r="AI278" s="51">
        <f>BP129</f>
        <v>703.66666666666902</v>
      </c>
      <c r="AJ278" s="51">
        <f>BP130</f>
        <v>714.66666666666902</v>
      </c>
      <c r="AK278" s="51">
        <f>BP131</f>
        <v>725.66666666666902</v>
      </c>
      <c r="AL278" s="51">
        <f>BP132</f>
        <v>736.66666666666902</v>
      </c>
      <c r="AM278" s="51">
        <f>BP133</f>
        <v>747.66666666666902</v>
      </c>
      <c r="AN278" s="51">
        <f>BP134</f>
        <v>758.66666666666902</v>
      </c>
      <c r="AO278" s="51">
        <f>BP135</f>
        <v>769.66666666666902</v>
      </c>
      <c r="AP278" s="51">
        <f>BP136</f>
        <v>780.66666666666902</v>
      </c>
      <c r="AQ278" s="51">
        <f>BP137</f>
        <v>791.66666666666902</v>
      </c>
      <c r="AR278" s="51">
        <f>BP138</f>
        <v>802.66666666666902</v>
      </c>
    </row>
    <row r="279" spans="31:44" x14ac:dyDescent="0.25">
      <c r="AE279" s="1">
        <f>J188</f>
        <v>8.1763619578988453E-5</v>
      </c>
      <c r="AF279" s="1">
        <v>20</v>
      </c>
      <c r="AG279" s="51">
        <f>L189</f>
        <v>681.66666666666947</v>
      </c>
      <c r="AH279" s="51">
        <f>L190</f>
        <v>692.66666666666958</v>
      </c>
      <c r="AI279" s="51">
        <f>L191</f>
        <v>703.66666666666958</v>
      </c>
      <c r="AJ279" s="51">
        <f>L192</f>
        <v>714.6666666666697</v>
      </c>
      <c r="AK279" s="51">
        <f>L193</f>
        <v>725.6666666666697</v>
      </c>
      <c r="AL279" s="51">
        <f>L194</f>
        <v>736.6666666666697</v>
      </c>
      <c r="AM279" s="51">
        <f>L195</f>
        <v>747.66666666666981</v>
      </c>
      <c r="AN279" s="51">
        <f>L196</f>
        <v>758.66666666666981</v>
      </c>
      <c r="AO279" s="51">
        <f>L197</f>
        <v>769.66666666666981</v>
      </c>
      <c r="AP279" s="51">
        <f>L198</f>
        <v>780.66666666666993</v>
      </c>
      <c r="AQ279" s="51">
        <f>L199</f>
        <v>791.66666666666993</v>
      </c>
      <c r="AR279" s="51">
        <f>L200</f>
        <v>802.66666666666993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FA74F-01ED-4AEC-89C1-1AA23B8ECC98}">
  <sheetPr codeName="גיליון11">
    <tabColor theme="5" tint="-0.249977111117893"/>
  </sheetPr>
  <dimension ref="A1:L84"/>
  <sheetViews>
    <sheetView rightToLeft="1" zoomScale="85" zoomScaleNormal="85" workbookViewId="0"/>
  </sheetViews>
  <sheetFormatPr defaultRowHeight="13.8" x14ac:dyDescent="0.25"/>
  <cols>
    <col min="3" max="3" width="16.69921875" customWidth="1"/>
    <col min="4" max="4" width="20" customWidth="1"/>
    <col min="10" max="10" width="15.09765625" customWidth="1"/>
  </cols>
  <sheetData>
    <row r="1" spans="1:12" ht="14.4" thickBot="1" x14ac:dyDescent="0.3">
      <c r="A1" t="s">
        <v>1</v>
      </c>
      <c r="B1" t="s">
        <v>0</v>
      </c>
      <c r="C1" t="s">
        <v>37</v>
      </c>
      <c r="D1" t="s">
        <v>38</v>
      </c>
      <c r="E1" t="s">
        <v>39</v>
      </c>
      <c r="F1" t="s">
        <v>40</v>
      </c>
      <c r="K1" s="60" t="s">
        <v>24</v>
      </c>
      <c r="L1" s="61">
        <v>0.1</v>
      </c>
    </row>
    <row r="2" spans="1:12" x14ac:dyDescent="0.25">
      <c r="A2">
        <v>0</v>
      </c>
      <c r="C2" s="4">
        <f>E2-((1-alpha_brown)/(alpha_brown))*F2</f>
        <v>-80.926553672316771</v>
      </c>
      <c r="D2" s="4">
        <f>alpha_brown-2*((1-alpha_brown)/alpha_brown)*F2</f>
        <v>-195.96779661017021</v>
      </c>
      <c r="E2">
        <f>B3-F2</f>
        <v>17.107344632768324</v>
      </c>
      <c r="F2">
        <f>($B$62-$B$3)/59</f>
        <v>10.892655367231677</v>
      </c>
    </row>
    <row r="3" spans="1:12" x14ac:dyDescent="0.25">
      <c r="A3">
        <v>1</v>
      </c>
      <c r="B3">
        <f>'הזנת נתונים'!A1</f>
        <v>28</v>
      </c>
      <c r="C3" s="4">
        <f t="shared" ref="C3:C34" si="0">alpha_brown*B3+(1-alpha_brown)*C2</f>
        <v>-70.033898305085103</v>
      </c>
      <c r="D3" s="4">
        <f t="shared" ref="D3:D34" si="1">alpha_brown*C3+(1-alpha_brown)*D2</f>
        <v>-183.37440677966168</v>
      </c>
    </row>
    <row r="4" spans="1:12" ht="12.6" customHeight="1" x14ac:dyDescent="0.25">
      <c r="A4">
        <v>2</v>
      </c>
      <c r="B4">
        <f>'הזנת נתונים'!A2</f>
        <v>35</v>
      </c>
      <c r="C4" s="4">
        <f t="shared" si="0"/>
        <v>-59.530508474576592</v>
      </c>
      <c r="D4" s="4">
        <f t="shared" si="1"/>
        <v>-170.99001694915319</v>
      </c>
    </row>
    <row r="5" spans="1:12" x14ac:dyDescent="0.25">
      <c r="A5">
        <v>3</v>
      </c>
      <c r="B5">
        <f>'הזנת נתונים'!A3</f>
        <v>40</v>
      </c>
      <c r="C5" s="4">
        <f t="shared" si="0"/>
        <v>-49.577457627118932</v>
      </c>
      <c r="D5" s="4">
        <f t="shared" si="1"/>
        <v>-158.84876101694977</v>
      </c>
    </row>
    <row r="6" spans="1:12" x14ac:dyDescent="0.25">
      <c r="A6">
        <v>4</v>
      </c>
      <c r="B6">
        <f>'הזנת נתונים'!A4</f>
        <v>55</v>
      </c>
      <c r="C6" s="4">
        <f t="shared" si="0"/>
        <v>-39.119711864407037</v>
      </c>
      <c r="D6" s="4">
        <f t="shared" si="1"/>
        <v>-146.87585610169549</v>
      </c>
    </row>
    <row r="7" spans="1:12" x14ac:dyDescent="0.25">
      <c r="A7">
        <v>5</v>
      </c>
      <c r="B7">
        <f>'הזנת נתונים'!A5</f>
        <v>70</v>
      </c>
      <c r="C7" s="4">
        <f t="shared" si="0"/>
        <v>-28.207740677966335</v>
      </c>
      <c r="D7" s="4">
        <f t="shared" si="1"/>
        <v>-135.00904455932258</v>
      </c>
    </row>
    <row r="8" spans="1:12" x14ac:dyDescent="0.25">
      <c r="A8">
        <v>6</v>
      </c>
      <c r="B8">
        <f>'הזנת נתונים'!A6</f>
        <v>75</v>
      </c>
      <c r="C8" s="4">
        <f t="shared" si="0"/>
        <v>-17.886966610169701</v>
      </c>
      <c r="D8" s="4">
        <f t="shared" si="1"/>
        <v>-123.29683676440729</v>
      </c>
    </row>
    <row r="9" spans="1:12" x14ac:dyDescent="0.25">
      <c r="A9">
        <v>7</v>
      </c>
      <c r="B9">
        <f>'הזנת נתונים'!A7</f>
        <v>87.6666666666667</v>
      </c>
      <c r="C9" s="4">
        <f t="shared" si="0"/>
        <v>-7.3316032824860589</v>
      </c>
      <c r="D9" s="4">
        <f t="shared" si="1"/>
        <v>-111.70031341621517</v>
      </c>
    </row>
    <row r="10" spans="1:12" x14ac:dyDescent="0.25">
      <c r="A10">
        <v>8</v>
      </c>
      <c r="B10">
        <f>'הזנת נתונים'!A8</f>
        <v>98.6666666666667</v>
      </c>
      <c r="C10" s="4">
        <f t="shared" si="0"/>
        <v>3.2682237124292177</v>
      </c>
      <c r="D10" s="4">
        <f t="shared" si="1"/>
        <v>-100.20345970335073</v>
      </c>
    </row>
    <row r="11" spans="1:12" x14ac:dyDescent="0.25">
      <c r="A11">
        <v>9</v>
      </c>
      <c r="B11">
        <f>'הזנת נתונים'!A9</f>
        <v>109.666666666667</v>
      </c>
      <c r="C11" s="4">
        <f t="shared" si="0"/>
        <v>13.908068007852997</v>
      </c>
      <c r="D11" s="4">
        <f t="shared" si="1"/>
        <v>-88.79230693223036</v>
      </c>
    </row>
    <row r="12" spans="1:12" x14ac:dyDescent="0.25">
      <c r="A12">
        <v>10</v>
      </c>
      <c r="B12">
        <f>'הזנת נתונים'!A10</f>
        <v>120.666666666667</v>
      </c>
      <c r="C12" s="4">
        <f t="shared" si="0"/>
        <v>24.583927873734396</v>
      </c>
      <c r="D12" s="4">
        <f t="shared" si="1"/>
        <v>-77.454683451633883</v>
      </c>
    </row>
    <row r="13" spans="1:12" x14ac:dyDescent="0.25">
      <c r="A13">
        <v>11</v>
      </c>
      <c r="B13">
        <f>'הזנת נתונים'!A11</f>
        <v>131.666666666667</v>
      </c>
      <c r="C13" s="4">
        <f t="shared" si="0"/>
        <v>35.292201753027655</v>
      </c>
      <c r="D13" s="4">
        <f t="shared" si="1"/>
        <v>-66.179994931167727</v>
      </c>
    </row>
    <row r="14" spans="1:12" x14ac:dyDescent="0.25">
      <c r="A14">
        <v>12</v>
      </c>
      <c r="B14">
        <f>'הזנת נתונים'!A12</f>
        <v>142.666666666667</v>
      </c>
      <c r="C14" s="4">
        <f t="shared" si="0"/>
        <v>46.029648244391595</v>
      </c>
      <c r="D14" s="4">
        <f t="shared" si="1"/>
        <v>-54.959030613611795</v>
      </c>
    </row>
    <row r="15" spans="1:12" x14ac:dyDescent="0.25">
      <c r="A15">
        <v>13</v>
      </c>
      <c r="B15">
        <f>'הזנת נתונים'!A13</f>
        <v>153.666666666667</v>
      </c>
      <c r="C15" s="4">
        <f t="shared" si="0"/>
        <v>56.793350086619142</v>
      </c>
      <c r="D15" s="4">
        <f t="shared" si="1"/>
        <v>-43.783792543588703</v>
      </c>
    </row>
    <row r="16" spans="1:12" x14ac:dyDescent="0.25">
      <c r="A16">
        <v>14</v>
      </c>
      <c r="B16">
        <f>'הזנת נתונים'!A14</f>
        <v>164.666666666667</v>
      </c>
      <c r="C16" s="4">
        <f t="shared" si="0"/>
        <v>67.580681744623931</v>
      </c>
      <c r="D16" s="4">
        <f t="shared" si="1"/>
        <v>-32.64734511476744</v>
      </c>
    </row>
    <row r="17" spans="1:10" x14ac:dyDescent="0.25">
      <c r="A17">
        <v>15</v>
      </c>
      <c r="B17">
        <f>'הזנת נתונים'!A15</f>
        <v>175.666666666667</v>
      </c>
      <c r="C17" s="4">
        <f t="shared" si="0"/>
        <v>78.389280236828242</v>
      </c>
      <c r="D17" s="4">
        <f t="shared" si="1"/>
        <v>-21.543682579607871</v>
      </c>
    </row>
    <row r="18" spans="1:10" x14ac:dyDescent="0.25">
      <c r="A18">
        <v>16</v>
      </c>
      <c r="B18">
        <f>'הזנת נתונים'!A16</f>
        <v>186.666666666667</v>
      </c>
      <c r="C18" s="4">
        <f t="shared" si="0"/>
        <v>89.217018879812116</v>
      </c>
      <c r="D18" s="4">
        <f t="shared" si="1"/>
        <v>-10.467612433665872</v>
      </c>
    </row>
    <row r="19" spans="1:10" x14ac:dyDescent="0.25">
      <c r="A19">
        <v>17</v>
      </c>
      <c r="B19">
        <f>'הזנת נתונים'!A17</f>
        <v>197.666666666667</v>
      </c>
      <c r="C19" s="4">
        <f t="shared" si="0"/>
        <v>100.06198365849761</v>
      </c>
      <c r="D19" s="4">
        <f t="shared" si="1"/>
        <v>0.58534717555047777</v>
      </c>
    </row>
    <row r="20" spans="1:10" x14ac:dyDescent="0.25">
      <c r="A20">
        <v>18</v>
      </c>
      <c r="B20">
        <f>'הזנת נתונים'!A18</f>
        <v>208.666666666667</v>
      </c>
      <c r="C20" s="4">
        <f t="shared" si="0"/>
        <v>110.92245195931456</v>
      </c>
      <c r="D20" s="4">
        <f t="shared" si="1"/>
        <v>11.619057653926886</v>
      </c>
    </row>
    <row r="21" spans="1:10" x14ac:dyDescent="0.25">
      <c r="A21">
        <v>19</v>
      </c>
      <c r="B21">
        <f>'הזנת נתונים'!A19</f>
        <v>219.666666666667</v>
      </c>
      <c r="C21" s="4">
        <f t="shared" si="0"/>
        <v>121.7968734300498</v>
      </c>
      <c r="D21" s="4">
        <f t="shared" si="1"/>
        <v>22.636839231539177</v>
      </c>
      <c r="F21" s="78" t="s">
        <v>34</v>
      </c>
      <c r="G21" s="78"/>
      <c r="H21" s="78"/>
      <c r="I21" s="78"/>
    </row>
    <row r="22" spans="1:10" x14ac:dyDescent="0.25">
      <c r="A22">
        <v>20</v>
      </c>
      <c r="B22">
        <f>'הזנת נתונים'!A20</f>
        <v>230.666666666667</v>
      </c>
      <c r="C22" s="4">
        <f t="shared" si="0"/>
        <v>132.68385275371153</v>
      </c>
      <c r="D22" s="4">
        <f t="shared" si="1"/>
        <v>33.641540583756417</v>
      </c>
      <c r="G22" s="77" t="s">
        <v>43</v>
      </c>
      <c r="H22" s="7" t="s">
        <v>41</v>
      </c>
      <c r="I22" s="7">
        <f>2*C26-D26</f>
        <v>275.09485315640052</v>
      </c>
    </row>
    <row r="23" spans="1:10" x14ac:dyDescent="0.25">
      <c r="A23">
        <v>21</v>
      </c>
      <c r="B23">
        <f>'הזנת נתונים'!A21</f>
        <v>241.666666666667</v>
      </c>
      <c r="C23" s="4">
        <f t="shared" si="0"/>
        <v>143.5821341450071</v>
      </c>
      <c r="D23" s="4">
        <f t="shared" si="1"/>
        <v>44.635599939881487</v>
      </c>
      <c r="G23" s="77"/>
      <c r="H23" s="7" t="s">
        <v>42</v>
      </c>
      <c r="I23" s="7">
        <f>(alpha_brown/(1-alpha_brown))*(C26-D26)</f>
        <v>10.973423410891511</v>
      </c>
    </row>
    <row r="24" spans="1:10" x14ac:dyDescent="0.25">
      <c r="A24">
        <v>22</v>
      </c>
      <c r="B24">
        <f>'הזנת נתונים'!A22</f>
        <v>252.666666666667</v>
      </c>
      <c r="C24" s="4">
        <f t="shared" si="0"/>
        <v>154.4905873971731</v>
      </c>
      <c r="D24" s="4">
        <f t="shared" si="1"/>
        <v>55.621098685610647</v>
      </c>
    </row>
    <row r="25" spans="1:10" x14ac:dyDescent="0.25">
      <c r="A25">
        <v>23</v>
      </c>
      <c r="B25">
        <f>'הזנת נתונים'!A23</f>
        <v>263.66666666666703</v>
      </c>
      <c r="C25" s="4">
        <f t="shared" si="0"/>
        <v>165.40819532412249</v>
      </c>
      <c r="D25" s="4">
        <f t="shared" si="1"/>
        <v>66.599808349461824</v>
      </c>
    </row>
    <row r="26" spans="1:10" x14ac:dyDescent="0.25">
      <c r="A26" s="10">
        <v>24</v>
      </c>
      <c r="B26">
        <f>'הזנת נתונים'!A24</f>
        <v>274.66666666666703</v>
      </c>
      <c r="C26" s="11">
        <f t="shared" si="0"/>
        <v>176.33404245837693</v>
      </c>
      <c r="D26" s="11">
        <f t="shared" si="1"/>
        <v>77.573231760353337</v>
      </c>
      <c r="F26" t="s">
        <v>3</v>
      </c>
      <c r="G26" t="s">
        <v>45</v>
      </c>
      <c r="H26" t="s">
        <v>10</v>
      </c>
      <c r="I26" t="s">
        <v>44</v>
      </c>
      <c r="J26" t="s">
        <v>5</v>
      </c>
    </row>
    <row r="27" spans="1:10" x14ac:dyDescent="0.25">
      <c r="A27">
        <v>25</v>
      </c>
      <c r="B27">
        <f>'הזנת נתונים'!A25</f>
        <v>285.66666666666799</v>
      </c>
      <c r="C27" s="4">
        <f t="shared" si="0"/>
        <v>187.26730487920605</v>
      </c>
      <c r="D27" s="4">
        <f t="shared" si="1"/>
        <v>88.542639072238615</v>
      </c>
      <c r="F27">
        <f t="shared" ref="F27:F62" si="2">$I$22+$I$23*G27</f>
        <v>286.068276567292</v>
      </c>
      <c r="G27">
        <v>1</v>
      </c>
      <c r="H27">
        <f>F27-B27</f>
        <v>0.4016099006240097</v>
      </c>
      <c r="I27">
        <f>H27^2</f>
        <v>0.16129051227922694</v>
      </c>
      <c r="J27" s="59">
        <f>SUM(I27:I62)/COUNT(I27:I62)</f>
        <v>8.025293228103561E-2</v>
      </c>
    </row>
    <row r="28" spans="1:10" x14ac:dyDescent="0.25">
      <c r="A28">
        <v>26</v>
      </c>
      <c r="B28">
        <f>'הזנת נתונים'!A26</f>
        <v>296.66666666666799</v>
      </c>
      <c r="C28" s="4">
        <f t="shared" si="0"/>
        <v>198.20724105795225</v>
      </c>
      <c r="D28" s="4">
        <f t="shared" si="1"/>
        <v>99.509099270809983</v>
      </c>
      <c r="F28">
        <f t="shared" si="2"/>
        <v>297.04169997818354</v>
      </c>
      <c r="G28">
        <v>2</v>
      </c>
      <c r="H28">
        <f t="shared" ref="H28:H62" si="3">F28-B28</f>
        <v>0.3750333115155513</v>
      </c>
      <c r="I28">
        <f t="shared" ref="I28:I62" si="4">H28^2</f>
        <v>0.14064998474632054</v>
      </c>
    </row>
    <row r="29" spans="1:10" x14ac:dyDescent="0.25">
      <c r="A29">
        <v>27</v>
      </c>
      <c r="B29">
        <f>'הזנת נתונים'!A27</f>
        <v>307.66666666666799</v>
      </c>
      <c r="C29" s="4">
        <f t="shared" si="0"/>
        <v>209.15318361882382</v>
      </c>
      <c r="D29" s="4">
        <f t="shared" si="1"/>
        <v>110.47350770561137</v>
      </c>
      <c r="F29">
        <f t="shared" si="2"/>
        <v>308.01512338907503</v>
      </c>
      <c r="G29">
        <v>3</v>
      </c>
      <c r="H29">
        <f t="shared" si="3"/>
        <v>0.34845672240703607</v>
      </c>
      <c r="I29">
        <f t="shared" si="4"/>
        <v>0.12142208739065419</v>
      </c>
    </row>
    <row r="30" spans="1:10" x14ac:dyDescent="0.25">
      <c r="A30">
        <v>28</v>
      </c>
      <c r="B30">
        <f>'הזנת נתונים'!A28</f>
        <v>318.66666666666799</v>
      </c>
      <c r="C30" s="4">
        <f t="shared" si="0"/>
        <v>220.10453192360825</v>
      </c>
      <c r="D30" s="4">
        <f t="shared" si="1"/>
        <v>121.43661012741106</v>
      </c>
      <c r="F30">
        <f t="shared" si="2"/>
        <v>318.98854679996657</v>
      </c>
      <c r="G30">
        <v>4</v>
      </c>
      <c r="H30">
        <f t="shared" si="3"/>
        <v>0.32188013329857768</v>
      </c>
      <c r="I30">
        <f t="shared" si="4"/>
        <v>0.10360682021231013</v>
      </c>
    </row>
    <row r="31" spans="1:10" x14ac:dyDescent="0.25">
      <c r="A31">
        <v>29</v>
      </c>
      <c r="B31">
        <f>'הזנת נתונים'!A29</f>
        <v>329.66666666666799</v>
      </c>
      <c r="C31" s="4">
        <f t="shared" si="0"/>
        <v>231.06074539791425</v>
      </c>
      <c r="D31" s="4">
        <f t="shared" si="1"/>
        <v>132.39902365446139</v>
      </c>
      <c r="F31">
        <f t="shared" si="2"/>
        <v>329.96197021085806</v>
      </c>
      <c r="G31">
        <v>5</v>
      </c>
      <c r="H31">
        <f t="shared" si="3"/>
        <v>0.29530354419006244</v>
      </c>
      <c r="I31">
        <f t="shared" si="4"/>
        <v>8.7204183211212163E-2</v>
      </c>
    </row>
    <row r="32" spans="1:10" x14ac:dyDescent="0.25">
      <c r="A32">
        <v>30</v>
      </c>
      <c r="B32">
        <f>'הזנת נתונים'!A30</f>
        <v>340.66666666666799</v>
      </c>
      <c r="C32" s="4">
        <f t="shared" si="0"/>
        <v>242.02133752478963</v>
      </c>
      <c r="D32" s="4">
        <f t="shared" si="1"/>
        <v>143.36125504149422</v>
      </c>
      <c r="F32">
        <f t="shared" si="2"/>
        <v>340.9353936217496</v>
      </c>
      <c r="G32">
        <v>6</v>
      </c>
      <c r="H32">
        <f t="shared" si="3"/>
        <v>0.26872695508160405</v>
      </c>
      <c r="I32">
        <f t="shared" si="4"/>
        <v>7.221417638743044E-2</v>
      </c>
    </row>
    <row r="33" spans="1:9" x14ac:dyDescent="0.25">
      <c r="A33">
        <v>31</v>
      </c>
      <c r="B33">
        <f>'הזנת נתונים'!A31</f>
        <v>351.66666666666799</v>
      </c>
      <c r="C33" s="4">
        <f t="shared" si="0"/>
        <v>252.98587043897746</v>
      </c>
      <c r="D33" s="4">
        <f t="shared" si="1"/>
        <v>154.32371658124256</v>
      </c>
      <c r="F33">
        <f t="shared" si="2"/>
        <v>351.90881703264108</v>
      </c>
      <c r="G33">
        <v>7</v>
      </c>
      <c r="H33">
        <f t="shared" si="3"/>
        <v>0.24215036597308881</v>
      </c>
      <c r="I33">
        <f t="shared" si="4"/>
        <v>5.8636799740900844E-2</v>
      </c>
    </row>
    <row r="34" spans="1:9" x14ac:dyDescent="0.25">
      <c r="A34">
        <v>32</v>
      </c>
      <c r="B34">
        <f>'הזנת נתונים'!A32</f>
        <v>362.66666666666799</v>
      </c>
      <c r="C34" s="4">
        <f t="shared" si="0"/>
        <v>263.95395006174653</v>
      </c>
      <c r="D34" s="4">
        <f t="shared" si="1"/>
        <v>165.28673992929296</v>
      </c>
      <c r="F34">
        <f t="shared" si="2"/>
        <v>362.88224044353262</v>
      </c>
      <c r="G34">
        <v>8</v>
      </c>
      <c r="H34">
        <f t="shared" si="3"/>
        <v>0.21557377686463042</v>
      </c>
      <c r="I34">
        <f t="shared" si="4"/>
        <v>4.6472053271681461E-2</v>
      </c>
    </row>
    <row r="35" spans="1:9" x14ac:dyDescent="0.25">
      <c r="A35">
        <v>33</v>
      </c>
      <c r="B35">
        <f>'הזנת נתונים'!A33</f>
        <v>373.66666666666799</v>
      </c>
      <c r="C35" s="4">
        <f t="shared" ref="C35:C62" si="5">alpha_brown*B35+(1-alpha_brown)*C34</f>
        <v>274.92522172223869</v>
      </c>
      <c r="D35" s="4">
        <f t="shared" ref="D35:D62" si="6">alpha_brown*C35+(1-alpha_brown)*D34</f>
        <v>176.25058810858752</v>
      </c>
      <c r="F35">
        <f t="shared" si="2"/>
        <v>373.85566385442411</v>
      </c>
      <c r="G35">
        <v>9</v>
      </c>
      <c r="H35">
        <f t="shared" si="3"/>
        <v>0.18899718775611518</v>
      </c>
      <c r="I35">
        <f t="shared" si="4"/>
        <v>3.5719936979720257E-2</v>
      </c>
    </row>
    <row r="36" spans="1:9" x14ac:dyDescent="0.25">
      <c r="A36">
        <v>34</v>
      </c>
      <c r="B36">
        <f>'הזנת נתונים'!A34</f>
        <v>384.66666666666799</v>
      </c>
      <c r="C36" s="4">
        <f t="shared" si="5"/>
        <v>285.89936621668164</v>
      </c>
      <c r="D36" s="4">
        <f t="shared" si="6"/>
        <v>187.21546591939693</v>
      </c>
      <c r="F36">
        <f t="shared" si="2"/>
        <v>384.82908726531565</v>
      </c>
      <c r="G36">
        <v>10</v>
      </c>
      <c r="H36">
        <f t="shared" si="3"/>
        <v>0.16242059864765679</v>
      </c>
      <c r="I36">
        <f t="shared" si="4"/>
        <v>2.6380450865063212E-2</v>
      </c>
    </row>
    <row r="37" spans="1:9" x14ac:dyDescent="0.25">
      <c r="A37">
        <v>35</v>
      </c>
      <c r="B37">
        <f>'הזנת נתונים'!A35</f>
        <v>395.66666666666799</v>
      </c>
      <c r="C37" s="4">
        <f t="shared" si="5"/>
        <v>296.87609626168035</v>
      </c>
      <c r="D37" s="4">
        <f t="shared" si="6"/>
        <v>198.18152895362527</v>
      </c>
      <c r="F37">
        <f t="shared" si="2"/>
        <v>395.80251067620713</v>
      </c>
      <c r="G37">
        <v>11</v>
      </c>
      <c r="H37">
        <f t="shared" si="3"/>
        <v>0.13584400953914155</v>
      </c>
      <c r="I37">
        <f t="shared" si="4"/>
        <v>1.8453594927670382E-2</v>
      </c>
    </row>
    <row r="38" spans="1:9" x14ac:dyDescent="0.25">
      <c r="A38">
        <v>36</v>
      </c>
      <c r="B38">
        <f>'הזנת נתונים'!A36</f>
        <v>406.66666666666799</v>
      </c>
      <c r="C38" s="4">
        <f t="shared" si="5"/>
        <v>307.85515330217913</v>
      </c>
      <c r="D38" s="4">
        <f t="shared" si="6"/>
        <v>209.14889138848068</v>
      </c>
      <c r="F38">
        <f t="shared" si="2"/>
        <v>406.77593408709868</v>
      </c>
      <c r="G38">
        <v>12</v>
      </c>
      <c r="H38">
        <f t="shared" si="3"/>
        <v>0.10926742043068316</v>
      </c>
      <c r="I38">
        <f t="shared" si="4"/>
        <v>1.1939369167575676E-2</v>
      </c>
    </row>
    <row r="39" spans="1:9" x14ac:dyDescent="0.25">
      <c r="A39">
        <v>37</v>
      </c>
      <c r="B39">
        <f>'הזנת נתונים'!A37</f>
        <v>417.66666666666799</v>
      </c>
      <c r="C39" s="4">
        <f t="shared" si="5"/>
        <v>318.83630463862806</v>
      </c>
      <c r="D39" s="4">
        <f t="shared" si="6"/>
        <v>220.11763271349542</v>
      </c>
      <c r="F39">
        <f t="shared" si="2"/>
        <v>417.74935749799016</v>
      </c>
      <c r="G39">
        <v>13</v>
      </c>
      <c r="H39">
        <f t="shared" si="3"/>
        <v>8.2690831322167924E-2</v>
      </c>
      <c r="I39">
        <f t="shared" si="4"/>
        <v>6.8377735847512276E-3</v>
      </c>
    </row>
    <row r="40" spans="1:9" x14ac:dyDescent="0.25">
      <c r="A40">
        <v>38</v>
      </c>
      <c r="B40">
        <f>'הזנת נתונים'!A38</f>
        <v>428.66666666666902</v>
      </c>
      <c r="C40" s="4">
        <f t="shared" si="5"/>
        <v>329.81934084143217</v>
      </c>
      <c r="D40" s="4">
        <f t="shared" si="6"/>
        <v>231.08780352628912</v>
      </c>
      <c r="F40">
        <f t="shared" si="2"/>
        <v>428.72278090888165</v>
      </c>
      <c r="G40">
        <v>14</v>
      </c>
      <c r="H40">
        <f t="shared" si="3"/>
        <v>5.6114242212629506E-2</v>
      </c>
      <c r="I40">
        <f t="shared" si="4"/>
        <v>3.1488081790976511E-3</v>
      </c>
    </row>
    <row r="41" spans="1:9" x14ac:dyDescent="0.25">
      <c r="A41">
        <v>39</v>
      </c>
      <c r="B41">
        <f>'הזנת נתונים'!A39</f>
        <v>439.66666666666902</v>
      </c>
      <c r="C41" s="4">
        <f t="shared" si="5"/>
        <v>340.80407342395586</v>
      </c>
      <c r="D41" s="4">
        <f t="shared" si="6"/>
        <v>242.05943051605578</v>
      </c>
      <c r="F41">
        <f t="shared" si="2"/>
        <v>439.69620431977319</v>
      </c>
      <c r="G41">
        <v>15</v>
      </c>
      <c r="H41">
        <f t="shared" si="3"/>
        <v>2.9537653104171113E-2</v>
      </c>
      <c r="I41">
        <f t="shared" si="4"/>
        <v>8.7247295090234938E-4</v>
      </c>
    </row>
    <row r="42" spans="1:9" x14ac:dyDescent="0.25">
      <c r="A42">
        <v>40</v>
      </c>
      <c r="B42">
        <f>'הזנת נתונים'!A40</f>
        <v>450.66666666666902</v>
      </c>
      <c r="C42" s="4">
        <f t="shared" si="5"/>
        <v>351.79033274822717</v>
      </c>
      <c r="D42" s="4">
        <f t="shared" si="6"/>
        <v>253.03252073927294</v>
      </c>
      <c r="F42">
        <f t="shared" si="2"/>
        <v>450.66962773066473</v>
      </c>
      <c r="G42">
        <v>16</v>
      </c>
      <c r="H42">
        <f t="shared" si="3"/>
        <v>2.9610639957127205E-3</v>
      </c>
      <c r="I42">
        <f t="shared" si="4"/>
        <v>8.7678999867061816E-6</v>
      </c>
    </row>
    <row r="43" spans="1:9" x14ac:dyDescent="0.25">
      <c r="A43">
        <v>41</v>
      </c>
      <c r="B43">
        <f>'הזנת נתונים'!A41</f>
        <v>461.66666666666902</v>
      </c>
      <c r="C43" s="4">
        <f t="shared" si="5"/>
        <v>362.77796614007138</v>
      </c>
      <c r="D43" s="4">
        <f t="shared" si="6"/>
        <v>264.00706527935279</v>
      </c>
      <c r="F43">
        <f t="shared" si="2"/>
        <v>461.64305114155621</v>
      </c>
      <c r="G43">
        <v>17</v>
      </c>
      <c r="H43">
        <f t="shared" si="3"/>
        <v>-2.3615525112802516E-2</v>
      </c>
      <c r="I43">
        <f t="shared" si="4"/>
        <v>5.5769302635340628E-4</v>
      </c>
    </row>
    <row r="44" spans="1:9" x14ac:dyDescent="0.25">
      <c r="A44">
        <v>42</v>
      </c>
      <c r="B44">
        <f>'הזנת נתונים'!A42</f>
        <v>472.66666666666902</v>
      </c>
      <c r="C44" s="4">
        <f t="shared" si="5"/>
        <v>373.76683619273115</v>
      </c>
      <c r="D44" s="4">
        <f t="shared" si="6"/>
        <v>274.98304237069061</v>
      </c>
      <c r="F44">
        <f t="shared" si="2"/>
        <v>472.6164745524477</v>
      </c>
      <c r="G44">
        <v>18</v>
      </c>
      <c r="H44">
        <f t="shared" si="3"/>
        <v>-5.0192114221317752E-2</v>
      </c>
      <c r="I44">
        <f t="shared" si="4"/>
        <v>2.5192483300058078E-3</v>
      </c>
    </row>
    <row r="45" spans="1:9" x14ac:dyDescent="0.25">
      <c r="A45">
        <v>43</v>
      </c>
      <c r="B45">
        <f>'הזנת נתונים'!A43</f>
        <v>483.66666666666902</v>
      </c>
      <c r="C45" s="4">
        <f t="shared" si="5"/>
        <v>384.75681924012497</v>
      </c>
      <c r="D45" s="4">
        <f t="shared" si="6"/>
        <v>285.96042005763405</v>
      </c>
      <c r="F45">
        <f t="shared" si="2"/>
        <v>483.58989796333924</v>
      </c>
      <c r="G45">
        <v>19</v>
      </c>
      <c r="H45">
        <f t="shared" si="3"/>
        <v>-7.6768703329776145E-2</v>
      </c>
      <c r="I45">
        <f t="shared" si="4"/>
        <v>5.8934338109351827E-3</v>
      </c>
    </row>
    <row r="46" spans="1:9" x14ac:dyDescent="0.25">
      <c r="A46">
        <v>44</v>
      </c>
      <c r="B46">
        <f>'הזנת נתונים'!A44</f>
        <v>494.66666666666902</v>
      </c>
      <c r="C46" s="4">
        <f t="shared" si="5"/>
        <v>395.74780398277943</v>
      </c>
      <c r="D46" s="4">
        <f t="shared" si="6"/>
        <v>296.93915845014857</v>
      </c>
      <c r="F46">
        <f t="shared" si="2"/>
        <v>494.56332137423078</v>
      </c>
      <c r="G46">
        <v>20</v>
      </c>
      <c r="H46">
        <f t="shared" si="3"/>
        <v>-0.10334529243823454</v>
      </c>
      <c r="I46">
        <f t="shared" si="4"/>
        <v>1.0680249469144216E-2</v>
      </c>
    </row>
    <row r="47" spans="1:9" x14ac:dyDescent="0.25">
      <c r="A47">
        <v>45</v>
      </c>
      <c r="B47">
        <f>'הזנת נתונים'!A45</f>
        <v>505.66666666666799</v>
      </c>
      <c r="C47" s="4">
        <f t="shared" si="5"/>
        <v>406.73969025116833</v>
      </c>
      <c r="D47" s="4">
        <f t="shared" si="6"/>
        <v>307.91921163025057</v>
      </c>
      <c r="F47">
        <f t="shared" si="2"/>
        <v>505.53674478512227</v>
      </c>
      <c r="G47">
        <v>21</v>
      </c>
      <c r="H47">
        <f t="shared" si="3"/>
        <v>-0.12992188154572659</v>
      </c>
      <c r="I47">
        <f t="shared" si="4"/>
        <v>1.6879695304381812E-2</v>
      </c>
    </row>
    <row r="48" spans="1:9" x14ac:dyDescent="0.25">
      <c r="A48">
        <v>46</v>
      </c>
      <c r="B48">
        <f>'הזנת נתונים'!A46</f>
        <v>516.66666666666902</v>
      </c>
      <c r="C48" s="4">
        <f t="shared" si="5"/>
        <v>417.73238789271841</v>
      </c>
      <c r="D48" s="4">
        <f t="shared" si="6"/>
        <v>318.90052925649735</v>
      </c>
      <c r="F48">
        <f t="shared" si="2"/>
        <v>516.51016819601375</v>
      </c>
      <c r="G48">
        <v>22</v>
      </c>
      <c r="H48">
        <f t="shared" si="3"/>
        <v>-0.15649847065526501</v>
      </c>
      <c r="I48">
        <f t="shared" si="4"/>
        <v>2.4491771317436843E-2</v>
      </c>
    </row>
    <row r="49" spans="1:9" x14ac:dyDescent="0.25">
      <c r="A49">
        <v>47</v>
      </c>
      <c r="B49">
        <f>'הזנת נתונים'!A47</f>
        <v>527.66666666666902</v>
      </c>
      <c r="C49" s="4">
        <f t="shared" si="5"/>
        <v>428.72581577011351</v>
      </c>
      <c r="D49" s="4">
        <f t="shared" si="6"/>
        <v>329.88305790785898</v>
      </c>
      <c r="F49">
        <f t="shared" si="2"/>
        <v>527.48359160690529</v>
      </c>
      <c r="G49">
        <v>23</v>
      </c>
      <c r="H49">
        <f t="shared" si="3"/>
        <v>-0.1830750597637234</v>
      </c>
      <c r="I49">
        <f t="shared" si="4"/>
        <v>3.3516477507490892E-2</v>
      </c>
    </row>
    <row r="50" spans="1:9" x14ac:dyDescent="0.25">
      <c r="A50">
        <v>48</v>
      </c>
      <c r="B50">
        <f>'הזנת נתונים'!A48</f>
        <v>538.66666666666902</v>
      </c>
      <c r="C50" s="4">
        <f t="shared" si="5"/>
        <v>439.7199008597691</v>
      </c>
      <c r="D50" s="4">
        <f t="shared" si="6"/>
        <v>340.86674220305002</v>
      </c>
      <c r="F50">
        <f t="shared" si="2"/>
        <v>538.45701501779672</v>
      </c>
      <c r="G50">
        <v>24</v>
      </c>
      <c r="H50">
        <f t="shared" si="3"/>
        <v>-0.20965164887229548</v>
      </c>
      <c r="I50">
        <f t="shared" si="4"/>
        <v>4.3953813874872273E-2</v>
      </c>
    </row>
    <row r="51" spans="1:9" x14ac:dyDescent="0.25">
      <c r="A51">
        <v>49</v>
      </c>
      <c r="B51">
        <f>'הזנת נתונים'!A49</f>
        <v>549.66666666666902</v>
      </c>
      <c r="C51" s="4">
        <f t="shared" si="5"/>
        <v>450.7145774404591</v>
      </c>
      <c r="D51" s="4">
        <f t="shared" si="6"/>
        <v>351.85152572679095</v>
      </c>
      <c r="F51">
        <f t="shared" si="2"/>
        <v>549.43043842868838</v>
      </c>
      <c r="G51">
        <v>25</v>
      </c>
      <c r="H51">
        <f t="shared" si="3"/>
        <v>-0.23622823798064019</v>
      </c>
      <c r="I51">
        <f t="shared" si="4"/>
        <v>5.5803780419437975E-2</v>
      </c>
    </row>
    <row r="52" spans="1:9" x14ac:dyDescent="0.25">
      <c r="A52">
        <v>50</v>
      </c>
      <c r="B52">
        <f>'הזנת נתונים'!A50</f>
        <v>560.66666666666902</v>
      </c>
      <c r="C52" s="4">
        <f t="shared" si="5"/>
        <v>461.70978636308007</v>
      </c>
      <c r="D52" s="4">
        <f t="shared" si="6"/>
        <v>362.83735179041986</v>
      </c>
      <c r="F52">
        <f t="shared" si="2"/>
        <v>560.4038618395798</v>
      </c>
      <c r="G52">
        <v>26</v>
      </c>
      <c r="H52">
        <f t="shared" si="3"/>
        <v>-0.26280482708921227</v>
      </c>
      <c r="I52">
        <f t="shared" si="4"/>
        <v>6.9066377141390758E-2</v>
      </c>
    </row>
    <row r="53" spans="1:9" x14ac:dyDescent="0.25">
      <c r="A53">
        <v>51</v>
      </c>
      <c r="B53">
        <f>'הזנת נתונים'!A51</f>
        <v>571.66666666666902</v>
      </c>
      <c r="C53" s="4">
        <f t="shared" si="5"/>
        <v>472.70547439343898</v>
      </c>
      <c r="D53" s="4">
        <f t="shared" si="6"/>
        <v>373.82416405072178</v>
      </c>
      <c r="F53">
        <f t="shared" si="2"/>
        <v>571.37728525047135</v>
      </c>
      <c r="G53">
        <v>27</v>
      </c>
      <c r="H53">
        <f t="shared" si="3"/>
        <v>-0.28938141619767066</v>
      </c>
      <c r="I53">
        <f t="shared" si="4"/>
        <v>8.3741604040569489E-2</v>
      </c>
    </row>
    <row r="54" spans="1:9" x14ac:dyDescent="0.25">
      <c r="A54">
        <v>52</v>
      </c>
      <c r="B54">
        <f>'הזנת נתונים'!A52</f>
        <v>582.66666666666902</v>
      </c>
      <c r="C54" s="4">
        <f t="shared" si="5"/>
        <v>483.70159362076197</v>
      </c>
      <c r="D54" s="4">
        <f t="shared" si="6"/>
        <v>384.81190700772584</v>
      </c>
      <c r="F54">
        <f t="shared" si="2"/>
        <v>582.35070866136289</v>
      </c>
      <c r="G54">
        <v>28</v>
      </c>
      <c r="H54">
        <f t="shared" si="3"/>
        <v>-0.31595800530612905</v>
      </c>
      <c r="I54">
        <f t="shared" si="4"/>
        <v>9.9829461117027868E-2</v>
      </c>
    </row>
    <row r="55" spans="1:9" x14ac:dyDescent="0.25">
      <c r="A55">
        <v>53</v>
      </c>
      <c r="B55">
        <f>'הזנת נתונים'!A53</f>
        <v>593.66666666666902</v>
      </c>
      <c r="C55" s="4">
        <f t="shared" si="5"/>
        <v>494.69810092535266</v>
      </c>
      <c r="D55" s="4">
        <f t="shared" si="6"/>
        <v>395.80052639948855</v>
      </c>
      <c r="F55">
        <f t="shared" si="2"/>
        <v>593.32413207225432</v>
      </c>
      <c r="G55">
        <v>29</v>
      </c>
      <c r="H55">
        <f t="shared" si="3"/>
        <v>-0.34253459441470113</v>
      </c>
      <c r="I55">
        <f t="shared" si="4"/>
        <v>0.1173299483708438</v>
      </c>
    </row>
    <row r="56" spans="1:9" x14ac:dyDescent="0.25">
      <c r="A56">
        <v>54</v>
      </c>
      <c r="B56">
        <f>'הזנת נתונים'!A54</f>
        <v>604.66666666666902</v>
      </c>
      <c r="C56" s="4">
        <f t="shared" si="5"/>
        <v>505.6949574994843</v>
      </c>
      <c r="D56" s="4">
        <f t="shared" si="6"/>
        <v>406.78996950948812</v>
      </c>
      <c r="F56">
        <f t="shared" si="2"/>
        <v>604.29755548314586</v>
      </c>
      <c r="G56">
        <v>30</v>
      </c>
      <c r="H56">
        <f t="shared" si="3"/>
        <v>-0.36911118352315953</v>
      </c>
      <c r="I56">
        <f t="shared" si="4"/>
        <v>0.13624306580186754</v>
      </c>
    </row>
    <row r="57" spans="1:9" x14ac:dyDescent="0.25">
      <c r="A57">
        <v>55</v>
      </c>
      <c r="B57">
        <f>'הזנת נתונים'!A55</f>
        <v>615.66666666666902</v>
      </c>
      <c r="C57" s="4">
        <f t="shared" si="5"/>
        <v>516.69212841620276</v>
      </c>
      <c r="D57" s="4">
        <f t="shared" si="6"/>
        <v>417.78018540015955</v>
      </c>
      <c r="F57">
        <f t="shared" si="2"/>
        <v>615.2709788940374</v>
      </c>
      <c r="G57">
        <v>31</v>
      </c>
      <c r="H57">
        <f t="shared" si="3"/>
        <v>-0.39568777263161792</v>
      </c>
      <c r="I57">
        <f t="shared" si="4"/>
        <v>0.15656881341017095</v>
      </c>
    </row>
    <row r="58" spans="1:9" x14ac:dyDescent="0.25">
      <c r="A58">
        <v>56</v>
      </c>
      <c r="B58">
        <f>'הזנת נתונים'!A56</f>
        <v>626.66666666666902</v>
      </c>
      <c r="C58" s="4">
        <f t="shared" si="5"/>
        <v>527.68958224124935</v>
      </c>
      <c r="D58" s="4">
        <f t="shared" si="6"/>
        <v>428.77112508426859</v>
      </c>
      <c r="F58">
        <f t="shared" si="2"/>
        <v>626.24440230492883</v>
      </c>
      <c r="G58">
        <v>32</v>
      </c>
      <c r="H58">
        <f t="shared" si="3"/>
        <v>-0.42226436174019</v>
      </c>
      <c r="I58">
        <f t="shared" si="4"/>
        <v>0.17830719119585003</v>
      </c>
    </row>
    <row r="59" spans="1:9" x14ac:dyDescent="0.25">
      <c r="A59">
        <v>57</v>
      </c>
      <c r="B59">
        <f>'הזנת נתונים'!A57</f>
        <v>637.66666666666902</v>
      </c>
      <c r="C59" s="4">
        <f t="shared" si="5"/>
        <v>538.68729068379139</v>
      </c>
      <c r="D59" s="4">
        <f t="shared" si="6"/>
        <v>439.76274164422085</v>
      </c>
      <c r="F59">
        <f t="shared" si="2"/>
        <v>637.21782571582037</v>
      </c>
      <c r="G59">
        <v>33</v>
      </c>
      <c r="H59">
        <f t="shared" si="3"/>
        <v>-0.44884095084864839</v>
      </c>
      <c r="I59">
        <f t="shared" si="4"/>
        <v>0.20145819915871879</v>
      </c>
    </row>
    <row r="60" spans="1:9" x14ac:dyDescent="0.25">
      <c r="A60">
        <v>58</v>
      </c>
      <c r="B60">
        <f>'הזנת נתונים'!A58</f>
        <v>648.66666666666902</v>
      </c>
      <c r="C60" s="4">
        <f t="shared" si="5"/>
        <v>549.68522828207915</v>
      </c>
      <c r="D60" s="4">
        <f t="shared" si="6"/>
        <v>450.75499030800671</v>
      </c>
      <c r="F60">
        <f t="shared" si="2"/>
        <v>648.19124912671191</v>
      </c>
      <c r="G60">
        <v>34</v>
      </c>
      <c r="H60">
        <f t="shared" si="3"/>
        <v>-0.47541753995710678</v>
      </c>
      <c r="I60">
        <f t="shared" si="4"/>
        <v>0.22602183729886721</v>
      </c>
    </row>
    <row r="61" spans="1:9" x14ac:dyDescent="0.25">
      <c r="A61">
        <v>59</v>
      </c>
      <c r="B61">
        <f>'הזנת נתונים'!A59</f>
        <v>659.66666666666902</v>
      </c>
      <c r="C61" s="4">
        <f t="shared" si="5"/>
        <v>560.68337212053814</v>
      </c>
      <c r="D61" s="4">
        <f t="shared" si="6"/>
        <v>461.74782848925986</v>
      </c>
      <c r="F61">
        <f t="shared" si="2"/>
        <v>659.16467253760334</v>
      </c>
      <c r="G61">
        <v>35</v>
      </c>
      <c r="H61">
        <f t="shared" si="3"/>
        <v>-0.50199412906567886</v>
      </c>
      <c r="I61">
        <f t="shared" si="4"/>
        <v>0.25199810561640945</v>
      </c>
    </row>
    <row r="62" spans="1:9" x14ac:dyDescent="0.25">
      <c r="A62">
        <v>60</v>
      </c>
      <c r="B62">
        <f>'הזנת נתונים'!A60</f>
        <v>670.66666666666902</v>
      </c>
      <c r="C62" s="4">
        <f t="shared" si="5"/>
        <v>571.68170157515124</v>
      </c>
      <c r="D62" s="4">
        <f t="shared" si="6"/>
        <v>472.74121579784901</v>
      </c>
      <c r="F62">
        <f t="shared" si="2"/>
        <v>670.13809594849499</v>
      </c>
      <c r="G62">
        <v>36</v>
      </c>
      <c r="H62">
        <f t="shared" si="3"/>
        <v>-0.52857071817402357</v>
      </c>
      <c r="I62">
        <f t="shared" si="4"/>
        <v>0.27938700411100303</v>
      </c>
    </row>
    <row r="64" spans="1:9" x14ac:dyDescent="0.25">
      <c r="A64" s="45" t="s">
        <v>41</v>
      </c>
      <c r="B64" s="45">
        <f>2*C62-D62</f>
        <v>670.62218735245347</v>
      </c>
      <c r="C64" s="79" t="s">
        <v>100</v>
      </c>
    </row>
    <row r="65" spans="1:3" x14ac:dyDescent="0.25">
      <c r="A65" s="45" t="s">
        <v>42</v>
      </c>
      <c r="B65" s="45">
        <f>(alpha_brown/(1-alpha_brown))*(C62-D62)</f>
        <v>10.993387308589137</v>
      </c>
      <c r="C65" s="79"/>
    </row>
    <row r="67" spans="1:3" x14ac:dyDescent="0.25">
      <c r="A67" s="7">
        <v>1</v>
      </c>
      <c r="B67" s="7">
        <f>$B$64+$B$65*A67</f>
        <v>681.61557466104261</v>
      </c>
      <c r="C67" s="31" t="s">
        <v>6</v>
      </c>
    </row>
    <row r="68" spans="1:3" x14ac:dyDescent="0.25">
      <c r="A68" s="7">
        <v>2</v>
      </c>
      <c r="B68" s="7">
        <f t="shared" ref="B68:B78" si="7">$B$64+$B$65*A68</f>
        <v>692.60896196963176</v>
      </c>
    </row>
    <row r="69" spans="1:3" x14ac:dyDescent="0.25">
      <c r="A69" s="7">
        <v>3</v>
      </c>
      <c r="B69" s="7">
        <f t="shared" si="7"/>
        <v>703.60234927822091</v>
      </c>
    </row>
    <row r="70" spans="1:3" x14ac:dyDescent="0.25">
      <c r="A70" s="7">
        <v>4</v>
      </c>
      <c r="B70" s="7">
        <f t="shared" si="7"/>
        <v>714.59573658681006</v>
      </c>
    </row>
    <row r="71" spans="1:3" x14ac:dyDescent="0.25">
      <c r="A71" s="7">
        <v>5</v>
      </c>
      <c r="B71" s="7">
        <f t="shared" si="7"/>
        <v>725.5891238953991</v>
      </c>
    </row>
    <row r="72" spans="1:3" x14ac:dyDescent="0.25">
      <c r="A72" s="7">
        <v>6</v>
      </c>
      <c r="B72" s="7">
        <f t="shared" si="7"/>
        <v>736.58251120398825</v>
      </c>
    </row>
    <row r="73" spans="1:3" x14ac:dyDescent="0.25">
      <c r="A73" s="7">
        <v>7</v>
      </c>
      <c r="B73" s="7">
        <f t="shared" si="7"/>
        <v>747.5758985125774</v>
      </c>
    </row>
    <row r="74" spans="1:3" x14ac:dyDescent="0.25">
      <c r="A74" s="7">
        <v>8</v>
      </c>
      <c r="B74" s="7">
        <f t="shared" si="7"/>
        <v>758.56928582116655</v>
      </c>
    </row>
    <row r="75" spans="1:3" x14ac:dyDescent="0.25">
      <c r="A75" s="7">
        <v>9</v>
      </c>
      <c r="B75" s="7">
        <f t="shared" si="7"/>
        <v>769.56267312975569</v>
      </c>
    </row>
    <row r="76" spans="1:3" x14ac:dyDescent="0.25">
      <c r="A76" s="7">
        <v>10</v>
      </c>
      <c r="B76" s="7">
        <f t="shared" si="7"/>
        <v>780.55606043834484</v>
      </c>
    </row>
    <row r="77" spans="1:3" x14ac:dyDescent="0.25">
      <c r="A77" s="7">
        <v>11</v>
      </c>
      <c r="B77" s="7">
        <f t="shared" si="7"/>
        <v>791.54944774693399</v>
      </c>
    </row>
    <row r="78" spans="1:3" x14ac:dyDescent="0.25">
      <c r="A78" s="7">
        <v>12</v>
      </c>
      <c r="B78" s="7">
        <f t="shared" si="7"/>
        <v>802.54283505552314</v>
      </c>
    </row>
    <row r="84" spans="1:12" x14ac:dyDescent="0.25">
      <c r="A84">
        <f>B67</f>
        <v>681.61557466104261</v>
      </c>
      <c r="B84">
        <f>B68</f>
        <v>692.60896196963176</v>
      </c>
      <c r="C84">
        <f>B69</f>
        <v>703.60234927822091</v>
      </c>
      <c r="D84">
        <f>B70</f>
        <v>714.59573658681006</v>
      </c>
      <c r="E84">
        <f>B71</f>
        <v>725.5891238953991</v>
      </c>
      <c r="F84">
        <f>B72</f>
        <v>736.58251120398825</v>
      </c>
      <c r="G84">
        <f>B73</f>
        <v>747.5758985125774</v>
      </c>
      <c r="H84">
        <f>B74</f>
        <v>758.56928582116655</v>
      </c>
      <c r="I84">
        <f>B75</f>
        <v>769.56267312975569</v>
      </c>
      <c r="J84">
        <f>B76</f>
        <v>780.55606043834484</v>
      </c>
      <c r="K84">
        <f>B77</f>
        <v>791.54944774693399</v>
      </c>
      <c r="L84">
        <f>B78</f>
        <v>802.54283505552314</v>
      </c>
    </row>
  </sheetData>
  <mergeCells count="3">
    <mergeCell ref="G22:G23"/>
    <mergeCell ref="F21:I21"/>
    <mergeCell ref="C64:C6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CFC77-12D1-48A0-B05E-F84AB863A07B}">
  <sheetPr codeName="גיליון12">
    <tabColor theme="4" tint="0.39997558519241921"/>
  </sheetPr>
  <dimension ref="A1:P67"/>
  <sheetViews>
    <sheetView rightToLeft="1" zoomScaleNormal="100" workbookViewId="0"/>
  </sheetViews>
  <sheetFormatPr defaultRowHeight="13.8" x14ac:dyDescent="0.25"/>
  <cols>
    <col min="2" max="2" width="13.5" bestFit="1" customWidth="1"/>
    <col min="3" max="8" width="9.3984375" bestFit="1" customWidth="1"/>
    <col min="9" max="9" width="9.3984375" customWidth="1"/>
    <col min="10" max="10" width="9.3984375" bestFit="1" customWidth="1"/>
    <col min="11" max="11" width="13.19921875" customWidth="1"/>
    <col min="16" max="16" width="12.69921875" bestFit="1" customWidth="1"/>
  </cols>
  <sheetData>
    <row r="1" spans="1:16" x14ac:dyDescent="0.25">
      <c r="C1" s="80" t="s">
        <v>17</v>
      </c>
      <c r="D1" s="80"/>
      <c r="E1" s="80"/>
      <c r="F1" s="80"/>
      <c r="G1" s="80"/>
      <c r="H1" s="78" t="s">
        <v>18</v>
      </c>
      <c r="I1" s="78"/>
      <c r="J1" s="78"/>
    </row>
    <row r="2" spans="1:16" x14ac:dyDescent="0.25">
      <c r="A2" t="s">
        <v>1</v>
      </c>
      <c r="B2" t="s">
        <v>0</v>
      </c>
      <c r="C2" t="s">
        <v>13</v>
      </c>
      <c r="D2" t="s">
        <v>0</v>
      </c>
      <c r="E2" t="s">
        <v>52</v>
      </c>
      <c r="F2" t="s">
        <v>14</v>
      </c>
      <c r="G2" t="s">
        <v>51</v>
      </c>
      <c r="H2" t="s">
        <v>19</v>
      </c>
      <c r="I2" t="s">
        <v>51</v>
      </c>
      <c r="J2" t="s">
        <v>52</v>
      </c>
      <c r="K2" t="s">
        <v>2</v>
      </c>
      <c r="L2" t="s">
        <v>16</v>
      </c>
      <c r="N2" t="s">
        <v>3</v>
      </c>
      <c r="O2" t="s">
        <v>20</v>
      </c>
      <c r="P2" t="s">
        <v>21</v>
      </c>
    </row>
    <row r="3" spans="1:16" x14ac:dyDescent="0.25">
      <c r="A3">
        <v>1</v>
      </c>
      <c r="B3" s="9">
        <f>'הזנת נתונים'!A1</f>
        <v>28</v>
      </c>
      <c r="C3">
        <f>COUNT($B$3:B3)</f>
        <v>1</v>
      </c>
      <c r="D3">
        <f>SUM($B$3:B3)</f>
        <v>28</v>
      </c>
      <c r="E3">
        <f>SUM($J$3:J3)</f>
        <v>1</v>
      </c>
      <c r="F3">
        <f>SUM($H$3:H3)</f>
        <v>1</v>
      </c>
      <c r="G3">
        <f>SUM($I$3:I3)</f>
        <v>28</v>
      </c>
      <c r="H3">
        <f>(A3)^2</f>
        <v>1</v>
      </c>
      <c r="I3">
        <f>B3*H3</f>
        <v>28</v>
      </c>
      <c r="J3">
        <f>A3^4</f>
        <v>1</v>
      </c>
    </row>
    <row r="4" spans="1:16" x14ac:dyDescent="0.25">
      <c r="A4">
        <v>2</v>
      </c>
      <c r="B4" s="9">
        <f>'הזנת נתונים'!A2</f>
        <v>35</v>
      </c>
      <c r="C4">
        <f>COUNT($B$3:B4)</f>
        <v>2</v>
      </c>
      <c r="D4">
        <f>SUM($B$3:B4)</f>
        <v>63</v>
      </c>
      <c r="E4">
        <f>SUM($J$3:J4)</f>
        <v>17</v>
      </c>
      <c r="F4">
        <f>SUM($H$3:H4)</f>
        <v>5</v>
      </c>
      <c r="G4">
        <f>SUM($I$3:I4)</f>
        <v>168</v>
      </c>
      <c r="H4">
        <f t="shared" ref="H4:H62" si="0">(A4)^2</f>
        <v>4</v>
      </c>
      <c r="I4">
        <f t="shared" ref="I4:I62" si="1">B4*H4</f>
        <v>140</v>
      </c>
      <c r="J4">
        <f>A4^4</f>
        <v>16</v>
      </c>
      <c r="K4" s="2">
        <f>(D4-L4*F4)/(C4)</f>
        <v>25.666666666666664</v>
      </c>
      <c r="L4" s="2">
        <f>(C4*G4-D4*F4)/(C4*E4-(F4)^2)</f>
        <v>2.3333333333333335</v>
      </c>
      <c r="N4">
        <f>K4+L4*H4</f>
        <v>35</v>
      </c>
      <c r="O4">
        <f>N4-B4</f>
        <v>0</v>
      </c>
      <c r="P4">
        <f>O4^2</f>
        <v>0</v>
      </c>
    </row>
    <row r="5" spans="1:16" x14ac:dyDescent="0.25">
      <c r="A5">
        <v>3</v>
      </c>
      <c r="B5" s="9">
        <f>'הזנת נתונים'!A3</f>
        <v>40</v>
      </c>
      <c r="C5">
        <f>COUNT($B$3:B5)</f>
        <v>3</v>
      </c>
      <c r="D5">
        <f>SUM($B$3:B5)</f>
        <v>103</v>
      </c>
      <c r="E5">
        <f>SUM($J$3:J5)</f>
        <v>98</v>
      </c>
      <c r="F5">
        <f>SUM($H$3:H5)</f>
        <v>14</v>
      </c>
      <c r="G5">
        <f>SUM($I$3:I5)</f>
        <v>528</v>
      </c>
      <c r="H5">
        <f t="shared" si="0"/>
        <v>9</v>
      </c>
      <c r="I5">
        <f t="shared" si="1"/>
        <v>360</v>
      </c>
      <c r="J5">
        <f t="shared" ref="J5:J62" si="2">A5^4</f>
        <v>81</v>
      </c>
      <c r="K5" s="2">
        <f t="shared" ref="K5:K35" si="3">(D5-L5*F5)/(C5)</f>
        <v>27.571428571428573</v>
      </c>
      <c r="L5" s="2">
        <f t="shared" ref="L5:L62" si="4">(C5*G5-D5*F5)/(C5*E5-(F5)^2)</f>
        <v>1.4489795918367347</v>
      </c>
      <c r="N5">
        <f t="shared" ref="N5:N62" si="5">K5+L5*H5</f>
        <v>40.612244897959187</v>
      </c>
      <c r="O5">
        <f t="shared" ref="O5:O62" si="6">N5-B5</f>
        <v>0.61224489795918657</v>
      </c>
      <c r="P5">
        <f t="shared" ref="P5:P62" si="7">O5^2</f>
        <v>0.37484381507705478</v>
      </c>
    </row>
    <row r="6" spans="1:16" x14ac:dyDescent="0.25">
      <c r="A6">
        <v>4</v>
      </c>
      <c r="B6" s="9">
        <f>'הזנת נתונים'!A4</f>
        <v>55</v>
      </c>
      <c r="C6">
        <f>COUNT($B$3:B6)</f>
        <v>4</v>
      </c>
      <c r="D6">
        <f>SUM($B$3:B6)</f>
        <v>158</v>
      </c>
      <c r="E6">
        <f>SUM($J$3:J6)</f>
        <v>354</v>
      </c>
      <c r="F6">
        <f>SUM($H$3:H6)</f>
        <v>30</v>
      </c>
      <c r="G6">
        <f>SUM($I$3:I6)</f>
        <v>1408</v>
      </c>
      <c r="H6">
        <f t="shared" si="0"/>
        <v>16</v>
      </c>
      <c r="I6">
        <f t="shared" si="1"/>
        <v>880</v>
      </c>
      <c r="J6">
        <f t="shared" si="2"/>
        <v>256</v>
      </c>
      <c r="K6" s="2">
        <f t="shared" si="3"/>
        <v>26.534883720930232</v>
      </c>
      <c r="L6" s="2">
        <f t="shared" si="4"/>
        <v>1.7286821705426356</v>
      </c>
      <c r="N6">
        <f t="shared" si="5"/>
        <v>54.193798449612402</v>
      </c>
      <c r="O6">
        <f t="shared" si="6"/>
        <v>-0.80620155038759833</v>
      </c>
      <c r="P6">
        <f t="shared" si="7"/>
        <v>0.64996093984736725</v>
      </c>
    </row>
    <row r="7" spans="1:16" x14ac:dyDescent="0.25">
      <c r="A7">
        <v>5</v>
      </c>
      <c r="B7" s="9">
        <f>'הזנת נתונים'!A5</f>
        <v>70</v>
      </c>
      <c r="C7">
        <f>COUNT($B$3:B7)</f>
        <v>5</v>
      </c>
      <c r="D7">
        <f>SUM($B$3:B7)</f>
        <v>228</v>
      </c>
      <c r="E7">
        <f>SUM($J$3:J7)</f>
        <v>979</v>
      </c>
      <c r="F7">
        <f>SUM($H$3:H7)</f>
        <v>55</v>
      </c>
      <c r="G7">
        <f>SUM($I$3:I7)</f>
        <v>3158</v>
      </c>
      <c r="H7">
        <f t="shared" si="0"/>
        <v>25</v>
      </c>
      <c r="I7">
        <f t="shared" si="1"/>
        <v>1750</v>
      </c>
      <c r="J7">
        <f t="shared" si="2"/>
        <v>625</v>
      </c>
      <c r="K7" s="2">
        <f t="shared" si="3"/>
        <v>26.482352941176469</v>
      </c>
      <c r="L7" s="2">
        <f t="shared" si="4"/>
        <v>1.7379679144385027</v>
      </c>
      <c r="N7">
        <f t="shared" si="5"/>
        <v>69.931550802139043</v>
      </c>
      <c r="O7">
        <f t="shared" si="6"/>
        <v>-6.8449197860957156E-2</v>
      </c>
      <c r="P7">
        <f t="shared" si="7"/>
        <v>4.6852926878084619E-3</v>
      </c>
    </row>
    <row r="8" spans="1:16" x14ac:dyDescent="0.25">
      <c r="A8">
        <v>6</v>
      </c>
      <c r="B8" s="9">
        <f>'הזנת נתונים'!A6</f>
        <v>75</v>
      </c>
      <c r="C8">
        <f>COUNT($B$3:B8)</f>
        <v>6</v>
      </c>
      <c r="D8">
        <f>SUM($B$3:B8)</f>
        <v>303</v>
      </c>
      <c r="E8">
        <f>SUM($J$3:J8)</f>
        <v>2275</v>
      </c>
      <c r="F8">
        <f>SUM($H$3:H8)</f>
        <v>91</v>
      </c>
      <c r="G8">
        <f>SUM($I$3:I8)</f>
        <v>5858</v>
      </c>
      <c r="H8">
        <f t="shared" si="0"/>
        <v>36</v>
      </c>
      <c r="I8">
        <f t="shared" si="1"/>
        <v>2700</v>
      </c>
      <c r="J8">
        <f t="shared" si="2"/>
        <v>1296</v>
      </c>
      <c r="K8" s="2">
        <f t="shared" si="3"/>
        <v>29.101694915254239</v>
      </c>
      <c r="L8" s="2">
        <f t="shared" si="4"/>
        <v>1.4108772583348854</v>
      </c>
      <c r="N8">
        <f t="shared" si="5"/>
        <v>79.893276215310109</v>
      </c>
      <c r="O8">
        <f t="shared" si="6"/>
        <v>4.8932762153101095</v>
      </c>
      <c r="P8">
        <f t="shared" si="7"/>
        <v>23.944152119319629</v>
      </c>
    </row>
    <row r="9" spans="1:16" x14ac:dyDescent="0.25">
      <c r="A9">
        <v>7</v>
      </c>
      <c r="B9" s="9">
        <f>'הזנת נתונים'!A7</f>
        <v>87.6666666666667</v>
      </c>
      <c r="C9">
        <f>COUNT($B$3:B9)</f>
        <v>7</v>
      </c>
      <c r="D9">
        <f>SUM($B$3:B9)</f>
        <v>390.66666666666669</v>
      </c>
      <c r="E9">
        <f>SUM($J$3:J9)</f>
        <v>4676</v>
      </c>
      <c r="F9">
        <f>SUM($H$3:H9)</f>
        <v>140</v>
      </c>
      <c r="G9">
        <f>SUM($I$3:I9)</f>
        <v>10153.666666666668</v>
      </c>
      <c r="H9">
        <f t="shared" si="0"/>
        <v>49</v>
      </c>
      <c r="I9">
        <f t="shared" si="1"/>
        <v>4295.6666666666679</v>
      </c>
      <c r="J9">
        <f t="shared" si="2"/>
        <v>2401</v>
      </c>
      <c r="K9" s="2">
        <f t="shared" si="3"/>
        <v>30.859275053304906</v>
      </c>
      <c r="L9" s="2">
        <f t="shared" si="4"/>
        <v>1.2475124378109455</v>
      </c>
      <c r="N9">
        <f t="shared" si="5"/>
        <v>91.987384506041224</v>
      </c>
      <c r="O9">
        <f t="shared" si="6"/>
        <v>4.3207178393745238</v>
      </c>
      <c r="P9">
        <f t="shared" si="7"/>
        <v>18.668602647489255</v>
      </c>
    </row>
    <row r="10" spans="1:16" x14ac:dyDescent="0.25">
      <c r="A10">
        <v>8</v>
      </c>
      <c r="B10" s="9">
        <f>'הזנת נתונים'!A8</f>
        <v>98.6666666666667</v>
      </c>
      <c r="C10">
        <f>COUNT($B$3:B10)</f>
        <v>8</v>
      </c>
      <c r="D10">
        <f>SUM($B$3:B10)</f>
        <v>489.33333333333337</v>
      </c>
      <c r="E10">
        <f>SUM($J$3:J10)</f>
        <v>8772</v>
      </c>
      <c r="F10">
        <f>SUM($H$3:H10)</f>
        <v>204</v>
      </c>
      <c r="G10">
        <f>SUM($I$3:I10)</f>
        <v>16468.333333333336</v>
      </c>
      <c r="H10">
        <f t="shared" si="0"/>
        <v>64</v>
      </c>
      <c r="I10">
        <f t="shared" si="1"/>
        <v>6314.6666666666688</v>
      </c>
      <c r="J10">
        <f t="shared" si="2"/>
        <v>4096</v>
      </c>
      <c r="K10" s="2">
        <f t="shared" si="3"/>
        <v>32.664285714285711</v>
      </c>
      <c r="L10" s="2">
        <f t="shared" si="4"/>
        <v>1.1177404295051356</v>
      </c>
      <c r="N10">
        <f t="shared" si="5"/>
        <v>104.19967320261439</v>
      </c>
      <c r="O10">
        <f t="shared" si="6"/>
        <v>5.5330065359476919</v>
      </c>
      <c r="P10">
        <f t="shared" si="7"/>
        <v>30.614161326839877</v>
      </c>
    </row>
    <row r="11" spans="1:16" x14ac:dyDescent="0.25">
      <c r="A11">
        <v>9</v>
      </c>
      <c r="B11" s="9">
        <f>'הזנת נתונים'!A9</f>
        <v>109.666666666667</v>
      </c>
      <c r="C11">
        <f>COUNT($B$3:B11)</f>
        <v>9</v>
      </c>
      <c r="D11">
        <f>SUM($B$3:B11)</f>
        <v>599.00000000000034</v>
      </c>
      <c r="E11">
        <f>SUM($J$3:J11)</f>
        <v>15333</v>
      </c>
      <c r="F11">
        <f>SUM($H$3:H11)</f>
        <v>285</v>
      </c>
      <c r="G11">
        <f>SUM($I$3:I11)</f>
        <v>25351.333333333365</v>
      </c>
      <c r="H11">
        <f t="shared" si="0"/>
        <v>81</v>
      </c>
      <c r="I11">
        <f t="shared" si="1"/>
        <v>8883.0000000000273</v>
      </c>
      <c r="J11">
        <f t="shared" si="2"/>
        <v>6561</v>
      </c>
      <c r="K11" s="2">
        <f t="shared" si="3"/>
        <v>34.512382864792428</v>
      </c>
      <c r="L11" s="2">
        <f t="shared" si="4"/>
        <v>1.0118896639188368</v>
      </c>
      <c r="N11">
        <f t="shared" si="5"/>
        <v>116.47544564221822</v>
      </c>
      <c r="O11">
        <f t="shared" si="6"/>
        <v>6.8087789755512205</v>
      </c>
      <c r="P11">
        <f t="shared" si="7"/>
        <v>46.359471137908329</v>
      </c>
    </row>
    <row r="12" spans="1:16" x14ac:dyDescent="0.25">
      <c r="A12">
        <v>10</v>
      </c>
      <c r="B12" s="9">
        <f>'הזנת נתונים'!A10</f>
        <v>120.666666666667</v>
      </c>
      <c r="C12">
        <f>COUNT($B$3:B12)</f>
        <v>10</v>
      </c>
      <c r="D12">
        <f>SUM($B$3:B12)</f>
        <v>719.66666666666731</v>
      </c>
      <c r="E12">
        <f>SUM($J$3:J12)</f>
        <v>25333</v>
      </c>
      <c r="F12">
        <f>SUM($H$3:H12)</f>
        <v>385</v>
      </c>
      <c r="G12">
        <f>SUM($I$3:I12)</f>
        <v>37418.000000000065</v>
      </c>
      <c r="H12">
        <f t="shared" si="0"/>
        <v>100</v>
      </c>
      <c r="I12">
        <f t="shared" si="1"/>
        <v>12066.666666666701</v>
      </c>
      <c r="J12">
        <f t="shared" si="2"/>
        <v>10000</v>
      </c>
      <c r="K12" s="2">
        <f t="shared" si="3"/>
        <v>36.39584859584852</v>
      </c>
      <c r="L12" s="2">
        <f t="shared" si="4"/>
        <v>0.9239173524887847</v>
      </c>
      <c r="N12">
        <f t="shared" si="5"/>
        <v>128.78758384472701</v>
      </c>
      <c r="O12">
        <f t="shared" si="6"/>
        <v>8.1209171780600116</v>
      </c>
      <c r="P12">
        <f t="shared" si="7"/>
        <v>65.949295812910179</v>
      </c>
    </row>
    <row r="13" spans="1:16" x14ac:dyDescent="0.25">
      <c r="A13">
        <v>11</v>
      </c>
      <c r="B13" s="9">
        <f>'הזנת נתונים'!A11</f>
        <v>131.666666666667</v>
      </c>
      <c r="C13">
        <f>COUNT($B$3:B13)</f>
        <v>11</v>
      </c>
      <c r="D13">
        <f>SUM($B$3:B13)</f>
        <v>851.33333333333428</v>
      </c>
      <c r="E13">
        <f>SUM($J$3:J13)</f>
        <v>39974</v>
      </c>
      <c r="F13">
        <f>SUM($H$3:H13)</f>
        <v>506</v>
      </c>
      <c r="G13">
        <f>SUM($I$3:I13)</f>
        <v>53349.666666666773</v>
      </c>
      <c r="H13">
        <f t="shared" si="0"/>
        <v>121</v>
      </c>
      <c r="I13">
        <f t="shared" si="1"/>
        <v>15931.666666666706</v>
      </c>
      <c r="J13">
        <f t="shared" si="2"/>
        <v>14641</v>
      </c>
      <c r="K13" s="2">
        <f t="shared" si="3"/>
        <v>38.307621671257941</v>
      </c>
      <c r="L13" s="2">
        <f t="shared" si="4"/>
        <v>0.84970255918872906</v>
      </c>
      <c r="N13">
        <f t="shared" si="5"/>
        <v>141.12163133309414</v>
      </c>
      <c r="O13">
        <f t="shared" si="6"/>
        <v>9.4549646664271449</v>
      </c>
      <c r="P13">
        <f t="shared" si="7"/>
        <v>89.396356843385774</v>
      </c>
    </row>
    <row r="14" spans="1:16" x14ac:dyDescent="0.25">
      <c r="A14">
        <v>12</v>
      </c>
      <c r="B14" s="9">
        <f>'הזנת נתונים'!A12</f>
        <v>142.666666666667</v>
      </c>
      <c r="C14">
        <f>COUNT($B$3:B14)</f>
        <v>12</v>
      </c>
      <c r="D14">
        <f>SUM($B$3:B14)</f>
        <v>994.00000000000125</v>
      </c>
      <c r="E14">
        <f>SUM($J$3:J14)</f>
        <v>60710</v>
      </c>
      <c r="F14">
        <f>SUM($H$3:H14)</f>
        <v>650</v>
      </c>
      <c r="G14">
        <f>SUM($I$3:I14)</f>
        <v>73893.666666666817</v>
      </c>
      <c r="H14">
        <f t="shared" si="0"/>
        <v>144</v>
      </c>
      <c r="I14">
        <f t="shared" si="1"/>
        <v>20544.000000000047</v>
      </c>
      <c r="J14">
        <f t="shared" si="2"/>
        <v>20736</v>
      </c>
      <c r="K14" s="2">
        <f t="shared" si="3"/>
        <v>40.241999433588141</v>
      </c>
      <c r="L14" s="2">
        <f t="shared" si="4"/>
        <v>0.78630154891837478</v>
      </c>
      <c r="N14">
        <f t="shared" si="5"/>
        <v>153.46942247783412</v>
      </c>
      <c r="O14">
        <f t="shared" si="6"/>
        <v>10.802755811167117</v>
      </c>
      <c r="P14">
        <f t="shared" si="7"/>
        <v>116.69953311570491</v>
      </c>
    </row>
    <row r="15" spans="1:16" x14ac:dyDescent="0.25">
      <c r="A15">
        <v>13</v>
      </c>
      <c r="B15" s="9">
        <f>'הזנת נתונים'!A13</f>
        <v>153.666666666667</v>
      </c>
      <c r="C15">
        <f>COUNT($B$3:B15)</f>
        <v>13</v>
      </c>
      <c r="D15">
        <f>SUM($B$3:B15)</f>
        <v>1147.6666666666683</v>
      </c>
      <c r="E15">
        <f>SUM($J$3:J15)</f>
        <v>89271</v>
      </c>
      <c r="F15">
        <f>SUM($H$3:H15)</f>
        <v>819</v>
      </c>
      <c r="G15">
        <f>SUM($I$3:I15)</f>
        <v>99863.333333333547</v>
      </c>
      <c r="H15">
        <f t="shared" si="0"/>
        <v>169</v>
      </c>
      <c r="I15">
        <f t="shared" si="1"/>
        <v>25969.666666666722</v>
      </c>
      <c r="J15">
        <f t="shared" si="2"/>
        <v>28561</v>
      </c>
      <c r="K15" s="2">
        <f t="shared" si="3"/>
        <v>42.194537346711222</v>
      </c>
      <c r="L15" s="2">
        <f t="shared" si="4"/>
        <v>0.73154784024349506</v>
      </c>
      <c r="N15">
        <f t="shared" si="5"/>
        <v>165.82612234786188</v>
      </c>
      <c r="O15">
        <f t="shared" si="6"/>
        <v>12.159455681194885</v>
      </c>
      <c r="P15">
        <f t="shared" si="7"/>
        <v>147.85236246294255</v>
      </c>
    </row>
    <row r="16" spans="1:16" x14ac:dyDescent="0.25">
      <c r="A16">
        <v>14</v>
      </c>
      <c r="B16" s="9">
        <f>'הזנת נתונים'!A14</f>
        <v>164.666666666667</v>
      </c>
      <c r="C16">
        <f>COUNT($B$3:B16)</f>
        <v>14</v>
      </c>
      <c r="D16">
        <f>SUM($B$3:B16)</f>
        <v>1312.3333333333353</v>
      </c>
      <c r="E16">
        <f>SUM($J$3:J16)</f>
        <v>127687</v>
      </c>
      <c r="F16">
        <f>SUM($H$3:H16)</f>
        <v>1015</v>
      </c>
      <c r="G16">
        <f>SUM($I$3:I16)</f>
        <v>132138.00000000029</v>
      </c>
      <c r="H16">
        <f t="shared" si="0"/>
        <v>196</v>
      </c>
      <c r="I16">
        <f t="shared" si="1"/>
        <v>32274.666666666733</v>
      </c>
      <c r="J16">
        <f t="shared" si="2"/>
        <v>38416</v>
      </c>
      <c r="K16" s="2">
        <f t="shared" si="3"/>
        <v>44.161797552041385</v>
      </c>
      <c r="L16" s="2">
        <f t="shared" si="4"/>
        <v>0.68381100256626193</v>
      </c>
      <c r="N16">
        <f t="shared" si="5"/>
        <v>178.18875405502871</v>
      </c>
      <c r="O16">
        <f t="shared" si="6"/>
        <v>13.522087388361712</v>
      </c>
      <c r="P16">
        <f t="shared" si="7"/>
        <v>182.84684733849085</v>
      </c>
    </row>
    <row r="17" spans="1:16" x14ac:dyDescent="0.25">
      <c r="A17">
        <v>15</v>
      </c>
      <c r="B17" s="9">
        <f>'הזנת נתונים'!A15</f>
        <v>175.666666666667</v>
      </c>
      <c r="C17">
        <f>COUNT($B$3:B17)</f>
        <v>15</v>
      </c>
      <c r="D17">
        <f>SUM($B$3:B17)</f>
        <v>1488.0000000000023</v>
      </c>
      <c r="E17">
        <f>SUM($J$3:J17)</f>
        <v>178312</v>
      </c>
      <c r="F17">
        <f>SUM($H$3:H17)</f>
        <v>1240</v>
      </c>
      <c r="G17">
        <f>SUM($I$3:I17)</f>
        <v>171663.00000000035</v>
      </c>
      <c r="H17">
        <f t="shared" si="0"/>
        <v>225</v>
      </c>
      <c r="I17">
        <f t="shared" si="1"/>
        <v>39525.000000000073</v>
      </c>
      <c r="J17">
        <f t="shared" si="2"/>
        <v>50625</v>
      </c>
      <c r="K17" s="2">
        <f t="shared" si="3"/>
        <v>46.141112322791699</v>
      </c>
      <c r="L17" s="2">
        <f t="shared" si="4"/>
        <v>0.64184138319203776</v>
      </c>
      <c r="N17">
        <f t="shared" si="5"/>
        <v>190.55542354100021</v>
      </c>
      <c r="O17">
        <f t="shared" si="6"/>
        <v>14.888756874333211</v>
      </c>
      <c r="P17">
        <f t="shared" si="7"/>
        <v>221.67508126300444</v>
      </c>
    </row>
    <row r="18" spans="1:16" x14ac:dyDescent="0.25">
      <c r="A18">
        <v>16</v>
      </c>
      <c r="B18" s="9">
        <f>'הזנת נתונים'!A16</f>
        <v>186.666666666667</v>
      </c>
      <c r="C18">
        <f>COUNT($B$3:B18)</f>
        <v>16</v>
      </c>
      <c r="D18">
        <f>SUM($B$3:B18)</f>
        <v>1674.6666666666692</v>
      </c>
      <c r="E18">
        <f>SUM($J$3:J18)</f>
        <v>243848</v>
      </c>
      <c r="F18">
        <f>SUM($H$3:H18)</f>
        <v>1496</v>
      </c>
      <c r="G18">
        <f>SUM($I$3:I18)</f>
        <v>219449.66666666709</v>
      </c>
      <c r="H18">
        <f t="shared" si="0"/>
        <v>256</v>
      </c>
      <c r="I18">
        <f t="shared" si="1"/>
        <v>47786.666666666752</v>
      </c>
      <c r="J18">
        <f t="shared" si="2"/>
        <v>65536</v>
      </c>
      <c r="K18" s="2">
        <f t="shared" si="3"/>
        <v>48.130395683453237</v>
      </c>
      <c r="L18" s="2">
        <f t="shared" si="4"/>
        <v>0.6046659998204662</v>
      </c>
      <c r="N18">
        <f t="shared" si="5"/>
        <v>202.92489163749258</v>
      </c>
      <c r="O18">
        <f t="shared" si="6"/>
        <v>16.25822497082558</v>
      </c>
      <c r="P18">
        <f t="shared" si="7"/>
        <v>264.32987920197644</v>
      </c>
    </row>
    <row r="19" spans="1:16" x14ac:dyDescent="0.25">
      <c r="A19">
        <v>17</v>
      </c>
      <c r="B19" s="9">
        <f>'הזנת נתונים'!A17</f>
        <v>197.666666666667</v>
      </c>
      <c r="C19">
        <f>COUNT($B$3:B19)</f>
        <v>17</v>
      </c>
      <c r="D19">
        <f>SUM($B$3:B19)</f>
        <v>1872.3333333333362</v>
      </c>
      <c r="E19">
        <f>SUM($J$3:J19)</f>
        <v>327369</v>
      </c>
      <c r="F19">
        <f>SUM($H$3:H19)</f>
        <v>1785</v>
      </c>
      <c r="G19">
        <f>SUM($I$3:I19)</f>
        <v>276575.33333333384</v>
      </c>
      <c r="H19">
        <f t="shared" si="0"/>
        <v>289</v>
      </c>
      <c r="I19">
        <f t="shared" si="1"/>
        <v>57125.666666666766</v>
      </c>
      <c r="J19">
        <f t="shared" si="2"/>
        <v>83521</v>
      </c>
      <c r="K19" s="2">
        <f t="shared" si="3"/>
        <v>50.128001200480206</v>
      </c>
      <c r="L19" s="2">
        <f t="shared" si="4"/>
        <v>0.57151670191886428</v>
      </c>
      <c r="N19">
        <f t="shared" si="5"/>
        <v>215.29632805503198</v>
      </c>
      <c r="O19">
        <f t="shared" si="6"/>
        <v>17.62966138836498</v>
      </c>
      <c r="P19">
        <f t="shared" si="7"/>
        <v>310.80496066840703</v>
      </c>
    </row>
    <row r="20" spans="1:16" x14ac:dyDescent="0.25">
      <c r="A20">
        <v>18</v>
      </c>
      <c r="B20" s="9">
        <f>'הזנת נתונים'!A18</f>
        <v>208.666666666667</v>
      </c>
      <c r="C20">
        <f>COUNT($B$3:B20)</f>
        <v>18</v>
      </c>
      <c r="D20">
        <f>SUM($B$3:B20)</f>
        <v>2081.0000000000032</v>
      </c>
      <c r="E20">
        <f>SUM($J$3:J20)</f>
        <v>432345</v>
      </c>
      <c r="F20">
        <f>SUM($H$3:H20)</f>
        <v>2109</v>
      </c>
      <c r="G20">
        <f>SUM($I$3:I20)</f>
        <v>344183.33333333395</v>
      </c>
      <c r="H20">
        <f t="shared" si="0"/>
        <v>324</v>
      </c>
      <c r="I20">
        <f t="shared" si="1"/>
        <v>67608.000000000102</v>
      </c>
      <c r="J20">
        <f t="shared" si="2"/>
        <v>104976</v>
      </c>
      <c r="K20" s="2">
        <f t="shared" si="3"/>
        <v>52.132616487455216</v>
      </c>
      <c r="L20" s="2">
        <f t="shared" si="4"/>
        <v>0.54177947047217134</v>
      </c>
      <c r="N20">
        <f t="shared" si="5"/>
        <v>227.66916492043873</v>
      </c>
      <c r="O20">
        <f t="shared" si="6"/>
        <v>19.002498253771734</v>
      </c>
      <c r="P20">
        <f t="shared" si="7"/>
        <v>361.09493988459781</v>
      </c>
    </row>
    <row r="21" spans="1:16" x14ac:dyDescent="0.25">
      <c r="A21">
        <v>19</v>
      </c>
      <c r="B21" s="9">
        <f>'הזנת נתונים'!A19</f>
        <v>219.666666666667</v>
      </c>
      <c r="C21">
        <f>COUNT($B$3:B21)</f>
        <v>19</v>
      </c>
      <c r="D21">
        <f>SUM($B$3:B21)</f>
        <v>2300.6666666666702</v>
      </c>
      <c r="E21">
        <f>SUM($J$3:J21)</f>
        <v>562666</v>
      </c>
      <c r="F21">
        <f>SUM($H$3:H21)</f>
        <v>2470</v>
      </c>
      <c r="G21">
        <f>SUM($I$3:I21)</f>
        <v>423483.00000000076</v>
      </c>
      <c r="H21">
        <f t="shared" si="0"/>
        <v>361</v>
      </c>
      <c r="I21">
        <f t="shared" si="1"/>
        <v>79299.666666666788</v>
      </c>
      <c r="J21">
        <f t="shared" si="2"/>
        <v>130321</v>
      </c>
      <c r="K21" s="2">
        <f t="shared" si="3"/>
        <v>54.143185161267205</v>
      </c>
      <c r="L21" s="2">
        <f t="shared" si="4"/>
        <v>0.51495795489983531</v>
      </c>
      <c r="N21">
        <f t="shared" si="5"/>
        <v>240.04300688010775</v>
      </c>
      <c r="O21">
        <f t="shared" si="6"/>
        <v>20.376340213440756</v>
      </c>
      <c r="P21">
        <f t="shared" si="7"/>
        <v>415.19524049388286</v>
      </c>
    </row>
    <row r="22" spans="1:16" x14ac:dyDescent="0.25">
      <c r="A22">
        <v>20</v>
      </c>
      <c r="B22" s="9">
        <f>'הזנת נתונים'!A20</f>
        <v>230.666666666667</v>
      </c>
      <c r="C22">
        <f>COUNT($B$3:B22)</f>
        <v>20</v>
      </c>
      <c r="D22">
        <f>SUM($B$3:B22)</f>
        <v>2531.3333333333371</v>
      </c>
      <c r="E22">
        <f>SUM($J$3:J22)</f>
        <v>722666</v>
      </c>
      <c r="F22">
        <f>SUM($H$3:H22)</f>
        <v>2870</v>
      </c>
      <c r="G22">
        <f>SUM($I$3:I22)</f>
        <v>515749.66666666756</v>
      </c>
      <c r="H22">
        <f t="shared" si="0"/>
        <v>400</v>
      </c>
      <c r="I22">
        <f t="shared" si="1"/>
        <v>92266.666666666802</v>
      </c>
      <c r="J22">
        <f t="shared" si="2"/>
        <v>160000</v>
      </c>
      <c r="K22" s="2">
        <f t="shared" si="3"/>
        <v>56.158848876577437</v>
      </c>
      <c r="L22" s="2">
        <f t="shared" si="4"/>
        <v>0.4906468138682189</v>
      </c>
      <c r="N22">
        <f t="shared" si="5"/>
        <v>252.41757442386501</v>
      </c>
      <c r="O22">
        <f t="shared" si="6"/>
        <v>21.750907757198007</v>
      </c>
      <c r="P22">
        <f t="shared" si="7"/>
        <v>473.10198826213644</v>
      </c>
    </row>
    <row r="23" spans="1:16" x14ac:dyDescent="0.25">
      <c r="A23">
        <v>21</v>
      </c>
      <c r="B23" s="9">
        <f>'הזנת נתונים'!A21</f>
        <v>241.666666666667</v>
      </c>
      <c r="C23">
        <f>COUNT($B$3:B23)</f>
        <v>21</v>
      </c>
      <c r="D23">
        <f>SUM($B$3:B23)</f>
        <v>2773.0000000000041</v>
      </c>
      <c r="E23">
        <f>SUM($J$3:J23)</f>
        <v>917147</v>
      </c>
      <c r="F23">
        <f>SUM($H$3:H23)</f>
        <v>3311</v>
      </c>
      <c r="G23">
        <f>SUM($I$3:I23)</f>
        <v>622324.66666666768</v>
      </c>
      <c r="H23">
        <f t="shared" si="0"/>
        <v>441</v>
      </c>
      <c r="I23">
        <f t="shared" si="1"/>
        <v>106575.00000000015</v>
      </c>
      <c r="J23">
        <f t="shared" si="2"/>
        <v>194481</v>
      </c>
      <c r="K23" s="2">
        <f t="shared" si="3"/>
        <v>58.178903963820218</v>
      </c>
      <c r="L23" s="2">
        <f t="shared" si="4"/>
        <v>0.46851193499238281</v>
      </c>
      <c r="N23">
        <f t="shared" si="5"/>
        <v>264.79266729546106</v>
      </c>
      <c r="O23">
        <f t="shared" si="6"/>
        <v>23.12600062879406</v>
      </c>
      <c r="P23">
        <f t="shared" si="7"/>
        <v>534.81190508298323</v>
      </c>
    </row>
    <row r="24" spans="1:16" x14ac:dyDescent="0.25">
      <c r="A24">
        <v>22</v>
      </c>
      <c r="B24" s="9">
        <f>'הזנת נתונים'!A22</f>
        <v>252.666666666667</v>
      </c>
      <c r="C24">
        <f>COUNT($B$3:B24)</f>
        <v>22</v>
      </c>
      <c r="D24">
        <f>SUM($B$3:B24)</f>
        <v>3025.6666666666711</v>
      </c>
      <c r="E24">
        <f>SUM($J$3:J24)</f>
        <v>1151403</v>
      </c>
      <c r="F24">
        <f>SUM($H$3:H24)</f>
        <v>3795</v>
      </c>
      <c r="G24">
        <f>SUM($I$3:I24)</f>
        <v>744615.33333333454</v>
      </c>
      <c r="H24">
        <f t="shared" si="0"/>
        <v>484</v>
      </c>
      <c r="I24">
        <f t="shared" si="1"/>
        <v>122290.66666666683</v>
      </c>
      <c r="J24">
        <f t="shared" si="2"/>
        <v>234256</v>
      </c>
      <c r="K24" s="2">
        <f t="shared" si="3"/>
        <v>60.202768710790139</v>
      </c>
      <c r="L24" s="2">
        <f t="shared" si="4"/>
        <v>0.44827556127253965</v>
      </c>
      <c r="N24">
        <f t="shared" si="5"/>
        <v>277.16814036669933</v>
      </c>
      <c r="O24">
        <f t="shared" si="6"/>
        <v>24.501473700032335</v>
      </c>
      <c r="P24">
        <f t="shared" si="7"/>
        <v>600.32221347337622</v>
      </c>
    </row>
    <row r="25" spans="1:16" x14ac:dyDescent="0.25">
      <c r="A25">
        <v>23</v>
      </c>
      <c r="B25" s="9">
        <f>'הזנת נתונים'!A23</f>
        <v>263.66666666666703</v>
      </c>
      <c r="C25">
        <f>COUNT($B$3:B25)</f>
        <v>23</v>
      </c>
      <c r="D25">
        <f>SUM($B$3:B25)</f>
        <v>3289.333333333338</v>
      </c>
      <c r="E25">
        <f>SUM($J$3:J25)</f>
        <v>1431244</v>
      </c>
      <c r="F25">
        <f>SUM($H$3:H25)</f>
        <v>4324</v>
      </c>
      <c r="G25">
        <f>SUM($I$3:I25)</f>
        <v>884095.0000000014</v>
      </c>
      <c r="H25">
        <f t="shared" si="0"/>
        <v>529</v>
      </c>
      <c r="I25">
        <f t="shared" si="1"/>
        <v>139479.66666666686</v>
      </c>
      <c r="J25">
        <f t="shared" si="2"/>
        <v>279841</v>
      </c>
      <c r="K25" s="2">
        <f t="shared" si="3"/>
        <v>62.229958447349794</v>
      </c>
      <c r="L25" s="2">
        <f t="shared" si="4"/>
        <v>0.42970496971422129</v>
      </c>
      <c r="N25">
        <f t="shared" si="5"/>
        <v>289.54388742617289</v>
      </c>
      <c r="O25">
        <f t="shared" si="6"/>
        <v>25.87722075950586</v>
      </c>
      <c r="P25">
        <f t="shared" si="7"/>
        <v>669.63055423620108</v>
      </c>
    </row>
    <row r="26" spans="1:16" x14ac:dyDescent="0.25">
      <c r="A26">
        <v>24</v>
      </c>
      <c r="B26" s="9">
        <f>'הזנת נתונים'!A24</f>
        <v>274.66666666666703</v>
      </c>
      <c r="C26">
        <f>COUNT($B$3:B26)</f>
        <v>24</v>
      </c>
      <c r="D26">
        <f>SUM($B$3:B26)</f>
        <v>3564.000000000005</v>
      </c>
      <c r="E26">
        <f>SUM($J$3:J26)</f>
        <v>1763020</v>
      </c>
      <c r="F26">
        <f>SUM($H$3:H26)</f>
        <v>4900</v>
      </c>
      <c r="G26">
        <f>SUM($I$3:I26)</f>
        <v>1042303.0000000016</v>
      </c>
      <c r="H26">
        <f t="shared" si="0"/>
        <v>576</v>
      </c>
      <c r="I26">
        <f t="shared" si="1"/>
        <v>158208.0000000002</v>
      </c>
      <c r="J26">
        <f t="shared" si="2"/>
        <v>331776</v>
      </c>
      <c r="K26" s="2">
        <f t="shared" si="3"/>
        <v>64.260066395373826</v>
      </c>
      <c r="L26" s="2">
        <f t="shared" si="4"/>
        <v>0.41260375643082309</v>
      </c>
      <c r="N26">
        <f t="shared" si="5"/>
        <v>301.91983009952793</v>
      </c>
      <c r="O26">
        <f t="shared" si="6"/>
        <v>27.253163432860902</v>
      </c>
      <c r="P26">
        <f t="shared" si="7"/>
        <v>742.73491709822656</v>
      </c>
    </row>
    <row r="27" spans="1:16" x14ac:dyDescent="0.25">
      <c r="A27">
        <v>25</v>
      </c>
      <c r="B27" s="9">
        <f>'הזנת נתונים'!A25</f>
        <v>285.66666666666799</v>
      </c>
      <c r="C27">
        <f>COUNT($B$3:B27)</f>
        <v>25</v>
      </c>
      <c r="D27">
        <f>SUM($B$3:B27)</f>
        <v>3849.6666666666729</v>
      </c>
      <c r="E27">
        <f>SUM($J$3:J27)</f>
        <v>2153645</v>
      </c>
      <c r="F27">
        <f>SUM($H$3:H27)</f>
        <v>5525</v>
      </c>
      <c r="G27">
        <f>SUM($I$3:I27)</f>
        <v>1220844.6666666691</v>
      </c>
      <c r="H27">
        <f t="shared" si="0"/>
        <v>625</v>
      </c>
      <c r="I27">
        <f t="shared" si="1"/>
        <v>178541.6666666675</v>
      </c>
      <c r="J27">
        <f t="shared" si="2"/>
        <v>390625</v>
      </c>
      <c r="K27" s="2">
        <f t="shared" si="3"/>
        <v>66.292748815165893</v>
      </c>
      <c r="L27" s="2">
        <f t="shared" si="4"/>
        <v>0.39680505815158834</v>
      </c>
      <c r="N27">
        <f t="shared" si="5"/>
        <v>314.2959101599086</v>
      </c>
      <c r="O27">
        <f t="shared" si="6"/>
        <v>28.629243493240608</v>
      </c>
      <c r="P27">
        <f t="shared" si="7"/>
        <v>819.63358299525964</v>
      </c>
    </row>
    <row r="28" spans="1:16" x14ac:dyDescent="0.25">
      <c r="A28">
        <v>26</v>
      </c>
      <c r="B28" s="9">
        <f>'הזנת נתונים'!A26</f>
        <v>296.66666666666799</v>
      </c>
      <c r="C28">
        <f>COUNT($B$3:B28)</f>
        <v>26</v>
      </c>
      <c r="D28">
        <f>SUM($B$3:B28)</f>
        <v>4146.3333333333412</v>
      </c>
      <c r="E28">
        <f>SUM($J$3:J28)</f>
        <v>2610621</v>
      </c>
      <c r="F28">
        <f>SUM($H$3:H28)</f>
        <v>6201</v>
      </c>
      <c r="G28">
        <f>SUM($I$3:I28)</f>
        <v>1421391.3333333367</v>
      </c>
      <c r="H28">
        <f t="shared" si="0"/>
        <v>676</v>
      </c>
      <c r="I28">
        <f t="shared" si="1"/>
        <v>200546.66666666756</v>
      </c>
      <c r="J28">
        <f t="shared" si="2"/>
        <v>456976</v>
      </c>
      <c r="K28" s="2">
        <f t="shared" si="3"/>
        <v>68.327713382507895</v>
      </c>
      <c r="L28" s="2">
        <f t="shared" si="4"/>
        <v>0.38216622889665153</v>
      </c>
      <c r="N28">
        <f t="shared" si="5"/>
        <v>326.67208411664433</v>
      </c>
      <c r="O28">
        <f t="shared" si="6"/>
        <v>30.005417449976335</v>
      </c>
      <c r="P28">
        <f t="shared" si="7"/>
        <v>900.32507634734429</v>
      </c>
    </row>
    <row r="29" spans="1:16" x14ac:dyDescent="0.25">
      <c r="A29">
        <v>27</v>
      </c>
      <c r="B29" s="9">
        <f>'הזנת נתונים'!A27</f>
        <v>307.66666666666799</v>
      </c>
      <c r="C29">
        <f>COUNT($B$3:B29)</f>
        <v>27</v>
      </c>
      <c r="D29">
        <f>SUM($B$3:B29)</f>
        <v>4454.0000000000091</v>
      </c>
      <c r="E29">
        <f>SUM($J$3:J29)</f>
        <v>3142062</v>
      </c>
      <c r="F29">
        <f>SUM($H$3:H29)</f>
        <v>6930</v>
      </c>
      <c r="G29">
        <f>SUM($I$3:I29)</f>
        <v>1645680.3333333377</v>
      </c>
      <c r="H29">
        <f t="shared" si="0"/>
        <v>729</v>
      </c>
      <c r="I29">
        <f t="shared" si="1"/>
        <v>224289.00000000096</v>
      </c>
      <c r="J29">
        <f t="shared" si="2"/>
        <v>531441</v>
      </c>
      <c r="K29" s="2">
        <f t="shared" si="3"/>
        <v>70.364710016692342</v>
      </c>
      <c r="L29" s="2">
        <f t="shared" si="4"/>
        <v>0.36856462186858813</v>
      </c>
      <c r="N29">
        <f t="shared" si="5"/>
        <v>339.04831935889308</v>
      </c>
      <c r="O29">
        <f t="shared" si="6"/>
        <v>31.381652692225089</v>
      </c>
      <c r="P29">
        <f t="shared" si="7"/>
        <v>984.80812569543821</v>
      </c>
    </row>
    <row r="30" spans="1:16" x14ac:dyDescent="0.25">
      <c r="A30">
        <v>28</v>
      </c>
      <c r="B30" s="9">
        <f>'הזנת נתונים'!A28</f>
        <v>318.66666666666799</v>
      </c>
      <c r="C30">
        <f>COUNT($B$3:B30)</f>
        <v>28</v>
      </c>
      <c r="D30">
        <f>SUM($B$3:B30)</f>
        <v>4772.666666666677</v>
      </c>
      <c r="E30">
        <f>SUM($J$3:J30)</f>
        <v>3756718</v>
      </c>
      <c r="F30">
        <f>SUM($H$3:H30)</f>
        <v>7714</v>
      </c>
      <c r="G30">
        <f>SUM($I$3:I30)</f>
        <v>1895515.0000000054</v>
      </c>
      <c r="H30">
        <f t="shared" si="0"/>
        <v>784</v>
      </c>
      <c r="I30">
        <f t="shared" si="1"/>
        <v>249834.6666666677</v>
      </c>
      <c r="J30">
        <f t="shared" si="2"/>
        <v>614656</v>
      </c>
      <c r="K30" s="2">
        <f t="shared" si="3"/>
        <v>72.403523584374597</v>
      </c>
      <c r="L30" s="2">
        <f t="shared" si="4"/>
        <v>0.3558942191216215</v>
      </c>
      <c r="N30">
        <f t="shared" si="5"/>
        <v>351.42459137572587</v>
      </c>
      <c r="O30">
        <f t="shared" si="6"/>
        <v>32.757924709057875</v>
      </c>
      <c r="P30">
        <f t="shared" si="7"/>
        <v>1073.0816312443044</v>
      </c>
    </row>
    <row r="31" spans="1:16" x14ac:dyDescent="0.25">
      <c r="A31">
        <v>29</v>
      </c>
      <c r="B31" s="9">
        <f>'הזנת נתונים'!A29</f>
        <v>329.66666666666799</v>
      </c>
      <c r="C31">
        <f>COUNT($B$3:B31)</f>
        <v>29</v>
      </c>
      <c r="D31">
        <f>SUM($B$3:B31)</f>
        <v>5102.3333333333449</v>
      </c>
      <c r="E31">
        <f>SUM($J$3:J31)</f>
        <v>4463999</v>
      </c>
      <c r="F31">
        <f>SUM($H$3:H31)</f>
        <v>8555</v>
      </c>
      <c r="G31">
        <f>SUM($I$3:I31)</f>
        <v>2172764.666666673</v>
      </c>
      <c r="H31">
        <f t="shared" si="0"/>
        <v>841</v>
      </c>
      <c r="I31">
        <f t="shared" si="1"/>
        <v>277249.66666666779</v>
      </c>
      <c r="J31">
        <f t="shared" si="2"/>
        <v>707281</v>
      </c>
      <c r="K31" s="2">
        <f t="shared" si="3"/>
        <v>74.443968051247737</v>
      </c>
      <c r="L31" s="2">
        <f t="shared" si="4"/>
        <v>0.34406291757418594</v>
      </c>
      <c r="N31">
        <f t="shared" si="5"/>
        <v>363.80088173113813</v>
      </c>
      <c r="O31">
        <f t="shared" si="6"/>
        <v>34.134215064470141</v>
      </c>
      <c r="P31">
        <f t="shared" si="7"/>
        <v>1165.1446380675002</v>
      </c>
    </row>
    <row r="32" spans="1:16" x14ac:dyDescent="0.25">
      <c r="A32">
        <v>30</v>
      </c>
      <c r="B32" s="9">
        <f>'הזנת נתונים'!A30</f>
        <v>340.66666666666799</v>
      </c>
      <c r="C32">
        <f>COUNT($B$3:B32)</f>
        <v>30</v>
      </c>
      <c r="D32">
        <f>SUM($B$3:B32)</f>
        <v>5443.0000000000127</v>
      </c>
      <c r="E32">
        <f>SUM($J$3:J32)</f>
        <v>5273999</v>
      </c>
      <c r="F32">
        <f>SUM($H$3:H32)</f>
        <v>9455</v>
      </c>
      <c r="G32">
        <f>SUM($I$3:I32)</f>
        <v>2479364.6666666744</v>
      </c>
      <c r="H32">
        <f t="shared" si="0"/>
        <v>900</v>
      </c>
      <c r="I32">
        <f t="shared" si="1"/>
        <v>306600.00000000122</v>
      </c>
      <c r="J32">
        <f t="shared" si="2"/>
        <v>810000</v>
      </c>
      <c r="K32" s="2">
        <f t="shared" si="3"/>
        <v>76.485881760314939</v>
      </c>
      <c r="L32" s="2">
        <f t="shared" si="4"/>
        <v>0.33299032757171493</v>
      </c>
      <c r="N32">
        <f t="shared" si="5"/>
        <v>376.17717657485838</v>
      </c>
      <c r="O32">
        <f t="shared" si="6"/>
        <v>35.510509908190386</v>
      </c>
      <c r="P32">
        <f t="shared" si="7"/>
        <v>1260.9963139396875</v>
      </c>
    </row>
    <row r="33" spans="1:16" x14ac:dyDescent="0.25">
      <c r="A33">
        <v>31</v>
      </c>
      <c r="B33" s="9">
        <f>'הזנת נתונים'!A31</f>
        <v>351.66666666666799</v>
      </c>
      <c r="C33">
        <f>COUNT($B$3:B33)</f>
        <v>31</v>
      </c>
      <c r="D33">
        <f>SUM($B$3:B33)</f>
        <v>5794.6666666666806</v>
      </c>
      <c r="E33">
        <f>SUM($J$3:J33)</f>
        <v>6197520</v>
      </c>
      <c r="F33">
        <f>SUM($H$3:H33)</f>
        <v>10416</v>
      </c>
      <c r="G33">
        <f>SUM($I$3:I33)</f>
        <v>2817316.3333333423</v>
      </c>
      <c r="H33">
        <f t="shared" si="0"/>
        <v>961</v>
      </c>
      <c r="I33">
        <f t="shared" si="1"/>
        <v>337951.66666666797</v>
      </c>
      <c r="J33">
        <f t="shared" si="2"/>
        <v>923521</v>
      </c>
      <c r="K33" s="2">
        <f t="shared" si="3"/>
        <v>78.529123593639625</v>
      </c>
      <c r="L33" s="2">
        <f t="shared" si="4"/>
        <v>0.32260597496772775</v>
      </c>
      <c r="N33">
        <f t="shared" si="5"/>
        <v>388.55346553762598</v>
      </c>
      <c r="O33">
        <f t="shared" si="6"/>
        <v>36.886798870957989</v>
      </c>
      <c r="P33">
        <f t="shared" si="7"/>
        <v>1360.6359309465076</v>
      </c>
    </row>
    <row r="34" spans="1:16" x14ac:dyDescent="0.25">
      <c r="A34">
        <v>32</v>
      </c>
      <c r="B34" s="9">
        <f>'הזנת נתונים'!A32</f>
        <v>362.66666666666799</v>
      </c>
      <c r="C34">
        <f>COUNT($B$3:B34)</f>
        <v>32</v>
      </c>
      <c r="D34">
        <f>SUM($B$3:B34)</f>
        <v>6157.3333333333485</v>
      </c>
      <c r="E34">
        <f>SUM($J$3:J34)</f>
        <v>7246096</v>
      </c>
      <c r="F34">
        <f>SUM($H$3:H34)</f>
        <v>11440</v>
      </c>
      <c r="G34">
        <f>SUM($I$3:I34)</f>
        <v>3188687.0000000102</v>
      </c>
      <c r="H34">
        <f t="shared" si="0"/>
        <v>1024</v>
      </c>
      <c r="I34">
        <f t="shared" si="1"/>
        <v>371370.66666666802</v>
      </c>
      <c r="J34">
        <f t="shared" si="2"/>
        <v>1048576</v>
      </c>
      <c r="K34" s="2">
        <f t="shared" si="3"/>
        <v>80.573569832064678</v>
      </c>
      <c r="L34" s="2">
        <f t="shared" si="4"/>
        <v>0.3128478233135733</v>
      </c>
      <c r="N34">
        <f t="shared" si="5"/>
        <v>400.92974090516373</v>
      </c>
      <c r="O34">
        <f t="shared" si="6"/>
        <v>38.263074238495733</v>
      </c>
      <c r="P34">
        <f t="shared" si="7"/>
        <v>1464.0628501806359</v>
      </c>
    </row>
    <row r="35" spans="1:16" x14ac:dyDescent="0.25">
      <c r="A35">
        <v>33</v>
      </c>
      <c r="B35" s="9">
        <f>'הזנת נתונים'!A33</f>
        <v>373.66666666666799</v>
      </c>
      <c r="C35">
        <f>COUNT($B$3:B35)</f>
        <v>33</v>
      </c>
      <c r="D35">
        <f>SUM($B$3:B35)</f>
        <v>6531.0000000000164</v>
      </c>
      <c r="E35">
        <f>SUM($J$3:J35)</f>
        <v>8432017</v>
      </c>
      <c r="F35">
        <f>SUM($H$3:H35)</f>
        <v>12529</v>
      </c>
      <c r="G35">
        <f>SUM($I$3:I35)</f>
        <v>3595610.0000000116</v>
      </c>
      <c r="H35">
        <f t="shared" si="0"/>
        <v>1089</v>
      </c>
      <c r="I35">
        <f t="shared" si="1"/>
        <v>406923.00000000146</v>
      </c>
      <c r="J35">
        <f t="shared" si="2"/>
        <v>1185921</v>
      </c>
      <c r="K35" s="2">
        <f t="shared" si="3"/>
        <v>82.619111570247881</v>
      </c>
      <c r="L35" s="2">
        <f t="shared" si="4"/>
        <v>0.30366105181433767</v>
      </c>
      <c r="N35">
        <f t="shared" si="5"/>
        <v>413.30599699606159</v>
      </c>
      <c r="O35">
        <f t="shared" si="6"/>
        <v>39.639330329393601</v>
      </c>
      <c r="P35">
        <f t="shared" si="7"/>
        <v>1571.2765089627835</v>
      </c>
    </row>
    <row r="36" spans="1:16" x14ac:dyDescent="0.25">
      <c r="A36">
        <v>34</v>
      </c>
      <c r="B36" s="9">
        <f>'הזנת נתונים'!A34</f>
        <v>384.66666666666799</v>
      </c>
      <c r="C36">
        <f>COUNT($B$3:B36)</f>
        <v>34</v>
      </c>
      <c r="D36">
        <f>SUM($B$3:B36)</f>
        <v>6915.6666666666843</v>
      </c>
      <c r="E36">
        <f>SUM($J$3:J36)</f>
        <v>9768353</v>
      </c>
      <c r="F36">
        <f>SUM($H$3:H36)</f>
        <v>13685</v>
      </c>
      <c r="G36">
        <f>SUM($I$3:I36)</f>
        <v>4040284.66666668</v>
      </c>
      <c r="H36">
        <f t="shared" si="0"/>
        <v>1156</v>
      </c>
      <c r="I36">
        <f t="shared" si="1"/>
        <v>444674.6666666682</v>
      </c>
      <c r="J36">
        <f t="shared" si="2"/>
        <v>1336336</v>
      </c>
      <c r="K36" s="2">
        <f t="shared" ref="K36:K62" si="8">(D36-L36*F36)/(C36)</f>
        <v>84.66565257648179</v>
      </c>
      <c r="L36" s="2">
        <f t="shared" si="4"/>
        <v>0.2949970390256707</v>
      </c>
      <c r="N36">
        <f t="shared" si="5"/>
        <v>425.6822296901571</v>
      </c>
      <c r="O36">
        <f t="shared" si="6"/>
        <v>41.015563023489108</v>
      </c>
      <c r="P36">
        <f t="shared" si="7"/>
        <v>1682.2764101338068</v>
      </c>
    </row>
    <row r="37" spans="1:16" x14ac:dyDescent="0.25">
      <c r="A37">
        <v>35</v>
      </c>
      <c r="B37" s="9">
        <f>'הזנת נתונים'!A35</f>
        <v>395.66666666666799</v>
      </c>
      <c r="C37">
        <f>COUNT($B$3:B37)</f>
        <v>35</v>
      </c>
      <c r="D37">
        <f>SUM($B$3:B37)</f>
        <v>7311.3333333333521</v>
      </c>
      <c r="E37">
        <f>SUM($J$3:J37)</f>
        <v>11268978</v>
      </c>
      <c r="F37">
        <f>SUM($H$3:H37)</f>
        <v>14910</v>
      </c>
      <c r="G37">
        <f>SUM($I$3:I37)</f>
        <v>4524976.3333333479</v>
      </c>
      <c r="H37">
        <f t="shared" si="0"/>
        <v>1225</v>
      </c>
      <c r="I37">
        <f t="shared" si="1"/>
        <v>484691.66666666832</v>
      </c>
      <c r="J37">
        <f t="shared" si="2"/>
        <v>1500625</v>
      </c>
      <c r="K37" s="2">
        <f t="shared" si="8"/>
        <v>86.713107511045664</v>
      </c>
      <c r="L37" s="2">
        <f t="shared" si="4"/>
        <v>0.2868125131084342</v>
      </c>
      <c r="N37">
        <f t="shared" si="5"/>
        <v>438.0584360688776</v>
      </c>
      <c r="O37">
        <f t="shared" si="6"/>
        <v>42.391769402209604</v>
      </c>
      <c r="P37">
        <f t="shared" si="7"/>
        <v>1797.0621130501145</v>
      </c>
    </row>
    <row r="38" spans="1:16" x14ac:dyDescent="0.25">
      <c r="A38">
        <v>36</v>
      </c>
      <c r="B38" s="9">
        <f>'הזנת נתונים'!A36</f>
        <v>406.66666666666799</v>
      </c>
      <c r="C38">
        <f>COUNT($B$3:B38)</f>
        <v>36</v>
      </c>
      <c r="D38">
        <f>SUM($B$3:B38)</f>
        <v>7718.00000000002</v>
      </c>
      <c r="E38">
        <f>SUM($J$3:J38)</f>
        <v>12948594</v>
      </c>
      <c r="F38">
        <f>SUM($H$3:H38)</f>
        <v>16206</v>
      </c>
      <c r="G38">
        <f>SUM($I$3:I38)</f>
        <v>5052016.3333333498</v>
      </c>
      <c r="H38">
        <f t="shared" si="0"/>
        <v>1296</v>
      </c>
      <c r="I38">
        <f t="shared" si="1"/>
        <v>527040.00000000175</v>
      </c>
      <c r="J38">
        <f t="shared" si="2"/>
        <v>1679616</v>
      </c>
      <c r="K38" s="2">
        <f t="shared" si="8"/>
        <v>88.761400435313433</v>
      </c>
      <c r="L38" s="2">
        <f t="shared" si="4"/>
        <v>0.27906883773471158</v>
      </c>
      <c r="N38">
        <f t="shared" si="5"/>
        <v>450.43461413949962</v>
      </c>
      <c r="O38">
        <f t="shared" si="6"/>
        <v>43.767947472831622</v>
      </c>
      <c r="P38">
        <f t="shared" si="7"/>
        <v>1915.6332259845481</v>
      </c>
    </row>
    <row r="39" spans="1:16" x14ac:dyDescent="0.25">
      <c r="A39">
        <v>37</v>
      </c>
      <c r="B39" s="9">
        <f>'הזנת נתונים'!A37</f>
        <v>417.66666666666799</v>
      </c>
      <c r="C39">
        <f>COUNT($B$3:B39)</f>
        <v>37</v>
      </c>
      <c r="D39">
        <f>SUM($B$3:B39)</f>
        <v>8135.6666666666879</v>
      </c>
      <c r="E39">
        <f>SUM($J$3:J39)</f>
        <v>14822755</v>
      </c>
      <c r="F39">
        <f>SUM($H$3:H39)</f>
        <v>17575</v>
      </c>
      <c r="G39">
        <f>SUM($I$3:I39)</f>
        <v>5623802.0000000186</v>
      </c>
      <c r="H39">
        <f t="shared" si="0"/>
        <v>1369</v>
      </c>
      <c r="I39">
        <f t="shared" si="1"/>
        <v>571785.66666666849</v>
      </c>
      <c r="J39">
        <f t="shared" si="2"/>
        <v>1874161</v>
      </c>
      <c r="K39" s="2">
        <f t="shared" si="8"/>
        <v>90.810463558020516</v>
      </c>
      <c r="L39" s="2">
        <f t="shared" si="4"/>
        <v>0.27173140910497462</v>
      </c>
      <c r="N39">
        <f t="shared" si="5"/>
        <v>462.81076262273075</v>
      </c>
      <c r="O39">
        <f t="shared" si="6"/>
        <v>45.144095956062756</v>
      </c>
      <c r="P39">
        <f t="shared" si="7"/>
        <v>2037.9893996902017</v>
      </c>
    </row>
    <row r="40" spans="1:16" x14ac:dyDescent="0.25">
      <c r="A40">
        <v>38</v>
      </c>
      <c r="B40" s="9">
        <f>'הזנת נתונים'!A38</f>
        <v>428.66666666666902</v>
      </c>
      <c r="C40">
        <f>COUNT($B$3:B40)</f>
        <v>38</v>
      </c>
      <c r="D40">
        <f>SUM($B$3:B40)</f>
        <v>8564.3333333333576</v>
      </c>
      <c r="E40">
        <f>SUM($J$3:J40)</f>
        <v>16907891</v>
      </c>
      <c r="F40">
        <f>SUM($H$3:H40)</f>
        <v>19019</v>
      </c>
      <c r="G40">
        <f>SUM($I$3:I40)</f>
        <v>6242796.6666666884</v>
      </c>
      <c r="H40">
        <f t="shared" si="0"/>
        <v>1444</v>
      </c>
      <c r="I40">
        <f t="shared" si="1"/>
        <v>618994.66666667</v>
      </c>
      <c r="J40">
        <f t="shared" si="2"/>
        <v>2085136</v>
      </c>
      <c r="K40" s="2">
        <f t="shared" si="8"/>
        <v>92.86023617602568</v>
      </c>
      <c r="L40" s="2">
        <f t="shared" si="4"/>
        <v>0.26476914446839384</v>
      </c>
      <c r="N40">
        <f t="shared" si="5"/>
        <v>475.18688078838642</v>
      </c>
      <c r="O40">
        <f t="shared" si="6"/>
        <v>46.520214121717402</v>
      </c>
      <c r="P40">
        <f t="shared" si="7"/>
        <v>2164.130321930435</v>
      </c>
    </row>
    <row r="41" spans="1:16" x14ac:dyDescent="0.25">
      <c r="A41">
        <v>39</v>
      </c>
      <c r="B41" s="9">
        <f>'הזנת נתונים'!A39</f>
        <v>439.66666666666902</v>
      </c>
      <c r="C41">
        <f>COUNT($B$3:B41)</f>
        <v>39</v>
      </c>
      <c r="D41">
        <f>SUM($B$3:B41)</f>
        <v>9004.0000000000273</v>
      </c>
      <c r="E41">
        <f>SUM($J$3:J41)</f>
        <v>19221332</v>
      </c>
      <c r="F41">
        <f>SUM($H$3:H41)</f>
        <v>20540</v>
      </c>
      <c r="G41">
        <f>SUM($I$3:I41)</f>
        <v>6911529.6666666921</v>
      </c>
      <c r="H41">
        <f t="shared" si="0"/>
        <v>1521</v>
      </c>
      <c r="I41">
        <f t="shared" si="1"/>
        <v>668733.00000000361</v>
      </c>
      <c r="J41">
        <f t="shared" si="2"/>
        <v>2313441</v>
      </c>
      <c r="K41" s="2">
        <f t="shared" si="8"/>
        <v>94.910663775418541</v>
      </c>
      <c r="L41" s="2">
        <f t="shared" si="4"/>
        <v>0.25815404638552603</v>
      </c>
      <c r="N41">
        <f t="shared" si="5"/>
        <v>487.56296832780362</v>
      </c>
      <c r="O41">
        <f t="shared" si="6"/>
        <v>47.896301661134601</v>
      </c>
      <c r="P41">
        <f t="shared" si="7"/>
        <v>2294.0557128144051</v>
      </c>
    </row>
    <row r="42" spans="1:16" x14ac:dyDescent="0.25">
      <c r="A42">
        <v>40</v>
      </c>
      <c r="B42" s="9">
        <f>'הזנת נתונים'!A40</f>
        <v>450.66666666666902</v>
      </c>
      <c r="C42">
        <f>COUNT($B$3:B42)</f>
        <v>40</v>
      </c>
      <c r="D42">
        <f>SUM($B$3:B42)</f>
        <v>9454.666666666697</v>
      </c>
      <c r="E42">
        <f>SUM($J$3:J42)</f>
        <v>21781332</v>
      </c>
      <c r="F42">
        <f>SUM($H$3:H42)</f>
        <v>22140</v>
      </c>
      <c r="G42">
        <f>SUM($I$3:I42)</f>
        <v>7632596.3333333628</v>
      </c>
      <c r="H42">
        <f t="shared" si="0"/>
        <v>1600</v>
      </c>
      <c r="I42">
        <f t="shared" si="1"/>
        <v>721066.66666667047</v>
      </c>
      <c r="J42">
        <f t="shared" si="2"/>
        <v>2560000</v>
      </c>
      <c r="K42" s="2">
        <f t="shared" si="8"/>
        <v>96.961697265473759</v>
      </c>
      <c r="L42" s="2">
        <f t="shared" si="4"/>
        <v>0.25186082999312315</v>
      </c>
      <c r="N42">
        <f t="shared" si="5"/>
        <v>499.93902525447083</v>
      </c>
      <c r="O42">
        <f t="shared" si="6"/>
        <v>49.272358587801818</v>
      </c>
      <c r="P42">
        <f t="shared" si="7"/>
        <v>2427.7653208049278</v>
      </c>
    </row>
    <row r="43" spans="1:16" x14ac:dyDescent="0.25">
      <c r="A43">
        <v>41</v>
      </c>
      <c r="B43" s="9">
        <f>'הזנת נתונים'!A41</f>
        <v>461.66666666666902</v>
      </c>
      <c r="C43">
        <f>COUNT($B$3:B43)</f>
        <v>41</v>
      </c>
      <c r="D43">
        <f>SUM($B$3:B43)</f>
        <v>9916.3333333333667</v>
      </c>
      <c r="E43">
        <f>SUM($J$3:J43)</f>
        <v>24607093</v>
      </c>
      <c r="F43">
        <f>SUM($H$3:H43)</f>
        <v>23821</v>
      </c>
      <c r="G43">
        <f>SUM($I$3:I43)</f>
        <v>8408658.0000000335</v>
      </c>
      <c r="H43">
        <f t="shared" si="0"/>
        <v>1681</v>
      </c>
      <c r="I43">
        <f t="shared" si="1"/>
        <v>776061.66666667059</v>
      </c>
      <c r="J43">
        <f t="shared" si="2"/>
        <v>2825761</v>
      </c>
      <c r="K43" s="2">
        <f t="shared" si="8"/>
        <v>99.01329232318875</v>
      </c>
      <c r="L43" s="2">
        <f t="shared" si="4"/>
        <v>0.24586660291686444</v>
      </c>
      <c r="N43">
        <f t="shared" si="5"/>
        <v>512.31505182643787</v>
      </c>
      <c r="O43">
        <f t="shared" si="6"/>
        <v>50.64838515976885</v>
      </c>
      <c r="P43">
        <f t="shared" si="7"/>
        <v>2565.2589192922933</v>
      </c>
    </row>
    <row r="44" spans="1:16" x14ac:dyDescent="0.25">
      <c r="A44">
        <v>42</v>
      </c>
      <c r="B44" s="9">
        <f>'הזנת נתונים'!A42</f>
        <v>472.66666666666902</v>
      </c>
      <c r="C44">
        <f>COUNT($B$3:B44)</f>
        <v>42</v>
      </c>
      <c r="D44">
        <f>SUM($B$3:B44)</f>
        <v>10389.000000000036</v>
      </c>
      <c r="E44">
        <f>SUM($J$3:J44)</f>
        <v>27718789</v>
      </c>
      <c r="F44">
        <f>SUM($H$3:H44)</f>
        <v>25585</v>
      </c>
      <c r="G44">
        <f>SUM($I$3:I44)</f>
        <v>9242442.0000000373</v>
      </c>
      <c r="H44">
        <f t="shared" si="0"/>
        <v>1764</v>
      </c>
      <c r="I44">
        <f t="shared" si="1"/>
        <v>833784.00000000419</v>
      </c>
      <c r="J44">
        <f t="shared" si="2"/>
        <v>3111696</v>
      </c>
      <c r="K44" s="2">
        <f t="shared" si="8"/>
        <v>101.06540883029263</v>
      </c>
      <c r="L44" s="2">
        <f t="shared" si="4"/>
        <v>0.24015058937376377</v>
      </c>
      <c r="N44">
        <f t="shared" si="5"/>
        <v>524.69104848561187</v>
      </c>
      <c r="O44">
        <f t="shared" si="6"/>
        <v>52.024381818942857</v>
      </c>
      <c r="P44">
        <f t="shared" si="7"/>
        <v>2706.5363036431522</v>
      </c>
    </row>
    <row r="45" spans="1:16" x14ac:dyDescent="0.25">
      <c r="A45">
        <v>43</v>
      </c>
      <c r="B45" s="9">
        <f>'הזנת נתונים'!A43</f>
        <v>483.66666666666902</v>
      </c>
      <c r="C45">
        <f>COUNT($B$3:B45)</f>
        <v>43</v>
      </c>
      <c r="D45">
        <f>SUM($B$3:B45)</f>
        <v>10872.666666666706</v>
      </c>
      <c r="E45">
        <f>SUM($J$3:J45)</f>
        <v>31137590</v>
      </c>
      <c r="F45">
        <f>SUM($H$3:H45)</f>
        <v>27434</v>
      </c>
      <c r="G45">
        <f>SUM($I$3:I45)</f>
        <v>10136741.666666709</v>
      </c>
      <c r="H45">
        <f t="shared" si="0"/>
        <v>1849</v>
      </c>
      <c r="I45">
        <f t="shared" si="1"/>
        <v>894299.66666667105</v>
      </c>
      <c r="J45">
        <f t="shared" si="2"/>
        <v>3418801</v>
      </c>
      <c r="K45" s="2">
        <f t="shared" si="8"/>
        <v>103.11801038790894</v>
      </c>
      <c r="L45" s="2">
        <f t="shared" si="4"/>
        <v>0.23469389152098205</v>
      </c>
      <c r="N45">
        <f t="shared" si="5"/>
        <v>537.06701581020468</v>
      </c>
      <c r="O45">
        <f t="shared" si="6"/>
        <v>53.400349143535664</v>
      </c>
      <c r="P45">
        <f t="shared" si="7"/>
        <v>2851.5972886515101</v>
      </c>
    </row>
    <row r="46" spans="1:16" x14ac:dyDescent="0.25">
      <c r="A46">
        <v>44</v>
      </c>
      <c r="B46" s="9">
        <f>'הזנת נתונים'!A44</f>
        <v>494.66666666666902</v>
      </c>
      <c r="C46">
        <f>COUNT($B$3:B46)</f>
        <v>44</v>
      </c>
      <c r="D46">
        <f>SUM($B$3:B46)</f>
        <v>11367.333333333376</v>
      </c>
      <c r="E46">
        <f>SUM($J$3:J46)</f>
        <v>34885686</v>
      </c>
      <c r="F46">
        <f>SUM($H$3:H46)</f>
        <v>29370</v>
      </c>
      <c r="G46">
        <f>SUM($I$3:I46)</f>
        <v>11094416.333333381</v>
      </c>
      <c r="H46">
        <f t="shared" si="0"/>
        <v>1936</v>
      </c>
      <c r="I46">
        <f t="shared" si="1"/>
        <v>957674.66666667117</v>
      </c>
      <c r="J46">
        <f t="shared" si="2"/>
        <v>3748096</v>
      </c>
      <c r="K46" s="2">
        <f t="shared" si="8"/>
        <v>105.17106389670306</v>
      </c>
      <c r="L46" s="2">
        <f t="shared" si="4"/>
        <v>0.22947928232476816</v>
      </c>
      <c r="N46">
        <f t="shared" si="5"/>
        <v>549.44295447745424</v>
      </c>
      <c r="O46">
        <f t="shared" si="6"/>
        <v>54.77628781078522</v>
      </c>
      <c r="P46">
        <f t="shared" si="7"/>
        <v>3000.4417063299775</v>
      </c>
    </row>
    <row r="47" spans="1:16" x14ac:dyDescent="0.25">
      <c r="A47">
        <v>45</v>
      </c>
      <c r="B47" s="9">
        <f>'הזנת נתונים'!A45</f>
        <v>505.66666666666799</v>
      </c>
      <c r="C47">
        <f>COUNT($B$3:B47)</f>
        <v>45</v>
      </c>
      <c r="D47">
        <f>SUM($B$3:B47)</f>
        <v>11873.000000000044</v>
      </c>
      <c r="E47">
        <f>SUM($J$3:J47)</f>
        <v>38986311</v>
      </c>
      <c r="F47">
        <f>SUM($H$3:H47)</f>
        <v>31395</v>
      </c>
      <c r="G47">
        <f>SUM($I$3:I47)</f>
        <v>12118391.333333382</v>
      </c>
      <c r="H47">
        <f t="shared" si="0"/>
        <v>2025</v>
      </c>
      <c r="I47">
        <f t="shared" si="1"/>
        <v>1023975.0000000027</v>
      </c>
      <c r="J47">
        <f t="shared" si="2"/>
        <v>4100625</v>
      </c>
      <c r="K47" s="2">
        <f t="shared" si="8"/>
        <v>107.22453919246389</v>
      </c>
      <c r="L47" s="2">
        <f t="shared" si="4"/>
        <v>0.22449102520589803</v>
      </c>
      <c r="N47">
        <f t="shared" si="5"/>
        <v>561.81886523440744</v>
      </c>
      <c r="O47">
        <f t="shared" si="6"/>
        <v>56.152198567739447</v>
      </c>
      <c r="P47">
        <f t="shared" si="7"/>
        <v>3153.0694039908399</v>
      </c>
    </row>
    <row r="48" spans="1:16" x14ac:dyDescent="0.25">
      <c r="A48">
        <v>46</v>
      </c>
      <c r="B48" s="9">
        <f>'הזנת נתונים'!A46</f>
        <v>516.66666666666902</v>
      </c>
      <c r="C48">
        <f>COUNT($B$3:B48)</f>
        <v>46</v>
      </c>
      <c r="D48">
        <f>SUM($B$3:B48)</f>
        <v>12389.666666666713</v>
      </c>
      <c r="E48">
        <f>SUM($J$3:J48)</f>
        <v>43463767</v>
      </c>
      <c r="F48">
        <f>SUM($H$3:H48)</f>
        <v>33511</v>
      </c>
      <c r="G48">
        <f>SUM($I$3:I48)</f>
        <v>13211658.000000054</v>
      </c>
      <c r="H48">
        <f t="shared" si="0"/>
        <v>2116</v>
      </c>
      <c r="I48">
        <f t="shared" si="1"/>
        <v>1093266.6666666716</v>
      </c>
      <c r="J48">
        <f t="shared" si="2"/>
        <v>4477456</v>
      </c>
      <c r="K48" s="2">
        <f t="shared" si="8"/>
        <v>109.27840872879328</v>
      </c>
      <c r="L48" s="2">
        <f t="shared" si="4"/>
        <v>0.21971471651524044</v>
      </c>
      <c r="N48">
        <f t="shared" si="5"/>
        <v>574.19474887504202</v>
      </c>
      <c r="O48">
        <f t="shared" si="6"/>
        <v>57.528082208373007</v>
      </c>
      <c r="P48">
        <f t="shared" si="7"/>
        <v>3309.4802425733228</v>
      </c>
    </row>
    <row r="49" spans="1:16" x14ac:dyDescent="0.25">
      <c r="A49">
        <v>47</v>
      </c>
      <c r="B49" s="9">
        <f>'הזנת נתונים'!A47</f>
        <v>527.66666666666902</v>
      </c>
      <c r="C49">
        <f>COUNT($B$3:B49)</f>
        <v>47</v>
      </c>
      <c r="D49">
        <f>SUM($B$3:B49)</f>
        <v>12917.333333333383</v>
      </c>
      <c r="E49">
        <f>SUM($J$3:J49)</f>
        <v>48343448</v>
      </c>
      <c r="F49">
        <f>SUM($H$3:H49)</f>
        <v>35720</v>
      </c>
      <c r="G49">
        <f>SUM($I$3:I49)</f>
        <v>14377273.666666726</v>
      </c>
      <c r="H49">
        <f t="shared" si="0"/>
        <v>2209</v>
      </c>
      <c r="I49">
        <f t="shared" si="1"/>
        <v>1165615.6666666719</v>
      </c>
      <c r="J49">
        <f t="shared" si="2"/>
        <v>4879681</v>
      </c>
      <c r="K49" s="2">
        <f t="shared" si="8"/>
        <v>111.33264729996897</v>
      </c>
      <c r="L49" s="2">
        <f t="shared" si="4"/>
        <v>0.2151371475429687</v>
      </c>
      <c r="N49">
        <f t="shared" si="5"/>
        <v>586.5706062223868</v>
      </c>
      <c r="O49">
        <f t="shared" si="6"/>
        <v>58.903939555717784</v>
      </c>
      <c r="P49">
        <f t="shared" si="7"/>
        <v>3469.6740951836541</v>
      </c>
    </row>
    <row r="50" spans="1:16" x14ac:dyDescent="0.25">
      <c r="A50">
        <v>48</v>
      </c>
      <c r="B50" s="9">
        <f>'הזנת נתונים'!A48</f>
        <v>538.66666666666902</v>
      </c>
      <c r="C50">
        <f>COUNT($B$3:B50)</f>
        <v>48</v>
      </c>
      <c r="D50">
        <f>SUM($B$3:B50)</f>
        <v>13456.000000000053</v>
      </c>
      <c r="E50">
        <f>SUM($J$3:J50)</f>
        <v>53651864</v>
      </c>
      <c r="F50">
        <f>SUM($H$3:H50)</f>
        <v>38024</v>
      </c>
      <c r="G50">
        <f>SUM($I$3:I50)</f>
        <v>15618361.666666731</v>
      </c>
      <c r="H50">
        <f t="shared" si="0"/>
        <v>2304</v>
      </c>
      <c r="I50">
        <f t="shared" si="1"/>
        <v>1241088.0000000054</v>
      </c>
      <c r="J50">
        <f t="shared" si="2"/>
        <v>5308416</v>
      </c>
      <c r="K50" s="2">
        <f t="shared" si="8"/>
        <v>113.3872317981869</v>
      </c>
      <c r="L50" s="2">
        <f t="shared" si="4"/>
        <v>0.21074618329705139</v>
      </c>
      <c r="N50">
        <f t="shared" si="5"/>
        <v>598.94643811459332</v>
      </c>
      <c r="O50">
        <f t="shared" si="6"/>
        <v>60.279771447924304</v>
      </c>
      <c r="P50">
        <f t="shared" si="7"/>
        <v>3633.6508458139901</v>
      </c>
    </row>
    <row r="51" spans="1:16" x14ac:dyDescent="0.25">
      <c r="A51">
        <v>49</v>
      </c>
      <c r="B51" s="9">
        <f>'הזנת נתונים'!A49</f>
        <v>549.66666666666902</v>
      </c>
      <c r="C51">
        <f>COUNT($B$3:B51)</f>
        <v>49</v>
      </c>
      <c r="D51">
        <f>SUM($B$3:B51)</f>
        <v>14005.666666666722</v>
      </c>
      <c r="E51">
        <f>SUM($J$3:J51)</f>
        <v>59416665</v>
      </c>
      <c r="F51">
        <f>SUM($H$3:H51)</f>
        <v>40425</v>
      </c>
      <c r="G51">
        <f>SUM($I$3:I51)</f>
        <v>16938111.333333403</v>
      </c>
      <c r="H51">
        <f t="shared" si="0"/>
        <v>2401</v>
      </c>
      <c r="I51">
        <f t="shared" si="1"/>
        <v>1319749.6666666723</v>
      </c>
      <c r="J51">
        <f t="shared" si="2"/>
        <v>5764801</v>
      </c>
      <c r="K51" s="2">
        <f t="shared" si="8"/>
        <v>115.44214100032113</v>
      </c>
      <c r="L51" s="2">
        <f t="shared" si="4"/>
        <v>0.20653065572420498</v>
      </c>
      <c r="N51">
        <f t="shared" si="5"/>
        <v>611.32224539413733</v>
      </c>
      <c r="O51">
        <f t="shared" si="6"/>
        <v>61.65557872746831</v>
      </c>
      <c r="P51">
        <f t="shared" si="7"/>
        <v>3801.4103882190429</v>
      </c>
    </row>
    <row r="52" spans="1:16" x14ac:dyDescent="0.25">
      <c r="A52">
        <v>50</v>
      </c>
      <c r="B52" s="9">
        <f>'הזנת נתונים'!A50</f>
        <v>560.66666666666902</v>
      </c>
      <c r="C52">
        <f>COUNT($B$3:B52)</f>
        <v>50</v>
      </c>
      <c r="D52">
        <f>SUM($B$3:B52)</f>
        <v>14566.333333333392</v>
      </c>
      <c r="E52">
        <f>SUM($J$3:J52)</f>
        <v>65666665</v>
      </c>
      <c r="F52">
        <f>SUM($H$3:H52)</f>
        <v>42925</v>
      </c>
      <c r="G52">
        <f>SUM($I$3:I52)</f>
        <v>18339778.000000075</v>
      </c>
      <c r="H52">
        <f t="shared" si="0"/>
        <v>2500</v>
      </c>
      <c r="I52">
        <f t="shared" si="1"/>
        <v>1401666.6666666726</v>
      </c>
      <c r="J52">
        <f t="shared" si="2"/>
        <v>6250000</v>
      </c>
      <c r="K52" s="2">
        <f t="shared" si="8"/>
        <v>117.49735538010874</v>
      </c>
      <c r="L52" s="2">
        <f t="shared" si="4"/>
        <v>0.20248026940775668</v>
      </c>
      <c r="N52">
        <f t="shared" si="5"/>
        <v>623.69802889950051</v>
      </c>
      <c r="O52">
        <f t="shared" si="6"/>
        <v>63.031362232831498</v>
      </c>
      <c r="P52">
        <f t="shared" si="7"/>
        <v>3972.9526249264168</v>
      </c>
    </row>
    <row r="53" spans="1:16" x14ac:dyDescent="0.25">
      <c r="A53">
        <v>51</v>
      </c>
      <c r="B53" s="9">
        <f>'הזנת נתונים'!A51</f>
        <v>571.66666666666902</v>
      </c>
      <c r="C53">
        <f>COUNT($B$3:B53)</f>
        <v>51</v>
      </c>
      <c r="D53">
        <f>SUM($B$3:B53)</f>
        <v>15138.000000000062</v>
      </c>
      <c r="E53">
        <f>SUM($J$3:J53)</f>
        <v>72431866</v>
      </c>
      <c r="F53">
        <f>SUM($H$3:H53)</f>
        <v>45526</v>
      </c>
      <c r="G53">
        <f>SUM($I$3:I53)</f>
        <v>19826683.000000082</v>
      </c>
      <c r="H53">
        <f t="shared" si="0"/>
        <v>2601</v>
      </c>
      <c r="I53">
        <f t="shared" si="1"/>
        <v>1486905.0000000061</v>
      </c>
      <c r="J53">
        <f t="shared" si="2"/>
        <v>6765201</v>
      </c>
      <c r="K53" s="2">
        <f t="shared" si="8"/>
        <v>119.55285694230007</v>
      </c>
      <c r="L53" s="2">
        <f t="shared" si="4"/>
        <v>0.19858551807632469</v>
      </c>
      <c r="N53">
        <f t="shared" si="5"/>
        <v>636.07378945882056</v>
      </c>
      <c r="O53">
        <f t="shared" si="6"/>
        <v>64.40712279215154</v>
      </c>
      <c r="P53">
        <f t="shared" si="7"/>
        <v>4148.2774663632863</v>
      </c>
    </row>
    <row r="54" spans="1:16" x14ac:dyDescent="0.25">
      <c r="A54">
        <v>52</v>
      </c>
      <c r="B54" s="9">
        <f>'הזנת נתונים'!A52</f>
        <v>582.66666666666902</v>
      </c>
      <c r="C54">
        <f>COUNT($B$3:B54)</f>
        <v>52</v>
      </c>
      <c r="D54">
        <f>SUM($B$3:B54)</f>
        <v>15720.666666666732</v>
      </c>
      <c r="E54">
        <f>SUM($J$3:J54)</f>
        <v>79743482</v>
      </c>
      <c r="F54">
        <f>SUM($H$3:H54)</f>
        <v>48230</v>
      </c>
      <c r="G54">
        <f>SUM($I$3:I54)</f>
        <v>21402213.666666754</v>
      </c>
      <c r="H54">
        <f t="shared" si="0"/>
        <v>2704</v>
      </c>
      <c r="I54">
        <f t="shared" si="1"/>
        <v>1575530.666666673</v>
      </c>
      <c r="J54">
        <f t="shared" si="2"/>
        <v>7311616</v>
      </c>
      <c r="K54" s="2">
        <f t="shared" si="8"/>
        <v>121.6086290758427</v>
      </c>
      <c r="L54" s="2">
        <f t="shared" si="4"/>
        <v>0.19483761050638423</v>
      </c>
      <c r="N54">
        <f t="shared" si="5"/>
        <v>648.44952788510568</v>
      </c>
      <c r="O54">
        <f t="shared" si="6"/>
        <v>65.782861218436665</v>
      </c>
      <c r="P54">
        <f t="shared" si="7"/>
        <v>4327.3848300840982</v>
      </c>
    </row>
    <row r="55" spans="1:16" x14ac:dyDescent="0.25">
      <c r="A55">
        <v>53</v>
      </c>
      <c r="B55" s="9">
        <f>'הזנת נתונים'!A53</f>
        <v>593.66666666666902</v>
      </c>
      <c r="C55">
        <f>COUNT($B$3:B55)</f>
        <v>53</v>
      </c>
      <c r="D55">
        <f>SUM($B$3:B55)</f>
        <v>16314.333333333401</v>
      </c>
      <c r="E55">
        <f>SUM($J$3:J55)</f>
        <v>87633963</v>
      </c>
      <c r="F55">
        <f>SUM($H$3:H55)</f>
        <v>51039</v>
      </c>
      <c r="G55">
        <f>SUM($I$3:I55)</f>
        <v>23069823.333333425</v>
      </c>
      <c r="H55">
        <f t="shared" si="0"/>
        <v>2809</v>
      </c>
      <c r="I55">
        <f t="shared" si="1"/>
        <v>1667609.6666666733</v>
      </c>
      <c r="J55">
        <f t="shared" si="2"/>
        <v>7890481</v>
      </c>
      <c r="K55" s="2">
        <f t="shared" si="8"/>
        <v>123.66465642360303</v>
      </c>
      <c r="L55" s="2">
        <f t="shared" si="4"/>
        <v>0.19122840460985599</v>
      </c>
      <c r="N55">
        <f t="shared" si="5"/>
        <v>660.82524497268844</v>
      </c>
      <c r="O55">
        <f t="shared" si="6"/>
        <v>67.158578306019422</v>
      </c>
      <c r="P55">
        <f t="shared" si="7"/>
        <v>4510.2746400857422</v>
      </c>
    </row>
    <row r="56" spans="1:16" x14ac:dyDescent="0.25">
      <c r="A56">
        <v>54</v>
      </c>
      <c r="B56" s="9">
        <f>'הזנת נתונים'!A54</f>
        <v>604.66666666666902</v>
      </c>
      <c r="C56">
        <f>COUNT($B$3:B56)</f>
        <v>54</v>
      </c>
      <c r="D56">
        <f>SUM($B$3:B56)</f>
        <v>16919.000000000069</v>
      </c>
      <c r="E56">
        <f>SUM($J$3:J56)</f>
        <v>96137019</v>
      </c>
      <c r="F56">
        <f>SUM($H$3:H56)</f>
        <v>53955</v>
      </c>
      <c r="G56">
        <f>SUM($I$3:I56)</f>
        <v>24833031.333333433</v>
      </c>
      <c r="H56">
        <f t="shared" si="0"/>
        <v>2916</v>
      </c>
      <c r="I56">
        <f t="shared" si="1"/>
        <v>1763208.0000000068</v>
      </c>
      <c r="J56">
        <f t="shared" si="2"/>
        <v>8503056</v>
      </c>
      <c r="K56" s="2">
        <f t="shared" si="8"/>
        <v>125.72092476649802</v>
      </c>
      <c r="L56" s="2">
        <f t="shared" si="4"/>
        <v>0.1877503486722116</v>
      </c>
      <c r="N56">
        <f t="shared" si="5"/>
        <v>673.20094149466706</v>
      </c>
      <c r="O56">
        <f t="shared" si="6"/>
        <v>68.534274827998047</v>
      </c>
      <c r="P56">
        <f t="shared" si="7"/>
        <v>4696.9468261995671</v>
      </c>
    </row>
    <row r="57" spans="1:16" x14ac:dyDescent="0.25">
      <c r="A57">
        <v>55</v>
      </c>
      <c r="B57" s="9">
        <f>'הזנת נתונים'!A55</f>
        <v>615.66666666666902</v>
      </c>
      <c r="C57">
        <f>COUNT($B$3:B57)</f>
        <v>55</v>
      </c>
      <c r="D57">
        <f>SUM($B$3:B57)</f>
        <v>17534.666666666737</v>
      </c>
      <c r="E57">
        <f>SUM($J$3:J57)</f>
        <v>105287644</v>
      </c>
      <c r="F57">
        <f>SUM($H$3:H57)</f>
        <v>56980</v>
      </c>
      <c r="G57">
        <f>SUM($I$3:I57)</f>
        <v>26695423.000000108</v>
      </c>
      <c r="H57">
        <f t="shared" si="0"/>
        <v>3025</v>
      </c>
      <c r="I57">
        <f t="shared" si="1"/>
        <v>1862391.6666666737</v>
      </c>
      <c r="J57">
        <f t="shared" si="2"/>
        <v>9150625</v>
      </c>
      <c r="K57" s="2">
        <f t="shared" si="8"/>
        <v>127.77742092021518</v>
      </c>
      <c r="L57" s="2">
        <f t="shared" si="4"/>
        <v>0.18439642885319238</v>
      </c>
      <c r="N57">
        <f t="shared" si="5"/>
        <v>685.57661820112207</v>
      </c>
      <c r="O57">
        <f t="shared" si="6"/>
        <v>69.909951534453057</v>
      </c>
      <c r="P57">
        <f t="shared" si="7"/>
        <v>4887.401323549575</v>
      </c>
    </row>
    <row r="58" spans="1:16" x14ac:dyDescent="0.25">
      <c r="A58">
        <v>56</v>
      </c>
      <c r="B58" s="9">
        <f>'הזנת נתונים'!A56</f>
        <v>626.66666666666902</v>
      </c>
      <c r="C58">
        <f>COUNT($B$3:B58)</f>
        <v>56</v>
      </c>
      <c r="D58">
        <f>SUM($B$3:B58)</f>
        <v>18161.333333333405</v>
      </c>
      <c r="E58">
        <f>SUM($J$3:J58)</f>
        <v>115122140</v>
      </c>
      <c r="F58">
        <f>SUM($H$3:H58)</f>
        <v>60116</v>
      </c>
      <c r="G58">
        <f>SUM($I$3:I58)</f>
        <v>28660649.666666783</v>
      </c>
      <c r="H58">
        <f t="shared" si="0"/>
        <v>3136</v>
      </c>
      <c r="I58">
        <f t="shared" si="1"/>
        <v>1965226.666666674</v>
      </c>
      <c r="J58">
        <f t="shared" si="2"/>
        <v>9834496</v>
      </c>
      <c r="K58" s="2">
        <f t="shared" si="8"/>
        <v>129.8341326429566</v>
      </c>
      <c r="L58" s="2">
        <f t="shared" si="4"/>
        <v>0.18116012218590449</v>
      </c>
      <c r="N58">
        <f t="shared" si="5"/>
        <v>697.95227581795302</v>
      </c>
      <c r="O58">
        <f t="shared" si="6"/>
        <v>71.285609151284007</v>
      </c>
      <c r="P58">
        <f t="shared" si="7"/>
        <v>5081.6380720696261</v>
      </c>
    </row>
    <row r="59" spans="1:16" x14ac:dyDescent="0.25">
      <c r="A59">
        <v>57</v>
      </c>
      <c r="B59" s="9">
        <f>'הזנת נתונים'!A57</f>
        <v>637.66666666666902</v>
      </c>
      <c r="C59">
        <f>COUNT($B$3:B59)</f>
        <v>57</v>
      </c>
      <c r="D59">
        <f>SUM($B$3:B59)</f>
        <v>18799.000000000073</v>
      </c>
      <c r="E59">
        <f>SUM($J$3:J59)</f>
        <v>125678141</v>
      </c>
      <c r="F59">
        <f>SUM($H$3:H59)</f>
        <v>63365</v>
      </c>
      <c r="G59">
        <f>SUM($I$3:I59)</f>
        <v>30732428.666666791</v>
      </c>
      <c r="H59">
        <f t="shared" si="0"/>
        <v>3249</v>
      </c>
      <c r="I59">
        <f t="shared" si="1"/>
        <v>2071779.0000000077</v>
      </c>
      <c r="J59">
        <f t="shared" si="2"/>
        <v>10556001</v>
      </c>
      <c r="K59" s="2">
        <f t="shared" si="8"/>
        <v>131.89104855286001</v>
      </c>
      <c r="L59" s="2">
        <f t="shared" si="4"/>
        <v>0.17803535441469348</v>
      </c>
      <c r="N59">
        <f t="shared" si="5"/>
        <v>710.32791504619922</v>
      </c>
      <c r="O59">
        <f t="shared" si="6"/>
        <v>72.661248379530207</v>
      </c>
      <c r="P59">
        <f t="shared" si="7"/>
        <v>5279.6570160717811</v>
      </c>
    </row>
    <row r="60" spans="1:16" x14ac:dyDescent="0.25">
      <c r="A60">
        <v>58</v>
      </c>
      <c r="B60" s="9">
        <f>'הזנת נתונים'!A58</f>
        <v>648.66666666666902</v>
      </c>
      <c r="C60">
        <f>COUNT($B$3:B60)</f>
        <v>58</v>
      </c>
      <c r="D60">
        <f>SUM($B$3:B60)</f>
        <v>19447.666666666741</v>
      </c>
      <c r="E60">
        <f>SUM($J$3:J60)</f>
        <v>136994637</v>
      </c>
      <c r="F60">
        <f>SUM($H$3:H60)</f>
        <v>66729</v>
      </c>
      <c r="G60">
        <f>SUM($I$3:I60)</f>
        <v>32914543.333333466</v>
      </c>
      <c r="H60">
        <f t="shared" si="0"/>
        <v>3364</v>
      </c>
      <c r="I60">
        <f t="shared" si="1"/>
        <v>2182114.6666666744</v>
      </c>
      <c r="J60">
        <f t="shared" si="2"/>
        <v>11316496</v>
      </c>
      <c r="K60" s="2">
        <f t="shared" si="8"/>
        <v>133.94815805393736</v>
      </c>
      <c r="L60" s="2">
        <f t="shared" si="4"/>
        <v>0.17501646210101116</v>
      </c>
      <c r="N60">
        <f t="shared" si="5"/>
        <v>722.70353656173893</v>
      </c>
      <c r="O60">
        <f t="shared" si="6"/>
        <v>74.036869895069913</v>
      </c>
      <c r="P60">
        <f t="shared" si="7"/>
        <v>5481.4581038595097</v>
      </c>
    </row>
    <row r="61" spans="1:16" x14ac:dyDescent="0.25">
      <c r="A61">
        <v>59</v>
      </c>
      <c r="B61" s="9">
        <f>'הזנת נתונים'!A59</f>
        <v>659.66666666666902</v>
      </c>
      <c r="C61">
        <f>COUNT($B$3:B61)</f>
        <v>59</v>
      </c>
      <c r="D61">
        <f>SUM($B$3:B61)</f>
        <v>20107.333333333409</v>
      </c>
      <c r="E61">
        <f>SUM($J$3:J61)</f>
        <v>149111998</v>
      </c>
      <c r="F61">
        <f>SUM($H$3:H61)</f>
        <v>70210</v>
      </c>
      <c r="G61">
        <f>SUM($I$3:I61)</f>
        <v>35210843.000000142</v>
      </c>
      <c r="H61">
        <f t="shared" si="0"/>
        <v>3481</v>
      </c>
      <c r="I61">
        <f t="shared" si="1"/>
        <v>2296299.6666666749</v>
      </c>
      <c r="J61">
        <f t="shared" si="2"/>
        <v>12117361</v>
      </c>
      <c r="K61" s="2">
        <f t="shared" si="8"/>
        <v>136.00545126952289</v>
      </c>
      <c r="L61" s="2">
        <f t="shared" si="4"/>
        <v>0.1720981585020874</v>
      </c>
      <c r="N61">
        <f t="shared" si="5"/>
        <v>735.07914101528922</v>
      </c>
      <c r="O61">
        <f t="shared" si="6"/>
        <v>75.412474348620208</v>
      </c>
      <c r="P61">
        <f t="shared" si="7"/>
        <v>5687.0412873813011</v>
      </c>
    </row>
    <row r="62" spans="1:16" x14ac:dyDescent="0.25">
      <c r="A62">
        <v>60</v>
      </c>
      <c r="B62" s="9">
        <f>'הזנת נתונים'!A60</f>
        <v>670.66666666666902</v>
      </c>
      <c r="C62">
        <f>COUNT($B$3:B62)</f>
        <v>60</v>
      </c>
      <c r="D62">
        <f>SUM($B$3:B62)</f>
        <v>20778.000000000076</v>
      </c>
      <c r="E62">
        <f>SUM($J$3:J62)</f>
        <v>162071998</v>
      </c>
      <c r="F62">
        <f>SUM($H$3:H62)</f>
        <v>73810</v>
      </c>
      <c r="G62">
        <f>SUM($I$3:I62)</f>
        <v>37625243.000000149</v>
      </c>
      <c r="H62">
        <f t="shared" si="0"/>
        <v>3600</v>
      </c>
      <c r="I62">
        <f t="shared" si="1"/>
        <v>2414400.0000000084</v>
      </c>
      <c r="J62">
        <f t="shared" si="2"/>
        <v>12960000</v>
      </c>
      <c r="K62" s="2">
        <f t="shared" si="8"/>
        <v>138.06291898236077</v>
      </c>
      <c r="L62" s="2">
        <f t="shared" si="4"/>
        <v>0.16927550279174136</v>
      </c>
      <c r="N62">
        <f t="shared" si="5"/>
        <v>747.45472903262964</v>
      </c>
      <c r="O62">
        <f t="shared" si="6"/>
        <v>76.788062365960627</v>
      </c>
      <c r="P62">
        <f t="shared" si="7"/>
        <v>5896.4065219186587</v>
      </c>
    </row>
    <row r="64" spans="1:16" x14ac:dyDescent="0.25">
      <c r="A64" s="5" t="s">
        <v>22</v>
      </c>
      <c r="B64" s="48">
        <f>AVERAGE(P4:P62)</f>
        <v>1910.110119008689</v>
      </c>
    </row>
    <row r="66" spans="1:13" x14ac:dyDescent="0.25">
      <c r="A66" t="s">
        <v>23</v>
      </c>
      <c r="B66">
        <v>61</v>
      </c>
      <c r="C66">
        <v>62</v>
      </c>
      <c r="D66">
        <v>63</v>
      </c>
      <c r="E66">
        <v>64</v>
      </c>
      <c r="F66">
        <v>65</v>
      </c>
      <c r="G66">
        <v>66</v>
      </c>
      <c r="H66">
        <v>67</v>
      </c>
      <c r="I66">
        <v>68</v>
      </c>
      <c r="J66">
        <v>69</v>
      </c>
      <c r="K66">
        <v>70</v>
      </c>
      <c r="L66">
        <v>71</v>
      </c>
      <c r="M66">
        <v>72</v>
      </c>
    </row>
    <row r="67" spans="1:13" x14ac:dyDescent="0.25">
      <c r="B67" s="4">
        <f>$K$62+$L$62*B66^2</f>
        <v>767.93706487043039</v>
      </c>
      <c r="C67" s="4">
        <f t="shared" ref="C67:M67" si="9">$K$62+$L$62*C66^2</f>
        <v>788.75795171381458</v>
      </c>
      <c r="D67" s="4">
        <f t="shared" si="9"/>
        <v>809.9173895627822</v>
      </c>
      <c r="E67" s="4">
        <f t="shared" si="9"/>
        <v>831.41537841733339</v>
      </c>
      <c r="F67" s="4">
        <f t="shared" si="9"/>
        <v>853.25191827746801</v>
      </c>
      <c r="G67" s="4">
        <f t="shared" si="9"/>
        <v>875.42700914318618</v>
      </c>
      <c r="H67" s="4">
        <f t="shared" si="9"/>
        <v>897.94065101448768</v>
      </c>
      <c r="I67" s="4">
        <f t="shared" si="9"/>
        <v>920.79284389137285</v>
      </c>
      <c r="J67" s="4">
        <f t="shared" si="9"/>
        <v>943.98358777384135</v>
      </c>
      <c r="K67" s="4">
        <f t="shared" si="9"/>
        <v>967.5128826618934</v>
      </c>
      <c r="L67" s="4">
        <f t="shared" si="9"/>
        <v>991.380728555529</v>
      </c>
      <c r="M67" s="4">
        <f t="shared" si="9"/>
        <v>1015.5871254547479</v>
      </c>
    </row>
  </sheetData>
  <mergeCells count="2">
    <mergeCell ref="C1:G1"/>
    <mergeCell ref="H1:J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6D975-4955-40F8-8959-1B5EE5F1E79D}">
  <sheetPr codeName="גיליון13">
    <tabColor theme="4" tint="0.39997558519241921"/>
  </sheetPr>
  <dimension ref="A1:O89"/>
  <sheetViews>
    <sheetView rightToLeft="1" workbookViewId="0"/>
  </sheetViews>
  <sheetFormatPr defaultRowHeight="13.8" x14ac:dyDescent="0.25"/>
  <cols>
    <col min="7" max="7" width="11.09765625" customWidth="1"/>
  </cols>
  <sheetData>
    <row r="1" spans="1:7" x14ac:dyDescent="0.25">
      <c r="A1" t="s">
        <v>24</v>
      </c>
      <c r="B1">
        <v>0.3</v>
      </c>
    </row>
    <row r="2" spans="1:7" x14ac:dyDescent="0.25">
      <c r="A2" t="s">
        <v>25</v>
      </c>
      <c r="B2">
        <v>0.3</v>
      </c>
    </row>
    <row r="3" spans="1:7" x14ac:dyDescent="0.25">
      <c r="A3" t="s">
        <v>29</v>
      </c>
      <c r="B3">
        <f>SQRT(SUMSQ(F10:F67)/COUNT(F10:F67))</f>
        <v>37.940399197925167</v>
      </c>
    </row>
    <row r="4" spans="1:7" x14ac:dyDescent="0.25">
      <c r="A4" t="s">
        <v>5</v>
      </c>
      <c r="B4" s="16">
        <f>AVERAGE(G9:G67)</f>
        <v>1415.3328552726684</v>
      </c>
    </row>
    <row r="6" spans="1:7" x14ac:dyDescent="0.25">
      <c r="A6" t="s">
        <v>1</v>
      </c>
      <c r="B6" t="s">
        <v>26</v>
      </c>
      <c r="C6" t="s">
        <v>41</v>
      </c>
      <c r="D6" t="s">
        <v>42</v>
      </c>
      <c r="E6" t="s">
        <v>27</v>
      </c>
      <c r="F6" t="s">
        <v>28</v>
      </c>
      <c r="G6" t="s">
        <v>53</v>
      </c>
    </row>
    <row r="7" spans="1:7" x14ac:dyDescent="0.25">
      <c r="A7" s="17" t="s">
        <v>54</v>
      </c>
      <c r="C7" s="18">
        <f>B8-D7</f>
        <v>17.107344632768324</v>
      </c>
      <c r="D7" s="19">
        <f>(B67-B8)/59</f>
        <v>10.892655367231677</v>
      </c>
    </row>
    <row r="8" spans="1:7" x14ac:dyDescent="0.25">
      <c r="A8">
        <v>1</v>
      </c>
      <c r="B8" s="3">
        <f>'הזנת נתונים'!A1</f>
        <v>28</v>
      </c>
      <c r="C8">
        <f>$B$1*B8+(1-$B$1)*(C7+D7*(2*A8-1))</f>
        <v>28</v>
      </c>
      <c r="D8">
        <f>$B$2*((C8-C7)/(2*A8-1))+(1-$B$2)*D7</f>
        <v>10.892655367231676</v>
      </c>
    </row>
    <row r="9" spans="1:7" x14ac:dyDescent="0.25">
      <c r="A9">
        <v>2</v>
      </c>
      <c r="B9" s="3">
        <f>'הזנת נתונים'!A2</f>
        <v>35</v>
      </c>
      <c r="C9">
        <f t="shared" ref="C9:C67" si="0">$B$1*B9+(1-$B$1)*(C8+D8*(2*A9-1))</f>
        <v>52.974576271186514</v>
      </c>
      <c r="D9">
        <f t="shared" ref="D9:D67" si="1">$B$2*((C9-C8)/(2*A9-1))+(1-$B$2)*D8</f>
        <v>10.122316384180824</v>
      </c>
      <c r="E9">
        <f>C8+D8</f>
        <v>38.892655367231676</v>
      </c>
      <c r="F9" s="3">
        <f>E9-B9</f>
        <v>3.8926553672316757</v>
      </c>
      <c r="G9" s="4">
        <f>F9^2</f>
        <v>15.152765808037572</v>
      </c>
    </row>
    <row r="10" spans="1:7" x14ac:dyDescent="0.25">
      <c r="A10">
        <v>3</v>
      </c>
      <c r="B10" s="3">
        <f>'הזנת נתונים'!A3</f>
        <v>40</v>
      </c>
      <c r="C10">
        <f t="shared" si="0"/>
        <v>84.510310734463445</v>
      </c>
      <c r="D10">
        <f t="shared" si="1"/>
        <v>8.9777655367231919</v>
      </c>
      <c r="E10">
        <f t="shared" ref="E10:E67" si="2">C9+D9</f>
        <v>63.096892655367341</v>
      </c>
      <c r="F10" s="3">
        <f t="shared" ref="F10:F67" si="3">E10-B10</f>
        <v>23.096892655367341</v>
      </c>
      <c r="G10" s="4">
        <f t="shared" ref="G10:G67" si="4">F10^2</f>
        <v>533.46645033356185</v>
      </c>
    </row>
    <row r="11" spans="1:7" x14ac:dyDescent="0.25">
      <c r="A11">
        <v>4</v>
      </c>
      <c r="B11" s="3">
        <f>'הזנת נתונים'!A4</f>
        <v>55</v>
      </c>
      <c r="C11">
        <f t="shared" si="0"/>
        <v>119.64826864406804</v>
      </c>
      <c r="D11">
        <f t="shared" si="1"/>
        <v>7.7903483575464305</v>
      </c>
      <c r="E11">
        <f t="shared" si="2"/>
        <v>93.488076271186642</v>
      </c>
      <c r="F11" s="3">
        <f t="shared" si="3"/>
        <v>38.488076271186642</v>
      </c>
      <c r="G11" s="4">
        <f t="shared" si="4"/>
        <v>1481.3320150566803</v>
      </c>
    </row>
    <row r="12" spans="1:7" x14ac:dyDescent="0.25">
      <c r="A12">
        <v>5</v>
      </c>
      <c r="B12" s="3">
        <f>'הזנת נתונים'!A5</f>
        <v>70</v>
      </c>
      <c r="C12">
        <f t="shared" si="0"/>
        <v>153.83298270339014</v>
      </c>
      <c r="D12">
        <f t="shared" si="1"/>
        <v>6.5927343189265706</v>
      </c>
      <c r="E12">
        <f t="shared" si="2"/>
        <v>127.43861700161447</v>
      </c>
      <c r="F12" s="3">
        <f t="shared" si="3"/>
        <v>57.438617001614475</v>
      </c>
      <c r="G12" s="4">
        <f t="shared" si="4"/>
        <v>3299.1947230581554</v>
      </c>
    </row>
    <row r="13" spans="1:7" x14ac:dyDescent="0.25">
      <c r="A13">
        <v>6</v>
      </c>
      <c r="B13" s="3">
        <f>'הזנת נתונים'!A6</f>
        <v>75</v>
      </c>
      <c r="C13">
        <f t="shared" si="0"/>
        <v>180.9471421481077</v>
      </c>
      <c r="D13">
        <f t="shared" si="1"/>
        <v>5.3543910990136236</v>
      </c>
      <c r="E13">
        <f t="shared" si="2"/>
        <v>160.42571702231672</v>
      </c>
      <c r="F13" s="3">
        <f t="shared" si="3"/>
        <v>85.425717022316718</v>
      </c>
      <c r="G13" s="4">
        <f t="shared" si="4"/>
        <v>7297.5531287769327</v>
      </c>
    </row>
    <row r="14" spans="1:7" x14ac:dyDescent="0.25">
      <c r="A14">
        <v>7</v>
      </c>
      <c r="B14" s="3">
        <f>'הזנת נתונים'!A7</f>
        <v>87.6666666666667</v>
      </c>
      <c r="C14">
        <f t="shared" si="0"/>
        <v>201.68795850469937</v>
      </c>
      <c r="D14">
        <f t="shared" si="1"/>
        <v>4.2267079929231901</v>
      </c>
      <c r="E14">
        <f t="shared" si="2"/>
        <v>186.30153324712131</v>
      </c>
      <c r="F14" s="3">
        <f t="shared" si="3"/>
        <v>98.634866580454613</v>
      </c>
      <c r="G14" s="4">
        <f t="shared" si="4"/>
        <v>9728.836905344082</v>
      </c>
    </row>
    <row r="15" spans="1:7" x14ac:dyDescent="0.25">
      <c r="A15">
        <v>8</v>
      </c>
      <c r="B15" s="3">
        <f>'הזנת נתונים'!A8</f>
        <v>98.6666666666667</v>
      </c>
      <c r="C15">
        <f t="shared" si="0"/>
        <v>215.16200487898305</v>
      </c>
      <c r="D15">
        <f t="shared" si="1"/>
        <v>3.2281765225319066</v>
      </c>
      <c r="E15">
        <f t="shared" si="2"/>
        <v>205.91466649762256</v>
      </c>
      <c r="F15" s="3">
        <f t="shared" si="3"/>
        <v>107.24799983095586</v>
      </c>
      <c r="G15" s="4">
        <f t="shared" si="4"/>
        <v>11502.133467740709</v>
      </c>
    </row>
    <row r="16" spans="1:7" x14ac:dyDescent="0.25">
      <c r="A16">
        <v>9</v>
      </c>
      <c r="B16" s="3">
        <f>'הזנת נתונים'!A9</f>
        <v>109.666666666667</v>
      </c>
      <c r="C16">
        <f t="shared" si="0"/>
        <v>221.92870403341792</v>
      </c>
      <c r="D16">
        <f t="shared" si="1"/>
        <v>2.3791359037917732</v>
      </c>
      <c r="E16">
        <f t="shared" si="2"/>
        <v>218.39018140151495</v>
      </c>
      <c r="F16" s="3">
        <f t="shared" si="3"/>
        <v>108.72351473484795</v>
      </c>
      <c r="G16" s="4">
        <f t="shared" si="4"/>
        <v>11820.8026562987</v>
      </c>
    </row>
    <row r="17" spans="1:7" x14ac:dyDescent="0.25">
      <c r="A17">
        <v>10</v>
      </c>
      <c r="B17" s="3">
        <f>'הזנת נתונים'!A10</f>
        <v>120.666666666667</v>
      </c>
      <c r="C17">
        <f t="shared" si="0"/>
        <v>223.19260034382319</v>
      </c>
      <c r="D17">
        <f t="shared" si="1"/>
        <v>1.6853513901869559</v>
      </c>
      <c r="E17">
        <f t="shared" si="2"/>
        <v>224.30783993720968</v>
      </c>
      <c r="F17" s="3">
        <f t="shared" si="3"/>
        <v>103.64117327054268</v>
      </c>
      <c r="G17" s="4">
        <f t="shared" si="4"/>
        <v>10741.49279689465</v>
      </c>
    </row>
    <row r="18" spans="1:7" x14ac:dyDescent="0.25">
      <c r="A18">
        <v>11</v>
      </c>
      <c r="B18" s="3">
        <f>'הזנת נתונים'!A11</f>
        <v>131.666666666667</v>
      </c>
      <c r="C18">
        <f t="shared" si="0"/>
        <v>220.50948567642462</v>
      </c>
      <c r="D18">
        <f t="shared" si="1"/>
        <v>1.1414157635966038</v>
      </c>
      <c r="E18">
        <f t="shared" si="2"/>
        <v>224.87795173401014</v>
      </c>
      <c r="F18" s="3">
        <f t="shared" si="3"/>
        <v>93.211285067343141</v>
      </c>
      <c r="G18" s="4">
        <f t="shared" si="4"/>
        <v>8688.3436639055071</v>
      </c>
    </row>
    <row r="19" spans="1:7" x14ac:dyDescent="0.25">
      <c r="A19">
        <v>12</v>
      </c>
      <c r="B19" s="3">
        <f>'הזנת נתונים'!A12</f>
        <v>142.666666666667</v>
      </c>
      <c r="C19">
        <f t="shared" si="0"/>
        <v>215.53343376740264</v>
      </c>
      <c r="D19">
        <f t="shared" si="1"/>
        <v>0.73408600961733605</v>
      </c>
      <c r="E19">
        <f t="shared" si="2"/>
        <v>221.65090144002122</v>
      </c>
      <c r="F19" s="3">
        <f t="shared" si="3"/>
        <v>78.984234773354217</v>
      </c>
      <c r="G19" s="4">
        <f t="shared" si="4"/>
        <v>6238.5093427323372</v>
      </c>
    </row>
    <row r="20" spans="1:7" x14ac:dyDescent="0.25">
      <c r="A20">
        <v>13</v>
      </c>
      <c r="B20" s="3">
        <f>'הזנת נתונים'!A13</f>
        <v>153.666666666667</v>
      </c>
      <c r="C20">
        <f t="shared" si="0"/>
        <v>209.81990880548531</v>
      </c>
      <c r="D20">
        <f t="shared" si="1"/>
        <v>0.44529790718912721</v>
      </c>
      <c r="E20">
        <f t="shared" si="2"/>
        <v>216.26751977701997</v>
      </c>
      <c r="F20" s="3">
        <f t="shared" si="3"/>
        <v>62.600853110352972</v>
      </c>
      <c r="G20" s="4">
        <f t="shared" si="4"/>
        <v>3918.8668101439894</v>
      </c>
    </row>
    <row r="21" spans="1:7" x14ac:dyDescent="0.25">
      <c r="A21">
        <v>14</v>
      </c>
      <c r="B21" s="3">
        <f>'הזנת נתונים'!A14</f>
        <v>164.666666666667</v>
      </c>
      <c r="C21">
        <f t="shared" si="0"/>
        <v>204.69006660971431</v>
      </c>
      <c r="D21">
        <f t="shared" si="1"/>
        <v>0.25471028841271121</v>
      </c>
      <c r="E21">
        <f t="shared" si="2"/>
        <v>210.26520671267443</v>
      </c>
      <c r="F21" s="3">
        <f t="shared" si="3"/>
        <v>45.598540046007429</v>
      </c>
      <c r="G21" s="4">
        <f t="shared" si="4"/>
        <v>2079.2268543273431</v>
      </c>
    </row>
    <row r="22" spans="1:7" x14ac:dyDescent="0.25">
      <c r="A22">
        <v>15</v>
      </c>
      <c r="B22" s="3">
        <f>'הזנת נתונים'!A15</f>
        <v>175.666666666667</v>
      </c>
      <c r="C22">
        <f t="shared" si="0"/>
        <v>201.15366548157814</v>
      </c>
      <c r="D22">
        <f t="shared" si="1"/>
        <v>0.14171374194266168</v>
      </c>
      <c r="E22">
        <f t="shared" si="2"/>
        <v>204.94477689812703</v>
      </c>
      <c r="F22" s="3">
        <f t="shared" si="3"/>
        <v>29.278110231460033</v>
      </c>
      <c r="G22" s="4">
        <f t="shared" si="4"/>
        <v>857.20773872552468</v>
      </c>
    </row>
    <row r="23" spans="1:7" x14ac:dyDescent="0.25">
      <c r="A23">
        <v>16</v>
      </c>
      <c r="B23" s="3">
        <f>'הזנת נתונים'!A16</f>
        <v>186.666666666667</v>
      </c>
      <c r="C23">
        <f t="shared" si="0"/>
        <v>199.88275403726055</v>
      </c>
      <c r="D23">
        <f t="shared" si="1"/>
        <v>8.6900476350338096E-2</v>
      </c>
      <c r="E23">
        <f t="shared" si="2"/>
        <v>201.2953792235208</v>
      </c>
      <c r="F23" s="3">
        <f t="shared" si="3"/>
        <v>14.628712556853799</v>
      </c>
      <c r="G23" s="4">
        <f t="shared" si="4"/>
        <v>213.99923107105201</v>
      </c>
    </row>
    <row r="24" spans="1:7" x14ac:dyDescent="0.25">
      <c r="A24">
        <v>17</v>
      </c>
      <c r="B24" s="3">
        <f>'הזנת נתונים'!A17</f>
        <v>197.666666666667</v>
      </c>
      <c r="C24">
        <f t="shared" si="0"/>
        <v>201.22532882977526</v>
      </c>
      <c r="D24">
        <f t="shared" si="1"/>
        <v>7.3035558831734029E-2</v>
      </c>
      <c r="E24">
        <f t="shared" si="2"/>
        <v>199.96965451361089</v>
      </c>
      <c r="F24" s="3">
        <f t="shared" si="3"/>
        <v>2.3029878469438927</v>
      </c>
      <c r="G24" s="4">
        <f t="shared" si="4"/>
        <v>5.3037530231712662</v>
      </c>
    </row>
    <row r="25" spans="1:7" x14ac:dyDescent="0.25">
      <c r="A25">
        <v>18</v>
      </c>
      <c r="B25" s="3">
        <f>'הזנת נתונים'!A18</f>
        <v>208.666666666667</v>
      </c>
      <c r="C25">
        <f t="shared" si="0"/>
        <v>205.24710137222024</v>
      </c>
      <c r="D25">
        <f t="shared" si="1"/>
        <v>8.559722726031363E-2</v>
      </c>
      <c r="E25">
        <f t="shared" si="2"/>
        <v>201.29836438860701</v>
      </c>
      <c r="F25" s="3">
        <f t="shared" si="3"/>
        <v>-7.3683022780599856</v>
      </c>
      <c r="G25" s="4">
        <f t="shared" si="4"/>
        <v>54.291878460863977</v>
      </c>
    </row>
    <row r="26" spans="1:7" x14ac:dyDescent="0.25">
      <c r="A26">
        <v>19</v>
      </c>
      <c r="B26" s="3">
        <f>'הזנת נתונים'!A19</f>
        <v>219.666666666667</v>
      </c>
      <c r="C26">
        <f t="shared" si="0"/>
        <v>211.78993914659637</v>
      </c>
      <c r="D26">
        <f t="shared" si="1"/>
        <v>0.1129680950906746</v>
      </c>
      <c r="E26">
        <f t="shared" si="2"/>
        <v>205.33269859948055</v>
      </c>
      <c r="F26" s="3">
        <f t="shared" si="3"/>
        <v>-14.333968067186447</v>
      </c>
      <c r="G26" s="4">
        <f t="shared" si="4"/>
        <v>205.46264055112076</v>
      </c>
    </row>
    <row r="27" spans="1:7" x14ac:dyDescent="0.25">
      <c r="A27">
        <v>20</v>
      </c>
      <c r="B27" s="3">
        <f>'הזנת נתונים'!A20</f>
        <v>230.666666666667</v>
      </c>
      <c r="C27">
        <f t="shared" si="0"/>
        <v>220.53698639859297</v>
      </c>
      <c r="D27">
        <f t="shared" si="1"/>
        <v>0.14636264542498456</v>
      </c>
      <c r="E27">
        <f t="shared" si="2"/>
        <v>211.90290724168705</v>
      </c>
      <c r="F27" s="3">
        <f t="shared" si="3"/>
        <v>-18.763759424979952</v>
      </c>
      <c r="G27" s="4">
        <f t="shared" si="4"/>
        <v>352.07866775852398</v>
      </c>
    </row>
    <row r="28" spans="1:7" x14ac:dyDescent="0.25">
      <c r="A28">
        <v>21</v>
      </c>
      <c r="B28" s="3">
        <f>'הזנת נתונים'!A21</f>
        <v>241.666666666667</v>
      </c>
      <c r="C28">
        <f t="shared" si="0"/>
        <v>231.07649840271222</v>
      </c>
      <c r="D28">
        <f t="shared" si="1"/>
        <v>0.1795722323154349</v>
      </c>
      <c r="E28">
        <f t="shared" si="2"/>
        <v>220.68334904401794</v>
      </c>
      <c r="F28" s="3">
        <f t="shared" si="3"/>
        <v>-20.983317622649054</v>
      </c>
      <c r="G28" s="4">
        <f t="shared" si="4"/>
        <v>440.29961845297436</v>
      </c>
    </row>
    <row r="29" spans="1:7" x14ac:dyDescent="0.25">
      <c r="A29">
        <v>22</v>
      </c>
      <c r="B29" s="3">
        <f>'הזנת נתונים'!A22</f>
        <v>252.666666666667</v>
      </c>
      <c r="C29">
        <f t="shared" si="0"/>
        <v>242.95867307459324</v>
      </c>
      <c r="D29">
        <f t="shared" si="1"/>
        <v>0.20859945568043942</v>
      </c>
      <c r="E29">
        <f t="shared" si="2"/>
        <v>231.25607063502764</v>
      </c>
      <c r="F29" s="3">
        <f t="shared" si="3"/>
        <v>-21.410596031639358</v>
      </c>
      <c r="G29" s="4">
        <f t="shared" si="4"/>
        <v>458.41362243005102</v>
      </c>
    </row>
    <row r="30" spans="1:7" x14ac:dyDescent="0.25">
      <c r="A30">
        <v>23</v>
      </c>
      <c r="B30" s="3">
        <f>'הזנת נתונים'!A23</f>
        <v>263.66666666666703</v>
      </c>
      <c r="C30">
        <f t="shared" si="0"/>
        <v>255.7419540061492</v>
      </c>
      <c r="D30">
        <f t="shared" si="1"/>
        <v>0.23124149185334736</v>
      </c>
      <c r="E30">
        <f t="shared" si="2"/>
        <v>243.16727253027366</v>
      </c>
      <c r="F30" s="3">
        <f t="shared" si="3"/>
        <v>-20.499394136393363</v>
      </c>
      <c r="G30" s="4">
        <f t="shared" si="4"/>
        <v>420.22515995919861</v>
      </c>
    </row>
    <row r="31" spans="1:7" x14ac:dyDescent="0.25">
      <c r="A31">
        <v>24</v>
      </c>
      <c r="B31" s="3">
        <f>'הזנת נתונים'!A24</f>
        <v>274.66666666666703</v>
      </c>
      <c r="C31">
        <f t="shared" si="0"/>
        <v>269.02721288627964</v>
      </c>
      <c r="D31">
        <f t="shared" si="1"/>
        <v>0.2466685690641332</v>
      </c>
      <c r="E31">
        <f t="shared" si="2"/>
        <v>255.97319549800255</v>
      </c>
      <c r="F31" s="3">
        <f t="shared" si="3"/>
        <v>-18.693471168664473</v>
      </c>
      <c r="G31" s="4">
        <f t="shared" si="4"/>
        <v>349.44586433368988</v>
      </c>
    </row>
    <row r="32" spans="1:7" x14ac:dyDescent="0.25">
      <c r="A32">
        <v>25</v>
      </c>
      <c r="B32" s="3">
        <f>'הזנת נתונים'!A25</f>
        <v>285.66666666666799</v>
      </c>
      <c r="C32">
        <f t="shared" si="0"/>
        <v>282.47978093929589</v>
      </c>
      <c r="D32">
        <f t="shared" si="1"/>
        <v>0.25503065989397233</v>
      </c>
      <c r="E32">
        <f t="shared" si="2"/>
        <v>269.27388145534377</v>
      </c>
      <c r="F32" s="3">
        <f t="shared" si="3"/>
        <v>-16.392785211324224</v>
      </c>
      <c r="G32" s="4">
        <f t="shared" si="4"/>
        <v>268.72340698461016</v>
      </c>
    </row>
    <row r="33" spans="1:7" x14ac:dyDescent="0.25">
      <c r="A33">
        <v>26</v>
      </c>
      <c r="B33" s="3">
        <f>'הזנת נתונים'!A26</f>
        <v>296.66666666666799</v>
      </c>
      <c r="C33">
        <f t="shared" si="0"/>
        <v>295.84044121572231</v>
      </c>
      <c r="D33">
        <f t="shared" si="1"/>
        <v>0.25711358119887717</v>
      </c>
      <c r="E33">
        <f t="shared" si="2"/>
        <v>282.73481159918987</v>
      </c>
      <c r="F33" s="3">
        <f t="shared" si="3"/>
        <v>-13.931855067478125</v>
      </c>
      <c r="G33" s="4">
        <f t="shared" si="4"/>
        <v>194.09658562121592</v>
      </c>
    </row>
    <row r="34" spans="1:7" x14ac:dyDescent="0.25">
      <c r="A34">
        <v>27</v>
      </c>
      <c r="B34" s="3">
        <f>'הזנת נתונים'!A27</f>
        <v>307.66666666666799</v>
      </c>
      <c r="C34">
        <f t="shared" si="0"/>
        <v>308.9272227134843</v>
      </c>
      <c r="D34">
        <f t="shared" si="1"/>
        <v>0.25405562852465924</v>
      </c>
      <c r="E34">
        <f t="shared" si="2"/>
        <v>296.0975547969212</v>
      </c>
      <c r="F34" s="3">
        <f t="shared" si="3"/>
        <v>-11.569111869746791</v>
      </c>
      <c r="G34" s="4">
        <f t="shared" si="4"/>
        <v>133.84434945471611</v>
      </c>
    </row>
    <row r="35" spans="1:7" x14ac:dyDescent="0.25">
      <c r="A35">
        <v>28</v>
      </c>
      <c r="B35" s="3">
        <f>'הזנת נתונים'!A28</f>
        <v>318.66666666666799</v>
      </c>
      <c r="C35">
        <f t="shared" si="0"/>
        <v>321.63019759763876</v>
      </c>
      <c r="D35">
        <f t="shared" si="1"/>
        <v>0.24712789388083123</v>
      </c>
      <c r="E35">
        <f t="shared" si="2"/>
        <v>309.18127834200897</v>
      </c>
      <c r="F35" s="3">
        <f t="shared" si="3"/>
        <v>-9.4853883246590271</v>
      </c>
      <c r="G35" s="4">
        <f t="shared" si="4"/>
        <v>89.972591669577781</v>
      </c>
    </row>
    <row r="36" spans="1:7" x14ac:dyDescent="0.25">
      <c r="A36">
        <v>29</v>
      </c>
      <c r="B36" s="3">
        <f>'הזנת נתונים'!A29</f>
        <v>329.66666666666799</v>
      </c>
      <c r="C36">
        <f t="shared" si="0"/>
        <v>333.90154128419266</v>
      </c>
      <c r="D36">
        <f t="shared" si="1"/>
        <v>0.23757554511949713</v>
      </c>
      <c r="E36">
        <f t="shared" si="2"/>
        <v>321.87732549151957</v>
      </c>
      <c r="F36" s="3">
        <f t="shared" si="3"/>
        <v>-7.7893411751484223</v>
      </c>
      <c r="G36" s="4">
        <f t="shared" si="4"/>
        <v>60.673835942862603</v>
      </c>
    </row>
    <row r="37" spans="1:7" x14ac:dyDescent="0.25">
      <c r="A37">
        <v>30</v>
      </c>
      <c r="B37" s="3">
        <f>'הזנת נתונים'!A30</f>
        <v>340.66666666666799</v>
      </c>
      <c r="C37">
        <f t="shared" si="0"/>
        <v>345.74294891237048</v>
      </c>
      <c r="D37">
        <f t="shared" si="1"/>
        <v>0.22651342884556908</v>
      </c>
      <c r="E37">
        <f t="shared" si="2"/>
        <v>334.13911682931217</v>
      </c>
      <c r="F37" s="3">
        <f t="shared" si="3"/>
        <v>-6.5275498373558207</v>
      </c>
      <c r="G37" s="4">
        <f t="shared" si="4"/>
        <v>42.608906879164003</v>
      </c>
    </row>
    <row r="38" spans="1:7" x14ac:dyDescent="0.25">
      <c r="A38">
        <v>31</v>
      </c>
      <c r="B38" s="3">
        <f>'הזנת נתונים'!A31</f>
        <v>351.66666666666799</v>
      </c>
      <c r="C38">
        <f t="shared" si="0"/>
        <v>357.19218765036555</v>
      </c>
      <c r="D38">
        <f t="shared" si="1"/>
        <v>0.21486713169023477</v>
      </c>
      <c r="E38">
        <f t="shared" si="2"/>
        <v>345.96946234121606</v>
      </c>
      <c r="F38" s="3">
        <f t="shared" si="3"/>
        <v>-5.6972043254519349</v>
      </c>
      <c r="G38" s="4">
        <f t="shared" si="4"/>
        <v>32.458137125948234</v>
      </c>
    </row>
    <row r="39" spans="1:7" x14ac:dyDescent="0.25">
      <c r="A39">
        <v>32</v>
      </c>
      <c r="B39" s="3">
        <f>'הזנת נתונים'!A32</f>
        <v>362.66666666666799</v>
      </c>
      <c r="C39">
        <f t="shared" si="0"/>
        <v>368.31017186279564</v>
      </c>
      <c r="D39">
        <f t="shared" si="1"/>
        <v>0.20334977414711713</v>
      </c>
      <c r="E39">
        <f t="shared" si="2"/>
        <v>357.40705478205581</v>
      </c>
      <c r="F39" s="3">
        <f t="shared" si="3"/>
        <v>-5.259611884612184</v>
      </c>
      <c r="G39" s="4">
        <f t="shared" si="4"/>
        <v>27.663517176753729</v>
      </c>
    </row>
    <row r="40" spans="1:7" x14ac:dyDescent="0.25">
      <c r="A40">
        <v>33</v>
      </c>
      <c r="B40" s="3">
        <f>'הזנת נתונים'!A33</f>
        <v>373.66666666666799</v>
      </c>
      <c r="C40">
        <f t="shared" si="0"/>
        <v>379.16953502765114</v>
      </c>
      <c r="D40">
        <f t="shared" si="1"/>
        <v>0.19246497958693043</v>
      </c>
      <c r="E40">
        <f t="shared" si="2"/>
        <v>368.51352163694276</v>
      </c>
      <c r="F40" s="3">
        <f t="shared" si="3"/>
        <v>-5.1531450297252377</v>
      </c>
      <c r="G40" s="4">
        <f t="shared" si="4"/>
        <v>26.554903697381921</v>
      </c>
    </row>
    <row r="41" spans="1:7" x14ac:dyDescent="0.25">
      <c r="A41">
        <v>34</v>
      </c>
      <c r="B41" s="3">
        <f>'הזנת נתונים'!A34</f>
        <v>384.66666666666799</v>
      </c>
      <c r="C41">
        <f t="shared" si="0"/>
        <v>389.8452820619832</v>
      </c>
      <c r="D41">
        <f t="shared" si="1"/>
        <v>0.18252733810338292</v>
      </c>
      <c r="E41">
        <f t="shared" si="2"/>
        <v>379.36200000723807</v>
      </c>
      <c r="F41" s="3">
        <f t="shared" si="3"/>
        <v>-5.3046666594299268</v>
      </c>
      <c r="G41" s="4">
        <f t="shared" si="4"/>
        <v>28.139488367667457</v>
      </c>
    </row>
    <row r="42" spans="1:7" x14ac:dyDescent="0.25">
      <c r="A42">
        <v>35</v>
      </c>
      <c r="B42" s="3">
        <f>'הזנת נתונים'!A35</f>
        <v>395.66666666666799</v>
      </c>
      <c r="C42">
        <f t="shared" si="0"/>
        <v>400.40776787378201</v>
      </c>
      <c r="D42">
        <f t="shared" si="1"/>
        <v>0.17369298802801503</v>
      </c>
      <c r="E42">
        <f t="shared" si="2"/>
        <v>390.0278094000866</v>
      </c>
      <c r="F42" s="3">
        <f t="shared" si="3"/>
        <v>-5.6388572665813967</v>
      </c>
      <c r="G42" s="4">
        <f t="shared" si="4"/>
        <v>31.796711272877822</v>
      </c>
    </row>
    <row r="43" spans="1:7" x14ac:dyDescent="0.25">
      <c r="A43">
        <v>36</v>
      </c>
      <c r="B43" s="3">
        <f>'הזנת נתונים'!A36</f>
        <v>406.66666666666799</v>
      </c>
      <c r="C43">
        <f t="shared" si="0"/>
        <v>410.91797901664012</v>
      </c>
      <c r="D43">
        <f t="shared" si="1"/>
        <v>0.16599443447675746</v>
      </c>
      <c r="E43">
        <f t="shared" si="2"/>
        <v>400.58146086181</v>
      </c>
      <c r="F43" s="3">
        <f t="shared" si="3"/>
        <v>-6.085205804857992</v>
      </c>
      <c r="G43" s="4">
        <f t="shared" si="4"/>
        <v>37.029729687477399</v>
      </c>
    </row>
    <row r="44" spans="1:7" x14ac:dyDescent="0.25">
      <c r="A44">
        <v>37</v>
      </c>
      <c r="B44" s="3">
        <f>'הזנת נתונים'!A37</f>
        <v>417.66666666666799</v>
      </c>
      <c r="C44">
        <f t="shared" si="0"/>
        <v>421.4249009134108</v>
      </c>
      <c r="D44">
        <f t="shared" si="1"/>
        <v>0.15937523521634944</v>
      </c>
      <c r="E44">
        <f t="shared" si="2"/>
        <v>411.08397345111689</v>
      </c>
      <c r="F44" s="3">
        <f t="shared" si="3"/>
        <v>-6.5826932155511031</v>
      </c>
      <c r="G44" s="4">
        <f t="shared" si="4"/>
        <v>43.331849970062521</v>
      </c>
    </row>
    <row r="45" spans="1:7" x14ac:dyDescent="0.25">
      <c r="A45">
        <v>38</v>
      </c>
      <c r="B45" s="3">
        <f>'הזנת נתונים'!A38</f>
        <v>428.66666666666902</v>
      </c>
      <c r="C45">
        <f t="shared" si="0"/>
        <v>431.96463048824654</v>
      </c>
      <c r="D45">
        <f t="shared" si="1"/>
        <v>0.15372158295078758</v>
      </c>
      <c r="E45">
        <f t="shared" si="2"/>
        <v>421.58427614862717</v>
      </c>
      <c r="F45" s="3">
        <f t="shared" si="3"/>
        <v>-7.0823905180418478</v>
      </c>
      <c r="G45" s="4">
        <f t="shared" si="4"/>
        <v>50.160255450049071</v>
      </c>
    </row>
    <row r="46" spans="1:7" x14ac:dyDescent="0.25">
      <c r="A46">
        <v>39</v>
      </c>
      <c r="B46" s="3">
        <f>'הזנת נתונים'!A39</f>
        <v>439.66666666666902</v>
      </c>
      <c r="C46">
        <f t="shared" si="0"/>
        <v>442.56083466282064</v>
      </c>
      <c r="D46">
        <f t="shared" si="1"/>
        <v>0.1488890204340218</v>
      </c>
      <c r="E46">
        <f t="shared" si="2"/>
        <v>432.11835207119731</v>
      </c>
      <c r="F46" s="3">
        <f t="shared" si="3"/>
        <v>-7.5483145954717088</v>
      </c>
      <c r="G46" s="4">
        <f t="shared" si="4"/>
        <v>56.977053232211226</v>
      </c>
    </row>
    <row r="47" spans="1:7" x14ac:dyDescent="0.25">
      <c r="A47">
        <v>40</v>
      </c>
      <c r="B47" s="3">
        <f>'הזנת נתונים'!A40</f>
        <v>450.66666666666902</v>
      </c>
      <c r="C47">
        <f t="shared" si="0"/>
        <v>453.22614709397658</v>
      </c>
      <c r="D47">
        <f t="shared" si="1"/>
        <v>0.14472350075124288</v>
      </c>
      <c r="E47">
        <f t="shared" si="2"/>
        <v>442.70972368325465</v>
      </c>
      <c r="F47" s="3">
        <f t="shared" si="3"/>
        <v>-7.9569429834143648</v>
      </c>
      <c r="G47" s="4">
        <f t="shared" si="4"/>
        <v>63.312941641307091</v>
      </c>
    </row>
    <row r="48" spans="1:7" x14ac:dyDescent="0.25">
      <c r="A48">
        <v>41</v>
      </c>
      <c r="B48" s="3">
        <f>'הזנת נתונים'!A41</f>
        <v>461.66666666666902</v>
      </c>
      <c r="C48">
        <f t="shared" si="0"/>
        <v>463.96412545837984</v>
      </c>
      <c r="D48">
        <f t="shared" si="1"/>
        <v>0.1410767407644006</v>
      </c>
      <c r="E48">
        <f t="shared" si="2"/>
        <v>453.37087059472782</v>
      </c>
      <c r="F48" s="3">
        <f t="shared" si="3"/>
        <v>-8.2957960719411972</v>
      </c>
      <c r="G48" s="4">
        <f t="shared" si="4"/>
        <v>68.820232467235002</v>
      </c>
    </row>
    <row r="49" spans="1:7" x14ac:dyDescent="0.25">
      <c r="A49">
        <v>42</v>
      </c>
      <c r="B49" s="3">
        <f>'הזנת נתונים'!A42</f>
        <v>472.66666666666902</v>
      </c>
      <c r="C49">
        <f t="shared" si="0"/>
        <v>474.77144645927825</v>
      </c>
      <c r="D49">
        <f t="shared" si="1"/>
        <v>0.13781632456242407</v>
      </c>
      <c r="E49">
        <f t="shared" si="2"/>
        <v>464.10520219914423</v>
      </c>
      <c r="F49" s="3">
        <f t="shared" si="3"/>
        <v>-8.561464467524786</v>
      </c>
      <c r="G49" s="4">
        <f t="shared" si="4"/>
        <v>73.298673828689473</v>
      </c>
    </row>
    <row r="50" spans="1:7" x14ac:dyDescent="0.25">
      <c r="A50">
        <v>43</v>
      </c>
      <c r="B50" s="3">
        <f>'הזנת נתונים'!A43</f>
        <v>483.66666666666902</v>
      </c>
      <c r="C50">
        <f t="shared" si="0"/>
        <v>485.6400838329597</v>
      </c>
      <c r="D50">
        <f t="shared" si="1"/>
        <v>0.13483132380669022</v>
      </c>
      <c r="E50">
        <f t="shared" si="2"/>
        <v>474.90926278384069</v>
      </c>
      <c r="F50" s="3">
        <f t="shared" si="3"/>
        <v>-8.7574038828283278</v>
      </c>
      <c r="G50" s="4">
        <f t="shared" si="4"/>
        <v>76.692122766976667</v>
      </c>
    </row>
    <row r="51" spans="1:7" x14ac:dyDescent="0.25">
      <c r="A51">
        <v>44</v>
      </c>
      <c r="B51" s="3">
        <f>'הזנת נתונים'!A44</f>
        <v>494.66666666666902</v>
      </c>
      <c r="C51">
        <f t="shared" si="0"/>
        <v>496.55928630289986</v>
      </c>
      <c r="D51">
        <f t="shared" si="1"/>
        <v>0.13203434897482164</v>
      </c>
      <c r="E51">
        <f t="shared" si="2"/>
        <v>485.77491515676638</v>
      </c>
      <c r="F51" s="3">
        <f t="shared" si="3"/>
        <v>-8.8917515099026332</v>
      </c>
      <c r="G51" s="4">
        <f t="shared" si="4"/>
        <v>79.063244913855755</v>
      </c>
    </row>
    <row r="52" spans="1:7" x14ac:dyDescent="0.25">
      <c r="A52">
        <v>45</v>
      </c>
      <c r="B52" s="3">
        <f>'הזנת נתונים'!A45</f>
        <v>505.66666666666799</v>
      </c>
      <c r="C52">
        <f t="shared" si="0"/>
        <v>507.51724035316164</v>
      </c>
      <c r="D52">
        <f t="shared" si="1"/>
        <v>0.12936096804730246</v>
      </c>
      <c r="E52">
        <f t="shared" si="2"/>
        <v>496.69132065187466</v>
      </c>
      <c r="F52" s="3">
        <f t="shared" si="3"/>
        <v>-8.9753460147933311</v>
      </c>
      <c r="G52" s="4">
        <f t="shared" si="4"/>
        <v>80.556836085266525</v>
      </c>
    </row>
    <row r="53" spans="1:7" x14ac:dyDescent="0.25">
      <c r="A53">
        <v>46</v>
      </c>
      <c r="B53" s="3">
        <f>'הזנת נתונים'!A46</f>
        <v>516.66666666666902</v>
      </c>
      <c r="C53">
        <f t="shared" si="0"/>
        <v>518.50236191182705</v>
      </c>
      <c r="D53">
        <f t="shared" si="1"/>
        <v>0.12676736409025044</v>
      </c>
      <c r="E53">
        <f t="shared" si="2"/>
        <v>507.64660132120895</v>
      </c>
      <c r="F53" s="3">
        <f t="shared" si="3"/>
        <v>-9.0200653454600683</v>
      </c>
      <c r="G53" s="4">
        <f t="shared" si="4"/>
        <v>81.361578836369659</v>
      </c>
    </row>
    <row r="54" spans="1:7" x14ac:dyDescent="0.25">
      <c r="A54">
        <v>47</v>
      </c>
      <c r="B54" s="3">
        <f>'הזנת נתונים'!A47</f>
        <v>527.66666666666902</v>
      </c>
      <c r="C54">
        <f t="shared" si="0"/>
        <v>529.50420874055499</v>
      </c>
      <c r="D54">
        <f t="shared" si="1"/>
        <v>0.12422698334294283</v>
      </c>
      <c r="E54">
        <f t="shared" si="2"/>
        <v>518.62912927591731</v>
      </c>
      <c r="F54" s="3">
        <f t="shared" si="3"/>
        <v>-9.0375373907517087</v>
      </c>
      <c r="G54" s="4">
        <f t="shared" si="4"/>
        <v>81.677082089235199</v>
      </c>
    </row>
    <row r="55" spans="1:7" x14ac:dyDescent="0.25">
      <c r="A55">
        <v>48</v>
      </c>
      <c r="B55" s="3">
        <f>'הזנת נתונים'!A48</f>
        <v>538.66666666666902</v>
      </c>
      <c r="C55">
        <f t="shared" si="0"/>
        <v>540.51404051069494</v>
      </c>
      <c r="D55">
        <f t="shared" si="1"/>
        <v>0.12172677814050194</v>
      </c>
      <c r="E55">
        <f t="shared" si="2"/>
        <v>529.62843572389795</v>
      </c>
      <c r="F55" s="3">
        <f t="shared" si="3"/>
        <v>-9.0382309427710652</v>
      </c>
      <c r="G55" s="4">
        <f t="shared" si="4"/>
        <v>81.68961857486434</v>
      </c>
    </row>
    <row r="56" spans="1:7" x14ac:dyDescent="0.25">
      <c r="A56">
        <v>49</v>
      </c>
      <c r="B56" s="3">
        <f>'הזנת נתונים'!A49</f>
        <v>549.66666666666902</v>
      </c>
      <c r="C56">
        <f t="shared" si="0"/>
        <v>551.52507659322714</v>
      </c>
      <c r="D56">
        <f t="shared" si="1"/>
        <v>0.1192634954690695</v>
      </c>
      <c r="E56">
        <f t="shared" si="2"/>
        <v>540.6357672888355</v>
      </c>
      <c r="F56" s="3">
        <f t="shared" si="3"/>
        <v>-9.0308993778335207</v>
      </c>
      <c r="G56" s="4">
        <f t="shared" si="4"/>
        <v>81.557143572553869</v>
      </c>
    </row>
    <row r="57" spans="1:7" x14ac:dyDescent="0.25">
      <c r="A57">
        <v>50</v>
      </c>
      <c r="B57" s="3">
        <f>'הזנת נתונים'!A50</f>
        <v>560.66666666666902</v>
      </c>
      <c r="C57">
        <f t="shared" si="0"/>
        <v>562.53251385126623</v>
      </c>
      <c r="D57">
        <f t="shared" si="1"/>
        <v>0.11684031730725497</v>
      </c>
      <c r="E57">
        <f t="shared" si="2"/>
        <v>551.64434008869625</v>
      </c>
      <c r="F57" s="3">
        <f t="shared" si="3"/>
        <v>-9.0223265779727626</v>
      </c>
      <c r="G57" s="4">
        <f t="shared" si="4"/>
        <v>81.402376879593703</v>
      </c>
    </row>
    <row r="58" spans="1:7" x14ac:dyDescent="0.25">
      <c r="A58">
        <v>51</v>
      </c>
      <c r="B58" s="3">
        <f>'הזנת נתונים'!A51</f>
        <v>571.66666666666902</v>
      </c>
      <c r="C58">
        <f t="shared" si="0"/>
        <v>573.53337012950999</v>
      </c>
      <c r="D58">
        <f t="shared" si="1"/>
        <v>0.11446403284253517</v>
      </c>
      <c r="E58">
        <f t="shared" si="2"/>
        <v>562.6493541685735</v>
      </c>
      <c r="F58" s="3">
        <f t="shared" si="3"/>
        <v>-9.0173124980955208</v>
      </c>
      <c r="G58" s="4">
        <f t="shared" si="4"/>
        <v>81.311924688309688</v>
      </c>
    </row>
    <row r="59" spans="1:7" x14ac:dyDescent="0.25">
      <c r="A59">
        <v>52</v>
      </c>
      <c r="B59" s="3">
        <f>'הזנת נתונים'!A52</f>
        <v>582.66666666666902</v>
      </c>
      <c r="C59">
        <f t="shared" si="0"/>
        <v>584.52621585860447</v>
      </c>
      <c r="D59">
        <f t="shared" si="1"/>
        <v>0.11214282025898185</v>
      </c>
      <c r="E59">
        <f t="shared" si="2"/>
        <v>573.64783416235252</v>
      </c>
      <c r="F59" s="3">
        <f t="shared" si="3"/>
        <v>-9.0188325043164923</v>
      </c>
      <c r="G59" s="4">
        <f t="shared" si="4"/>
        <v>81.33933974091569</v>
      </c>
    </row>
    <row r="60" spans="1:7" x14ac:dyDescent="0.25">
      <c r="A60">
        <v>53</v>
      </c>
      <c r="B60" s="3">
        <f>'הזנת נתונים'!A53</f>
        <v>593.66666666666902</v>
      </c>
      <c r="C60">
        <f t="shared" si="0"/>
        <v>595.51084839005898</v>
      </c>
      <c r="D60">
        <f t="shared" si="1"/>
        <v>0.1098846385568716</v>
      </c>
      <c r="E60">
        <f t="shared" si="2"/>
        <v>584.63835867886348</v>
      </c>
      <c r="F60" s="3">
        <f t="shared" si="3"/>
        <v>-9.0283079878055332</v>
      </c>
      <c r="G60" s="4">
        <f t="shared" si="4"/>
        <v>81.510345122673201</v>
      </c>
    </row>
    <row r="61" spans="1:7" x14ac:dyDescent="0.25">
      <c r="A61">
        <v>54</v>
      </c>
      <c r="B61" s="3">
        <f>'הזנת נתונים'!A54</f>
        <v>604.66666666666902</v>
      </c>
      <c r="C61">
        <f t="shared" si="0"/>
        <v>606.48795330095163</v>
      </c>
      <c r="D61">
        <f t="shared" si="1"/>
        <v>0.10769617664651848</v>
      </c>
      <c r="E61">
        <f t="shared" si="2"/>
        <v>595.62073302861586</v>
      </c>
      <c r="F61" s="3">
        <f t="shared" si="3"/>
        <v>-9.0459336380531568</v>
      </c>
      <c r="G61" s="4">
        <f t="shared" si="4"/>
        <v>81.828915384061617</v>
      </c>
    </row>
    <row r="62" spans="1:7" x14ac:dyDescent="0.25">
      <c r="A62">
        <v>55</v>
      </c>
      <c r="B62" s="3">
        <f>'הזנת נתונים'!A55</f>
        <v>615.66666666666902</v>
      </c>
      <c r="C62">
        <f t="shared" si="0"/>
        <v>617.4587855887961</v>
      </c>
      <c r="D62">
        <f t="shared" si="1"/>
        <v>0.10558227490351102</v>
      </c>
      <c r="E62">
        <f t="shared" si="2"/>
        <v>606.59564947759816</v>
      </c>
      <c r="F62" s="3">
        <f t="shared" si="3"/>
        <v>-9.071017189070858</v>
      </c>
      <c r="G62" s="4">
        <f t="shared" si="4"/>
        <v>82.283352844418971</v>
      </c>
    </row>
    <row r="63" spans="1:7" x14ac:dyDescent="0.25">
      <c r="A63">
        <v>56</v>
      </c>
      <c r="B63" s="3">
        <f>'הזנת נתונים'!A56</f>
        <v>626.66666666666902</v>
      </c>
      <c r="C63">
        <f t="shared" si="0"/>
        <v>628.42489267216081</v>
      </c>
      <c r="D63">
        <f t="shared" si="1"/>
        <v>0.10354571968479474</v>
      </c>
      <c r="E63">
        <f t="shared" si="2"/>
        <v>617.56436786369966</v>
      </c>
      <c r="F63" s="3">
        <f t="shared" si="3"/>
        <v>-9.1022988029693579</v>
      </c>
      <c r="G63" s="4">
        <f t="shared" si="4"/>
        <v>82.851843498537406</v>
      </c>
    </row>
    <row r="64" spans="1:7" x14ac:dyDescent="0.25">
      <c r="A64">
        <v>57</v>
      </c>
      <c r="B64" s="3">
        <f>'הזנת נתונים'!A57</f>
        <v>637.66666666666902</v>
      </c>
      <c r="C64">
        <f t="shared" si="0"/>
        <v>639.3878912975805</v>
      </c>
      <c r="D64">
        <f t="shared" si="1"/>
        <v>0.10158730986454133</v>
      </c>
      <c r="E64">
        <f t="shared" si="2"/>
        <v>628.52843839184561</v>
      </c>
      <c r="F64" s="3">
        <f t="shared" si="3"/>
        <v>-9.1382282748234047</v>
      </c>
      <c r="G64" s="4">
        <f t="shared" si="4"/>
        <v>83.507216002781945</v>
      </c>
    </row>
    <row r="65" spans="1:7" x14ac:dyDescent="0.25">
      <c r="A65">
        <v>58</v>
      </c>
      <c r="B65" s="3">
        <f>'הזנת נתונים'!A58</f>
        <v>648.66666666666902</v>
      </c>
      <c r="C65">
        <f t="shared" si="0"/>
        <v>650.34930235240267</v>
      </c>
      <c r="D65">
        <f t="shared" si="1"/>
        <v>9.9706102265584601E-2</v>
      </c>
      <c r="E65">
        <f t="shared" si="2"/>
        <v>639.48947860744499</v>
      </c>
      <c r="F65" s="3">
        <f t="shared" si="3"/>
        <v>-9.1771880592240223</v>
      </c>
      <c r="G65" s="4">
        <f t="shared" si="4"/>
        <v>84.220780674363979</v>
      </c>
    </row>
    <row r="66" spans="1:7" x14ac:dyDescent="0.25">
      <c r="A66">
        <v>59</v>
      </c>
      <c r="B66" s="3">
        <f>'הזנת נתונים'!A59</f>
        <v>659.66666666666902</v>
      </c>
      <c r="C66">
        <f t="shared" si="0"/>
        <v>661.31044142223391</v>
      </c>
      <c r="D66">
        <f t="shared" si="1"/>
        <v>9.7899756380348271E-2</v>
      </c>
      <c r="E66">
        <f t="shared" si="2"/>
        <v>650.44900845466827</v>
      </c>
      <c r="F66" s="3">
        <f t="shared" si="3"/>
        <v>-9.2176582120007424</v>
      </c>
      <c r="G66" s="4">
        <f t="shared" si="4"/>
        <v>84.965222913264725</v>
      </c>
    </row>
    <row r="67" spans="1:7" x14ac:dyDescent="0.25">
      <c r="A67">
        <v>60</v>
      </c>
      <c r="B67" s="3">
        <f>'הזנת נתונים'!A60</f>
        <v>670.66666666666902</v>
      </c>
      <c r="C67" s="22">
        <f t="shared" si="0"/>
        <v>672.27235870204743</v>
      </c>
      <c r="D67" s="22">
        <f t="shared" si="1"/>
        <v>9.6164915045605592E-2</v>
      </c>
      <c r="E67">
        <f t="shared" si="2"/>
        <v>661.40834117861425</v>
      </c>
      <c r="F67" s="3">
        <f t="shared" si="3"/>
        <v>-9.2583254880547656</v>
      </c>
      <c r="G67" s="4">
        <f t="shared" si="4"/>
        <v>85.716590842764518</v>
      </c>
    </row>
    <row r="68" spans="1:7" x14ac:dyDescent="0.25">
      <c r="G68" s="4"/>
    </row>
    <row r="69" spans="1:7" x14ac:dyDescent="0.25">
      <c r="G69" s="4"/>
    </row>
    <row r="70" spans="1:7" x14ac:dyDescent="0.25">
      <c r="D70" s="7" t="s">
        <v>45</v>
      </c>
      <c r="E70" s="7" t="s">
        <v>56</v>
      </c>
      <c r="F70" s="7"/>
      <c r="G70" s="4"/>
    </row>
    <row r="71" spans="1:7" x14ac:dyDescent="0.25">
      <c r="D71" s="7">
        <v>1</v>
      </c>
      <c r="E71" s="7">
        <f>$C$67+$D$67*(D71^2+2*$A$67*D71)</f>
        <v>683.9083134225657</v>
      </c>
      <c r="F71" s="81" t="s">
        <v>6</v>
      </c>
      <c r="G71" s="4"/>
    </row>
    <row r="72" spans="1:7" x14ac:dyDescent="0.25">
      <c r="D72" s="7">
        <v>2</v>
      </c>
      <c r="E72" s="7">
        <f t="shared" ref="E72:E83" si="5">$C$67+$D$67*(D72^2+2*$A$67*D72)</f>
        <v>695.73659797317521</v>
      </c>
      <c r="F72" s="82"/>
      <c r="G72" s="4"/>
    </row>
    <row r="73" spans="1:7" x14ac:dyDescent="0.25">
      <c r="D73" s="7">
        <v>3</v>
      </c>
      <c r="E73" s="7">
        <f t="shared" si="5"/>
        <v>707.75721235387584</v>
      </c>
      <c r="F73" s="82"/>
      <c r="G73" s="4"/>
    </row>
    <row r="74" spans="1:7" x14ac:dyDescent="0.25">
      <c r="D74" s="7">
        <v>4</v>
      </c>
      <c r="E74" s="7">
        <f t="shared" si="5"/>
        <v>719.97015656466783</v>
      </c>
      <c r="F74" s="82"/>
      <c r="G74" s="4"/>
    </row>
    <row r="75" spans="1:7" x14ac:dyDescent="0.25">
      <c r="D75" s="7">
        <v>5</v>
      </c>
      <c r="E75" s="7">
        <f t="shared" si="5"/>
        <v>732.37543060555095</v>
      </c>
      <c r="F75" s="82"/>
      <c r="G75" s="4"/>
    </row>
    <row r="76" spans="1:7" x14ac:dyDescent="0.25">
      <c r="D76" s="7">
        <v>6</v>
      </c>
      <c r="E76" s="7">
        <f t="shared" si="5"/>
        <v>744.9730344765253</v>
      </c>
      <c r="F76" s="82"/>
      <c r="G76" s="4"/>
    </row>
    <row r="77" spans="1:7" x14ac:dyDescent="0.25">
      <c r="D77" s="7">
        <v>7</v>
      </c>
      <c r="E77" s="7">
        <f t="shared" si="5"/>
        <v>757.76296817759078</v>
      </c>
      <c r="F77" s="82"/>
      <c r="G77" s="4"/>
    </row>
    <row r="78" spans="1:7" x14ac:dyDescent="0.25">
      <c r="D78" s="7">
        <v>8</v>
      </c>
      <c r="E78" s="7">
        <f t="shared" si="5"/>
        <v>770.7452317087475</v>
      </c>
      <c r="F78" s="82"/>
      <c r="G78" s="4"/>
    </row>
    <row r="79" spans="1:7" x14ac:dyDescent="0.25">
      <c r="D79" s="7">
        <v>9</v>
      </c>
      <c r="E79" s="7">
        <f t="shared" si="5"/>
        <v>783.91982506999557</v>
      </c>
      <c r="F79" s="82"/>
      <c r="G79" s="4"/>
    </row>
    <row r="80" spans="1:7" x14ac:dyDescent="0.25">
      <c r="D80" s="7">
        <v>10</v>
      </c>
      <c r="E80" s="7">
        <f t="shared" si="5"/>
        <v>797.28674826133465</v>
      </c>
      <c r="F80" s="82"/>
      <c r="G80" s="4"/>
    </row>
    <row r="81" spans="4:15" x14ac:dyDescent="0.25">
      <c r="D81" s="7">
        <v>11</v>
      </c>
      <c r="E81" s="7">
        <f t="shared" si="5"/>
        <v>810.84600128276509</v>
      </c>
      <c r="F81" s="82"/>
    </row>
    <row r="82" spans="4:15" x14ac:dyDescent="0.25">
      <c r="D82" s="7">
        <v>12</v>
      </c>
      <c r="E82" s="7">
        <f t="shared" si="5"/>
        <v>824.59758413428665</v>
      </c>
      <c r="F82" s="82"/>
    </row>
    <row r="83" spans="4:15" x14ac:dyDescent="0.25">
      <c r="D83" s="7">
        <v>13</v>
      </c>
      <c r="E83" s="7">
        <f t="shared" si="5"/>
        <v>838.54149681589956</v>
      </c>
      <c r="F83" s="83"/>
    </row>
    <row r="89" spans="4:15" x14ac:dyDescent="0.25">
      <c r="D89">
        <f>E71</f>
        <v>683.9083134225657</v>
      </c>
      <c r="E89">
        <f>E72</f>
        <v>695.73659797317521</v>
      </c>
      <c r="F89">
        <f>E73</f>
        <v>707.75721235387584</v>
      </c>
      <c r="G89">
        <f>E74</f>
        <v>719.97015656466783</v>
      </c>
      <c r="H89">
        <f>E75</f>
        <v>732.37543060555095</v>
      </c>
      <c r="I89">
        <f>E76</f>
        <v>744.9730344765253</v>
      </c>
      <c r="J89">
        <f>E77</f>
        <v>757.76296817759078</v>
      </c>
      <c r="K89">
        <f>E78</f>
        <v>770.7452317087475</v>
      </c>
      <c r="L89">
        <f>E79</f>
        <v>783.91982506999557</v>
      </c>
      <c r="M89">
        <f>E80</f>
        <v>797.28674826133465</v>
      </c>
      <c r="N89">
        <f>E81</f>
        <v>810.84600128276509</v>
      </c>
      <c r="O89">
        <f>E82</f>
        <v>824.59758413428665</v>
      </c>
    </row>
  </sheetData>
  <mergeCells count="1">
    <mergeCell ref="F71:F8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CF9E6-4FCB-4C2D-BE2D-5892F3DE63E4}">
  <sheetPr codeName="גיליון14">
    <tabColor theme="7" tint="0.59999389629810485"/>
  </sheetPr>
  <dimension ref="A1:S68"/>
  <sheetViews>
    <sheetView rightToLeft="1" workbookViewId="0"/>
  </sheetViews>
  <sheetFormatPr defaultRowHeight="13.8" x14ac:dyDescent="0.25"/>
  <cols>
    <col min="2" max="2" width="10.8984375" bestFit="1" customWidth="1"/>
    <col min="3" max="3" width="12.3984375" customWidth="1"/>
  </cols>
  <sheetData>
    <row r="1" spans="1:19" x14ac:dyDescent="0.25">
      <c r="D1" t="s">
        <v>17</v>
      </c>
      <c r="I1" t="s">
        <v>18</v>
      </c>
    </row>
    <row r="2" spans="1:19" x14ac:dyDescent="0.25">
      <c r="A2" t="s">
        <v>1</v>
      </c>
      <c r="B2" t="s">
        <v>0</v>
      </c>
      <c r="C2" s="24" t="s">
        <v>57</v>
      </c>
      <c r="D2" s="5" t="s">
        <v>13</v>
      </c>
      <c r="E2" s="5" t="s">
        <v>58</v>
      </c>
      <c r="F2" s="5" t="s">
        <v>1</v>
      </c>
      <c r="G2" s="5" t="s">
        <v>14</v>
      </c>
      <c r="H2" s="5" t="s">
        <v>59</v>
      </c>
      <c r="I2" s="22" t="s">
        <v>19</v>
      </c>
      <c r="J2" s="22" t="s">
        <v>59</v>
      </c>
      <c r="M2" t="s">
        <v>60</v>
      </c>
      <c r="N2" t="s">
        <v>2</v>
      </c>
      <c r="O2" t="s">
        <v>16</v>
      </c>
      <c r="P2" t="s">
        <v>61</v>
      </c>
      <c r="Q2" t="s">
        <v>3</v>
      </c>
      <c r="R2" t="s">
        <v>20</v>
      </c>
      <c r="S2" t="s">
        <v>21</v>
      </c>
    </row>
    <row r="3" spans="1:19" x14ac:dyDescent="0.25">
      <c r="A3">
        <v>1</v>
      </c>
      <c r="B3" s="9">
        <f>'הזנת נתונים'!A1</f>
        <v>28</v>
      </c>
      <c r="C3">
        <f>LN(B3)</f>
        <v>3.3322045101752038</v>
      </c>
      <c r="D3">
        <f>COUNT($B$3:B3)</f>
        <v>1</v>
      </c>
      <c r="E3">
        <f>SUM($C$3:C3)</f>
        <v>3.3322045101752038</v>
      </c>
      <c r="F3">
        <f>SUM($A$3:A3)</f>
        <v>1</v>
      </c>
      <c r="G3">
        <f>SUM($I$3:I3)</f>
        <v>1</v>
      </c>
      <c r="H3">
        <f>SUM($J$3:J3)</f>
        <v>3.3322045101752038</v>
      </c>
      <c r="I3">
        <f t="shared" ref="I3:I34" si="0">(A3)^2</f>
        <v>1</v>
      </c>
      <c r="J3">
        <f>C3*A3</f>
        <v>3.3322045101752038</v>
      </c>
    </row>
    <row r="4" spans="1:19" x14ac:dyDescent="0.25">
      <c r="A4">
        <v>2</v>
      </c>
      <c r="B4" s="9">
        <f>'הזנת נתונים'!A2</f>
        <v>35</v>
      </c>
      <c r="C4">
        <f t="shared" ref="C4:C62" si="1">LN(B4)</f>
        <v>3.5553480614894135</v>
      </c>
      <c r="D4">
        <f>COUNT($B$3:B4)</f>
        <v>2</v>
      </c>
      <c r="E4">
        <f>SUM($C$3:C4)</f>
        <v>6.8875525716646173</v>
      </c>
      <c r="F4">
        <f>SUM($A$3:A4)</f>
        <v>3</v>
      </c>
      <c r="G4">
        <f>SUM($I$3:I4)</f>
        <v>5</v>
      </c>
      <c r="H4">
        <f>SUM($J$3:J4)</f>
        <v>10.44290063315403</v>
      </c>
      <c r="I4">
        <f t="shared" si="0"/>
        <v>4</v>
      </c>
      <c r="J4">
        <f t="shared" ref="J4:J62" si="2">C4*A4</f>
        <v>7.110696122978827</v>
      </c>
      <c r="K4" s="2"/>
      <c r="M4" s="2">
        <f>EXP(N4)</f>
        <v>22.400000000000027</v>
      </c>
      <c r="N4" s="25">
        <f>(E4-O4*F4)/D4</f>
        <v>3.1090609588609954</v>
      </c>
      <c r="O4" s="26">
        <f>(D4*H4-E4*F4)/(D4*G4-(F4)^2)</f>
        <v>0.22314355131420882</v>
      </c>
      <c r="P4" s="28">
        <f>EXP(O4*A4)</f>
        <v>1.5624999999999971</v>
      </c>
      <c r="Q4">
        <f>N4*P4</f>
        <v>4.8579077482202964</v>
      </c>
      <c r="R4">
        <f>Q4-B4</f>
        <v>-30.142092251779705</v>
      </c>
      <c r="S4">
        <f>R4^2</f>
        <v>908.54572531479812</v>
      </c>
    </row>
    <row r="5" spans="1:19" x14ac:dyDescent="0.25">
      <c r="A5">
        <v>3</v>
      </c>
      <c r="B5" s="9">
        <f>'הזנת נתונים'!A3</f>
        <v>40</v>
      </c>
      <c r="C5">
        <f t="shared" si="1"/>
        <v>3.6888794541139363</v>
      </c>
      <c r="D5">
        <f>COUNT($B$3:B5)</f>
        <v>3</v>
      </c>
      <c r="E5">
        <f>SUM($C$3:C5)</f>
        <v>10.576432025778553</v>
      </c>
      <c r="F5">
        <f>SUM($A$3:A5)</f>
        <v>6</v>
      </c>
      <c r="G5">
        <f>SUM($I$3:I5)</f>
        <v>14</v>
      </c>
      <c r="H5">
        <f>SUM($J$3:J5)</f>
        <v>21.509538995495838</v>
      </c>
      <c r="I5">
        <f t="shared" si="0"/>
        <v>9</v>
      </c>
      <c r="J5">
        <f t="shared" si="2"/>
        <v>11.066638362341809</v>
      </c>
      <c r="K5" s="2"/>
      <c r="M5" s="2">
        <f t="shared" ref="M5:M62" si="3">EXP(N5)</f>
        <v>23.778989531385339</v>
      </c>
      <c r="N5" s="25">
        <f t="shared" ref="N5:N62" si="4">(E5-O5*F5)/D5</f>
        <v>3.1688023979874518</v>
      </c>
      <c r="O5" s="26">
        <f t="shared" ref="O5:O62" si="5">(D5*H5-E5*F5)/(D5*G5-(F5)^2)</f>
        <v>0.17833747196936636</v>
      </c>
      <c r="P5">
        <f t="shared" ref="P5:P62" si="6">EXP(O5*A5)</f>
        <v>1.7074694419062775</v>
      </c>
      <c r="Q5">
        <f t="shared" ref="Q5:Q62" si="7">N5*P5</f>
        <v>5.4106332620029081</v>
      </c>
      <c r="R5">
        <f t="shared" ref="R5:R62" si="8">Q5-B5</f>
        <v>-34.589366737997089</v>
      </c>
      <c r="S5">
        <f t="shared" ref="S5:S62" si="9">R5^2</f>
        <v>1196.4242913356593</v>
      </c>
    </row>
    <row r="6" spans="1:19" x14ac:dyDescent="0.25">
      <c r="A6">
        <v>4</v>
      </c>
      <c r="B6" s="9">
        <f>'הזנת נתונים'!A4</f>
        <v>55</v>
      </c>
      <c r="C6">
        <f t="shared" si="1"/>
        <v>4.0073331852324712</v>
      </c>
      <c r="D6">
        <f>COUNT($B$3:B6)</f>
        <v>4</v>
      </c>
      <c r="E6">
        <f>SUM($C$3:C6)</f>
        <v>14.583765211011023</v>
      </c>
      <c r="F6">
        <f>SUM($A$3:A6)</f>
        <v>10</v>
      </c>
      <c r="G6">
        <f>SUM($I$3:I6)</f>
        <v>30</v>
      </c>
      <c r="H6">
        <f>SUM($J$3:J6)</f>
        <v>37.538871736425719</v>
      </c>
      <c r="I6">
        <f t="shared" si="0"/>
        <v>16</v>
      </c>
      <c r="J6">
        <f t="shared" si="2"/>
        <v>16.029332740929885</v>
      </c>
      <c r="K6" s="2"/>
      <c r="M6" s="2">
        <f t="shared" si="3"/>
        <v>22.336272986089064</v>
      </c>
      <c r="N6" s="25">
        <f t="shared" si="4"/>
        <v>3.1062119483036765</v>
      </c>
      <c r="O6" s="26">
        <f t="shared" si="5"/>
        <v>0.21589174177963172</v>
      </c>
      <c r="P6">
        <f t="shared" si="6"/>
        <v>2.3716050616340891</v>
      </c>
      <c r="Q6">
        <f t="shared" si="7"/>
        <v>7.3667079791052847</v>
      </c>
      <c r="R6">
        <f t="shared" si="8"/>
        <v>-47.633292020894714</v>
      </c>
      <c r="S6">
        <f t="shared" si="9"/>
        <v>2268.9305087478319</v>
      </c>
    </row>
    <row r="7" spans="1:19" x14ac:dyDescent="0.25">
      <c r="A7">
        <v>5</v>
      </c>
      <c r="B7" s="9">
        <f>'הזנת נתונים'!A5</f>
        <v>70</v>
      </c>
      <c r="C7">
        <f t="shared" si="1"/>
        <v>4.2484952420493594</v>
      </c>
      <c r="D7">
        <f>COUNT($B$3:B7)</f>
        <v>5</v>
      </c>
      <c r="E7">
        <f>SUM($C$3:C7)</f>
        <v>18.832260453060382</v>
      </c>
      <c r="F7">
        <f>SUM($A$3:A7)</f>
        <v>15</v>
      </c>
      <c r="G7">
        <f>SUM($I$3:I7)</f>
        <v>55</v>
      </c>
      <c r="H7">
        <f>SUM($J$3:J7)</f>
        <v>58.781347946672511</v>
      </c>
      <c r="I7">
        <f t="shared" si="0"/>
        <v>25</v>
      </c>
      <c r="J7">
        <f t="shared" si="2"/>
        <v>21.242476210246796</v>
      </c>
      <c r="K7" s="2"/>
      <c r="M7" s="2">
        <f t="shared" si="3"/>
        <v>21.781960219813108</v>
      </c>
      <c r="N7" s="25">
        <f t="shared" si="4"/>
        <v>3.0810821143646683</v>
      </c>
      <c r="O7" s="26">
        <f t="shared" si="5"/>
        <v>0.22845665874913607</v>
      </c>
      <c r="P7">
        <f t="shared" si="6"/>
        <v>3.1339158526400333</v>
      </c>
      <c r="Q7">
        <f t="shared" si="7"/>
        <v>9.655852081493105</v>
      </c>
      <c r="R7">
        <f t="shared" si="8"/>
        <v>-60.344147918506891</v>
      </c>
      <c r="S7">
        <f t="shared" si="9"/>
        <v>3641.4161880106394</v>
      </c>
    </row>
    <row r="8" spans="1:19" x14ac:dyDescent="0.25">
      <c r="A8">
        <v>6</v>
      </c>
      <c r="B8" s="9">
        <f>'הזנת נתונים'!A6</f>
        <v>75</v>
      </c>
      <c r="C8">
        <f t="shared" si="1"/>
        <v>4.3174881135363101</v>
      </c>
      <c r="D8">
        <f>COUNT($B$3:B8)</f>
        <v>6</v>
      </c>
      <c r="E8">
        <f>SUM($C$3:C8)</f>
        <v>23.149748566596692</v>
      </c>
      <c r="F8">
        <f>SUM($A$3:A8)</f>
        <v>21</v>
      </c>
      <c r="G8">
        <f>SUM($I$3:I8)</f>
        <v>91</v>
      </c>
      <c r="H8">
        <f>SUM($J$3:J8)</f>
        <v>84.686276627890379</v>
      </c>
      <c r="I8">
        <f t="shared" si="0"/>
        <v>36</v>
      </c>
      <c r="J8">
        <f t="shared" si="2"/>
        <v>25.904928681217861</v>
      </c>
      <c r="K8" s="2"/>
      <c r="M8" s="2">
        <f t="shared" si="3"/>
        <v>22.779479273072475</v>
      </c>
      <c r="N8" s="25">
        <f t="shared" si="4"/>
        <v>3.1258600988057239</v>
      </c>
      <c r="O8" s="26">
        <f t="shared" si="5"/>
        <v>0.20926609398868334</v>
      </c>
      <c r="P8">
        <f t="shared" si="6"/>
        <v>3.5099316485202081</v>
      </c>
      <c r="Q8">
        <f t="shared" si="7"/>
        <v>10.971555289644716</v>
      </c>
      <c r="R8">
        <f t="shared" si="8"/>
        <v>-64.028444710355288</v>
      </c>
      <c r="S8">
        <f t="shared" si="9"/>
        <v>4099.6417320270239</v>
      </c>
    </row>
    <row r="9" spans="1:19" x14ac:dyDescent="0.25">
      <c r="A9">
        <v>7</v>
      </c>
      <c r="B9" s="9">
        <f>'הזנת נתונים'!A7</f>
        <v>87.6666666666667</v>
      </c>
      <c r="C9">
        <f t="shared" si="1"/>
        <v>4.4735417435096556</v>
      </c>
      <c r="D9">
        <f>COUNT($B$3:B9)</f>
        <v>7</v>
      </c>
      <c r="E9">
        <f>SUM($C$3:C9)</f>
        <v>27.623290310106348</v>
      </c>
      <c r="F9">
        <f>SUM($A$3:A9)</f>
        <v>28</v>
      </c>
      <c r="G9">
        <f>SUM($I$3:I9)</f>
        <v>140</v>
      </c>
      <c r="H9">
        <f>SUM($J$3:J9)</f>
        <v>116.00106883245797</v>
      </c>
      <c r="I9">
        <f t="shared" si="0"/>
        <v>49</v>
      </c>
      <c r="J9">
        <f t="shared" si="2"/>
        <v>31.314792204567588</v>
      </c>
      <c r="K9" s="2"/>
      <c r="M9" s="2">
        <f t="shared" si="3"/>
        <v>23.55505361463883</v>
      </c>
      <c r="N9" s="25">
        <f t="shared" si="4"/>
        <v>3.1593403882962545</v>
      </c>
      <c r="O9" s="26">
        <f t="shared" si="5"/>
        <v>0.19671098542973459</v>
      </c>
      <c r="P9">
        <f t="shared" si="6"/>
        <v>3.9629032397800454</v>
      </c>
      <c r="Q9">
        <f t="shared" si="7"/>
        <v>12.520160260347174</v>
      </c>
      <c r="R9">
        <f t="shared" si="8"/>
        <v>-75.146506406319531</v>
      </c>
      <c r="S9">
        <f t="shared" si="9"/>
        <v>5646.997425075022</v>
      </c>
    </row>
    <row r="10" spans="1:19" x14ac:dyDescent="0.25">
      <c r="A10">
        <v>8</v>
      </c>
      <c r="B10" s="9">
        <f>'הזנת נתונים'!A8</f>
        <v>98.6666666666667</v>
      </c>
      <c r="C10">
        <f t="shared" si="1"/>
        <v>4.591747165655951</v>
      </c>
      <c r="D10">
        <f>COUNT($B$3:B10)</f>
        <v>8</v>
      </c>
      <c r="E10">
        <f>SUM($C$3:C10)</f>
        <v>32.215037475762301</v>
      </c>
      <c r="F10">
        <f>SUM($A$3:A10)</f>
        <v>36</v>
      </c>
      <c r="G10">
        <f>SUM($I$3:I10)</f>
        <v>204</v>
      </c>
      <c r="H10">
        <f>SUM($J$3:J10)</f>
        <v>152.7350461577056</v>
      </c>
      <c r="I10">
        <f t="shared" si="0"/>
        <v>64</v>
      </c>
      <c r="J10">
        <f t="shared" si="2"/>
        <v>36.733977325247608</v>
      </c>
      <c r="K10" s="2"/>
      <c r="M10" s="2">
        <f t="shared" si="3"/>
        <v>24.401891866745704</v>
      </c>
      <c r="N10" s="25">
        <f t="shared" si="4"/>
        <v>3.1946606648157978</v>
      </c>
      <c r="O10" s="26">
        <f t="shared" si="5"/>
        <v>0.18493755992322003</v>
      </c>
      <c r="P10">
        <f t="shared" si="6"/>
        <v>4.3907518619684138</v>
      </c>
      <c r="Q10">
        <f t="shared" si="7"/>
        <v>14.026962262397214</v>
      </c>
      <c r="R10">
        <f t="shared" si="8"/>
        <v>-84.63970440426948</v>
      </c>
      <c r="S10">
        <f t="shared" si="9"/>
        <v>7163.8795616421148</v>
      </c>
    </row>
    <row r="11" spans="1:19" x14ac:dyDescent="0.25">
      <c r="A11">
        <v>9</v>
      </c>
      <c r="B11" s="9">
        <f>'הזנת נתונים'!A9</f>
        <v>109.666666666667</v>
      </c>
      <c r="C11">
        <f t="shared" si="1"/>
        <v>4.6974454620972654</v>
      </c>
      <c r="D11">
        <f>COUNT($B$3:B11)</f>
        <v>9</v>
      </c>
      <c r="E11">
        <f>SUM($C$3:C11)</f>
        <v>36.912482937859565</v>
      </c>
      <c r="F11">
        <f>SUM($A$3:A11)</f>
        <v>45</v>
      </c>
      <c r="G11">
        <f>SUM($I$3:I11)</f>
        <v>285</v>
      </c>
      <c r="H11">
        <f>SUM($J$3:J11)</f>
        <v>195.01205531658098</v>
      </c>
      <c r="I11">
        <f t="shared" si="0"/>
        <v>81</v>
      </c>
      <c r="J11">
        <f t="shared" si="2"/>
        <v>42.277009158875387</v>
      </c>
      <c r="K11" s="2"/>
      <c r="M11" s="2">
        <f t="shared" si="3"/>
        <v>25.294414674013943</v>
      </c>
      <c r="N11" s="25">
        <f t="shared" si="4"/>
        <v>3.230583607488577</v>
      </c>
      <c r="O11" s="26">
        <f t="shared" si="5"/>
        <v>0.17416067712138605</v>
      </c>
      <c r="P11">
        <f t="shared" si="6"/>
        <v>4.7943881287477392</v>
      </c>
      <c r="Q11">
        <f t="shared" si="7"/>
        <v>15.488671696670279</v>
      </c>
      <c r="R11">
        <f t="shared" si="8"/>
        <v>-94.177994969996718</v>
      </c>
      <c r="S11">
        <f t="shared" si="9"/>
        <v>8869.4947365687276</v>
      </c>
    </row>
    <row r="12" spans="1:19" x14ac:dyDescent="0.25">
      <c r="A12">
        <v>10</v>
      </c>
      <c r="B12" s="9">
        <f>'הזנת נתונים'!A10</f>
        <v>120.666666666667</v>
      </c>
      <c r="C12">
        <f t="shared" si="1"/>
        <v>4.7930319231576641</v>
      </c>
      <c r="D12">
        <f>COUNT($B$3:B12)</f>
        <v>10</v>
      </c>
      <c r="E12">
        <f>SUM($C$3:C12)</f>
        <v>41.705514861017228</v>
      </c>
      <c r="F12">
        <f>SUM($A$3:A12)</f>
        <v>55</v>
      </c>
      <c r="G12">
        <f>SUM($I$3:I12)</f>
        <v>385</v>
      </c>
      <c r="H12">
        <f>SUM($J$3:J12)</f>
        <v>242.94237454815763</v>
      </c>
      <c r="I12">
        <f t="shared" si="0"/>
        <v>100</v>
      </c>
      <c r="J12">
        <f t="shared" si="2"/>
        <v>47.93031923157664</v>
      </c>
      <c r="K12" s="2"/>
      <c r="M12" s="2">
        <f t="shared" si="3"/>
        <v>26.21718989786476</v>
      </c>
      <c r="N12" s="25">
        <f t="shared" si="4"/>
        <v>3.2664152985975319</v>
      </c>
      <c r="O12" s="26">
        <f t="shared" si="5"/>
        <v>0.16438839772803476</v>
      </c>
      <c r="P12">
        <f t="shared" si="6"/>
        <v>5.1752310074729664</v>
      </c>
      <c r="Q12">
        <f t="shared" si="7"/>
        <v>16.904453736586014</v>
      </c>
      <c r="R12">
        <f t="shared" si="8"/>
        <v>-103.76221293008098</v>
      </c>
      <c r="S12">
        <f t="shared" si="9"/>
        <v>10766.596832147465</v>
      </c>
    </row>
    <row r="13" spans="1:19" x14ac:dyDescent="0.25">
      <c r="A13">
        <v>11</v>
      </c>
      <c r="B13" s="9">
        <f>'הזנת נתונים'!A11</f>
        <v>131.666666666667</v>
      </c>
      <c r="C13">
        <f t="shared" si="1"/>
        <v>4.8802734762330147</v>
      </c>
      <c r="D13">
        <f>COUNT($B$3:B13)</f>
        <v>11</v>
      </c>
      <c r="E13">
        <f>SUM($C$3:C13)</f>
        <v>46.585788337250243</v>
      </c>
      <c r="F13">
        <f>SUM($A$3:A13)</f>
        <v>66</v>
      </c>
      <c r="G13">
        <f>SUM($I$3:I13)</f>
        <v>506</v>
      </c>
      <c r="H13">
        <f>SUM($J$3:J13)</f>
        <v>296.62538278672082</v>
      </c>
      <c r="I13">
        <f t="shared" si="0"/>
        <v>121</v>
      </c>
      <c r="J13">
        <f t="shared" si="2"/>
        <v>53.683008238563161</v>
      </c>
      <c r="K13" s="2"/>
      <c r="M13" s="2">
        <f t="shared" si="3"/>
        <v>27.160489747913829</v>
      </c>
      <c r="N13" s="25">
        <f t="shared" si="4"/>
        <v>3.3017633344835118</v>
      </c>
      <c r="O13" s="26">
        <f t="shared" si="5"/>
        <v>0.15555138875653959</v>
      </c>
      <c r="P13">
        <f t="shared" si="6"/>
        <v>5.5348544876557479</v>
      </c>
      <c r="Q13">
        <f t="shared" si="7"/>
        <v>18.274779609043271</v>
      </c>
      <c r="R13">
        <f t="shared" si="8"/>
        <v>-113.39188705762373</v>
      </c>
      <c r="S13">
        <f t="shared" si="9"/>
        <v>12857.720050488897</v>
      </c>
    </row>
    <row r="14" spans="1:19" x14ac:dyDescent="0.25">
      <c r="A14">
        <v>12</v>
      </c>
      <c r="B14" s="9">
        <f>'הזנת נתונים'!A12</f>
        <v>142.666666666667</v>
      </c>
      <c r="C14">
        <f t="shared" si="1"/>
        <v>4.9605109069136892</v>
      </c>
      <c r="D14">
        <f>COUNT($B$3:B14)</f>
        <v>12</v>
      </c>
      <c r="E14">
        <f>SUM($C$3:C14)</f>
        <v>51.546299244163933</v>
      </c>
      <c r="F14">
        <f>SUM($A$3:A14)</f>
        <v>78</v>
      </c>
      <c r="G14">
        <f>SUM($I$3:I14)</f>
        <v>650</v>
      </c>
      <c r="H14">
        <f>SUM($J$3:J14)</f>
        <v>356.15151366968507</v>
      </c>
      <c r="I14">
        <f t="shared" si="0"/>
        <v>144</v>
      </c>
      <c r="J14">
        <f t="shared" si="2"/>
        <v>59.526130882964267</v>
      </c>
      <c r="K14" s="2"/>
      <c r="M14" s="2">
        <f t="shared" si="3"/>
        <v>28.117950585484682</v>
      </c>
      <c r="N14" s="25">
        <f t="shared" si="4"/>
        <v>3.33640818325823</v>
      </c>
      <c r="O14" s="26">
        <f t="shared" si="5"/>
        <v>0.14755642365468177</v>
      </c>
      <c r="P14">
        <f t="shared" si="6"/>
        <v>5.8748297674438623</v>
      </c>
      <c r="Q14">
        <f t="shared" si="7"/>
        <v>19.600830111348746</v>
      </c>
      <c r="R14">
        <f t="shared" si="8"/>
        <v>-123.06583655531826</v>
      </c>
      <c r="S14">
        <f t="shared" si="9"/>
        <v>15145.200127060307</v>
      </c>
    </row>
    <row r="15" spans="1:19" x14ac:dyDescent="0.25">
      <c r="A15">
        <v>13</v>
      </c>
      <c r="B15" s="9">
        <f>'הזנת נתונים'!A13</f>
        <v>153.666666666667</v>
      </c>
      <c r="C15">
        <f t="shared" si="1"/>
        <v>5.0347857543285413</v>
      </c>
      <c r="D15">
        <f>COUNT($B$3:B15)</f>
        <v>13</v>
      </c>
      <c r="E15">
        <f>SUM($C$3:C15)</f>
        <v>56.581084998492472</v>
      </c>
      <c r="F15">
        <f>SUM($A$3:A15)</f>
        <v>91</v>
      </c>
      <c r="G15">
        <f>SUM($I$3:I15)</f>
        <v>819</v>
      </c>
      <c r="H15">
        <f>SUM($J$3:J15)</f>
        <v>421.60372847595613</v>
      </c>
      <c r="I15">
        <f t="shared" si="0"/>
        <v>169</v>
      </c>
      <c r="J15">
        <f t="shared" si="2"/>
        <v>65.45221480627103</v>
      </c>
      <c r="K15" s="2"/>
      <c r="M15" s="2">
        <f t="shared" si="3"/>
        <v>29.085279104405775</v>
      </c>
      <c r="N15" s="25">
        <f t="shared" si="4"/>
        <v>3.370232173479851</v>
      </c>
      <c r="O15" s="26">
        <f t="shared" si="5"/>
        <v>0.14030842575004848</v>
      </c>
      <c r="P15">
        <f t="shared" si="6"/>
        <v>6.1966544077225754</v>
      </c>
      <c r="Q15">
        <f t="shared" si="7"/>
        <v>20.884164052842355</v>
      </c>
      <c r="R15">
        <f t="shared" si="8"/>
        <v>-132.78250261382465</v>
      </c>
      <c r="S15">
        <f t="shared" si="9"/>
        <v>17631.193000390351</v>
      </c>
    </row>
    <row r="16" spans="1:19" x14ac:dyDescent="0.25">
      <c r="A16">
        <v>14</v>
      </c>
      <c r="B16" s="9">
        <f>'הזנת נתונים'!A14</f>
        <v>164.666666666667</v>
      </c>
      <c r="C16">
        <f t="shared" si="1"/>
        <v>5.1039232285198146</v>
      </c>
      <c r="D16">
        <f>COUNT($B$3:B16)</f>
        <v>14</v>
      </c>
      <c r="E16">
        <f>SUM($C$3:C16)</f>
        <v>61.68500822701229</v>
      </c>
      <c r="F16">
        <f>SUM($A$3:A16)</f>
        <v>105</v>
      </c>
      <c r="G16">
        <f>SUM($I$3:I16)</f>
        <v>1015</v>
      </c>
      <c r="H16">
        <f>SUM($J$3:J16)</f>
        <v>493.05865367523353</v>
      </c>
      <c r="I16">
        <f t="shared" si="0"/>
        <v>196</v>
      </c>
      <c r="J16">
        <f t="shared" si="2"/>
        <v>71.454925199277397</v>
      </c>
      <c r="K16" s="2"/>
      <c r="M16" s="2">
        <f t="shared" si="3"/>
        <v>30.059503711546771</v>
      </c>
      <c r="N16" s="25">
        <f t="shared" si="4"/>
        <v>3.4031788742599542</v>
      </c>
      <c r="O16" s="26">
        <f t="shared" si="5"/>
        <v>0.13371908559402787</v>
      </c>
      <c r="P16">
        <f t="shared" si="6"/>
        <v>6.5017228674844967</v>
      </c>
      <c r="Q16">
        <f t="shared" si="7"/>
        <v>22.12652590891609</v>
      </c>
      <c r="R16">
        <f t="shared" si="8"/>
        <v>-142.54014075775092</v>
      </c>
      <c r="S16">
        <f t="shared" si="9"/>
        <v>20317.691727239446</v>
      </c>
    </row>
    <row r="17" spans="1:19" x14ac:dyDescent="0.25">
      <c r="A17">
        <v>15</v>
      </c>
      <c r="B17" s="9">
        <f>'הזנת נתונים'!A15</f>
        <v>175.666666666667</v>
      </c>
      <c r="C17">
        <f t="shared" si="1"/>
        <v>5.1685882598732542</v>
      </c>
      <c r="D17">
        <f>COUNT($B$3:B17)</f>
        <v>15</v>
      </c>
      <c r="E17">
        <f>SUM($C$3:C17)</f>
        <v>66.85359648688555</v>
      </c>
      <c r="F17">
        <f>SUM($A$3:A17)</f>
        <v>120</v>
      </c>
      <c r="G17">
        <f>SUM($I$3:I17)</f>
        <v>1240</v>
      </c>
      <c r="H17">
        <f>SUM($J$3:J17)</f>
        <v>570.58747757333231</v>
      </c>
      <c r="I17">
        <f t="shared" si="0"/>
        <v>225</v>
      </c>
      <c r="J17">
        <f t="shared" si="2"/>
        <v>77.528823898098807</v>
      </c>
      <c r="K17" s="2"/>
      <c r="M17" s="2">
        <f t="shared" si="3"/>
        <v>31.038523525986598</v>
      </c>
      <c r="N17" s="25">
        <f t="shared" si="4"/>
        <v>3.435229127366239</v>
      </c>
      <c r="O17" s="26">
        <f t="shared" si="5"/>
        <v>0.12770966313659973</v>
      </c>
      <c r="P17">
        <f t="shared" si="6"/>
        <v>6.7913174249879766</v>
      </c>
      <c r="Q17">
        <f t="shared" si="7"/>
        <v>23.329731431508581</v>
      </c>
      <c r="R17">
        <f t="shared" si="8"/>
        <v>-152.33693523515842</v>
      </c>
      <c r="S17">
        <f t="shared" si="9"/>
        <v>23206.54183684085</v>
      </c>
    </row>
    <row r="18" spans="1:19" x14ac:dyDescent="0.25">
      <c r="A18">
        <v>16</v>
      </c>
      <c r="B18" s="9">
        <f>'הזנת נתונים'!A16</f>
        <v>186.666666666667</v>
      </c>
      <c r="C18">
        <f t="shared" si="1"/>
        <v>5.2293244950610873</v>
      </c>
      <c r="D18">
        <f>COUNT($B$3:B18)</f>
        <v>16</v>
      </c>
      <c r="E18">
        <f>SUM($C$3:C18)</f>
        <v>72.082920981946643</v>
      </c>
      <c r="F18">
        <f>SUM($A$3:A18)</f>
        <v>136</v>
      </c>
      <c r="G18">
        <f>SUM($I$3:I18)</f>
        <v>1496</v>
      </c>
      <c r="H18">
        <f>SUM($J$3:J18)</f>
        <v>654.25666949430968</v>
      </c>
      <c r="I18">
        <f t="shared" si="0"/>
        <v>256</v>
      </c>
      <c r="J18">
        <f t="shared" si="2"/>
        <v>83.669191920977397</v>
      </c>
      <c r="K18" s="2"/>
      <c r="M18" s="2">
        <f t="shared" si="3"/>
        <v>32.020826930668463</v>
      </c>
      <c r="N18" s="25">
        <f t="shared" si="4"/>
        <v>3.4663865326775856</v>
      </c>
      <c r="O18" s="26">
        <f t="shared" si="5"/>
        <v>0.12221129749342113</v>
      </c>
      <c r="P18">
        <f t="shared" si="6"/>
        <v>7.0666091928868804</v>
      </c>
      <c r="Q18">
        <f t="shared" si="7"/>
        <v>24.495598937918704</v>
      </c>
      <c r="R18">
        <f t="shared" si="8"/>
        <v>-162.17106772874828</v>
      </c>
      <c r="S18">
        <f t="shared" si="9"/>
        <v>26299.455208282263</v>
      </c>
    </row>
    <row r="19" spans="1:19" x14ac:dyDescent="0.25">
      <c r="A19">
        <v>17</v>
      </c>
      <c r="B19" s="9">
        <f>'הזנת נתונים'!A17</f>
        <v>197.666666666667</v>
      </c>
      <c r="C19">
        <f t="shared" si="1"/>
        <v>5.2865821103296176</v>
      </c>
      <c r="D19">
        <f>COUNT($B$3:B19)</f>
        <v>17</v>
      </c>
      <c r="E19">
        <f>SUM($C$3:C19)</f>
        <v>77.369503092276261</v>
      </c>
      <c r="F19">
        <f>SUM($A$3:A19)</f>
        <v>153</v>
      </c>
      <c r="G19">
        <f>SUM($I$3:I19)</f>
        <v>1785</v>
      </c>
      <c r="H19">
        <f>SUM($J$3:J19)</f>
        <v>744.12856536991319</v>
      </c>
      <c r="I19">
        <f t="shared" si="0"/>
        <v>289</v>
      </c>
      <c r="J19">
        <f t="shared" si="2"/>
        <v>89.871895875603499</v>
      </c>
      <c r="K19" s="2"/>
      <c r="M19" s="2">
        <f t="shared" si="3"/>
        <v>33.005310457359926</v>
      </c>
      <c r="N19" s="25">
        <f t="shared" si="4"/>
        <v>3.496668471470072</v>
      </c>
      <c r="O19" s="26">
        <f t="shared" si="5"/>
        <v>0.11716430769467344</v>
      </c>
      <c r="P19">
        <f t="shared" si="6"/>
        <v>7.3286639720694957</v>
      </c>
      <c r="Q19">
        <f t="shared" si="7"/>
        <v>25.625908249134032</v>
      </c>
      <c r="R19">
        <f t="shared" si="8"/>
        <v>-172.04075841753297</v>
      </c>
      <c r="S19">
        <f t="shared" si="9"/>
        <v>29598.022556879943</v>
      </c>
    </row>
    <row r="20" spans="1:19" x14ac:dyDescent="0.25">
      <c r="A20">
        <v>18</v>
      </c>
      <c r="B20" s="9">
        <f>'הזנת נתונים'!A18</f>
        <v>208.666666666667</v>
      </c>
      <c r="C20">
        <f t="shared" si="1"/>
        <v>5.3407380824319901</v>
      </c>
      <c r="D20">
        <f>COUNT($B$3:B20)</f>
        <v>18</v>
      </c>
      <c r="E20">
        <f>SUM($C$3:C20)</f>
        <v>82.710241174708244</v>
      </c>
      <c r="F20">
        <f>SUM($A$3:A20)</f>
        <v>171</v>
      </c>
      <c r="G20">
        <f>SUM($I$3:I20)</f>
        <v>2109</v>
      </c>
      <c r="H20">
        <f>SUM($J$3:J20)</f>
        <v>840.261850853689</v>
      </c>
      <c r="I20">
        <f t="shared" si="0"/>
        <v>324</v>
      </c>
      <c r="J20">
        <f t="shared" si="2"/>
        <v>96.133285483775822</v>
      </c>
      <c r="K20" s="2"/>
      <c r="M20" s="2">
        <f t="shared" si="3"/>
        <v>33.991159068944832</v>
      </c>
      <c r="N20" s="25">
        <f t="shared" si="4"/>
        <v>3.5261004634192039</v>
      </c>
      <c r="O20" s="26">
        <f t="shared" si="5"/>
        <v>0.11251715107112614</v>
      </c>
      <c r="P20">
        <f t="shared" si="6"/>
        <v>7.5784501972225335</v>
      </c>
      <c r="Q20">
        <f t="shared" si="7"/>
        <v>26.722376752425731</v>
      </c>
      <c r="R20">
        <f t="shared" si="8"/>
        <v>-181.94428991424127</v>
      </c>
      <c r="S20">
        <f t="shared" si="9"/>
        <v>33103.724632397476</v>
      </c>
    </row>
    <row r="21" spans="1:19" x14ac:dyDescent="0.25">
      <c r="A21">
        <v>19</v>
      </c>
      <c r="B21" s="9">
        <f>'הזנת נתונים'!A19</f>
        <v>219.666666666667</v>
      </c>
      <c r="C21">
        <f t="shared" si="1"/>
        <v>5.3921112458343989</v>
      </c>
      <c r="D21">
        <f>COUNT($B$3:B21)</f>
        <v>19</v>
      </c>
      <c r="E21">
        <f>SUM($C$3:C21)</f>
        <v>88.102352420542644</v>
      </c>
      <c r="F21">
        <f>SUM($A$3:A21)</f>
        <v>190</v>
      </c>
      <c r="G21">
        <f>SUM($I$3:I21)</f>
        <v>2470</v>
      </c>
      <c r="H21">
        <f>SUM($J$3:J21)</f>
        <v>942.71196452454262</v>
      </c>
      <c r="I21">
        <f t="shared" si="0"/>
        <v>361</v>
      </c>
      <c r="J21">
        <f t="shared" si="2"/>
        <v>102.45011367085358</v>
      </c>
      <c r="K21" s="2"/>
      <c r="M21" s="2">
        <f t="shared" si="3"/>
        <v>34.977765141420434</v>
      </c>
      <c r="N21" s="25">
        <f t="shared" si="4"/>
        <v>3.5547125779388056</v>
      </c>
      <c r="O21" s="26">
        <f t="shared" si="5"/>
        <v>0.10822533389318602</v>
      </c>
      <c r="P21">
        <f t="shared" si="6"/>
        <v>7.8168475288097117</v>
      </c>
      <c r="Q21">
        <f t="shared" si="7"/>
        <v>27.786646230489751</v>
      </c>
      <c r="R21">
        <f t="shared" si="8"/>
        <v>-191.88002043617723</v>
      </c>
      <c r="S21">
        <f t="shared" si="9"/>
        <v>36817.942242587793</v>
      </c>
    </row>
    <row r="22" spans="1:19" x14ac:dyDescent="0.25">
      <c r="A22">
        <v>20</v>
      </c>
      <c r="B22" s="9">
        <f>'הזנת נתונים'!A20</f>
        <v>230.666666666667</v>
      </c>
      <c r="C22">
        <f t="shared" si="1"/>
        <v>5.440973666949561</v>
      </c>
      <c r="D22">
        <f>COUNT($B$3:B22)</f>
        <v>20</v>
      </c>
      <c r="E22">
        <f>SUM($C$3:C22)</f>
        <v>93.543326087492204</v>
      </c>
      <c r="F22">
        <f>SUM($A$3:A22)</f>
        <v>210</v>
      </c>
      <c r="G22">
        <f>SUM($I$3:I22)</f>
        <v>2870</v>
      </c>
      <c r="H22">
        <f>SUM($J$3:J22)</f>
        <v>1051.5314378635339</v>
      </c>
      <c r="I22">
        <f t="shared" si="0"/>
        <v>400</v>
      </c>
      <c r="J22">
        <f t="shared" si="2"/>
        <v>108.81947333899122</v>
      </c>
      <c r="K22" s="2"/>
      <c r="M22" s="2">
        <f t="shared" si="3"/>
        <v>35.964672486390548</v>
      </c>
      <c r="N22" s="25">
        <f t="shared" si="4"/>
        <v>3.5825371368240964</v>
      </c>
      <c r="O22" s="26">
        <f t="shared" si="5"/>
        <v>0.10425039690957269</v>
      </c>
      <c r="P22">
        <f t="shared" si="6"/>
        <v>8.0446553414585065</v>
      </c>
      <c r="Q22">
        <f t="shared" si="7"/>
        <v>28.820276513725432</v>
      </c>
      <c r="R22">
        <f t="shared" si="8"/>
        <v>-201.84639015294158</v>
      </c>
      <c r="S22">
        <f t="shared" si="9"/>
        <v>40741.965217773512</v>
      </c>
    </row>
    <row r="23" spans="1:19" x14ac:dyDescent="0.25">
      <c r="A23">
        <v>21</v>
      </c>
      <c r="B23" s="9">
        <f>'הזנת נתונים'!A21</f>
        <v>241.666666666667</v>
      </c>
      <c r="C23">
        <f t="shared" si="1"/>
        <v>5.4875593661865665</v>
      </c>
      <c r="D23">
        <f>COUNT($B$3:B23)</f>
        <v>21</v>
      </c>
      <c r="E23">
        <f>SUM($C$3:C23)</f>
        <v>99.030885453678763</v>
      </c>
      <c r="F23">
        <f>SUM($A$3:A23)</f>
        <v>231</v>
      </c>
      <c r="G23">
        <f>SUM($I$3:I23)</f>
        <v>3311</v>
      </c>
      <c r="H23">
        <f>SUM($J$3:J23)</f>
        <v>1166.7701845534518</v>
      </c>
      <c r="I23">
        <f t="shared" si="0"/>
        <v>441</v>
      </c>
      <c r="J23">
        <f t="shared" si="2"/>
        <v>115.23874668991789</v>
      </c>
      <c r="K23" s="2"/>
      <c r="M23" s="2">
        <f t="shared" si="3"/>
        <v>36.951536957545379</v>
      </c>
      <c r="N23" s="25">
        <f t="shared" si="4"/>
        <v>3.6096072421325309</v>
      </c>
      <c r="O23" s="26">
        <f t="shared" si="5"/>
        <v>0.10055901891296808</v>
      </c>
      <c r="P23">
        <f t="shared" si="6"/>
        <v>8.2626007369688548</v>
      </c>
      <c r="Q23">
        <f t="shared" si="7"/>
        <v>29.824743459012364</v>
      </c>
      <c r="R23">
        <f t="shared" si="8"/>
        <v>-211.84192320765465</v>
      </c>
      <c r="S23">
        <f t="shared" si="9"/>
        <v>44877.00042831785</v>
      </c>
    </row>
    <row r="24" spans="1:19" x14ac:dyDescent="0.25">
      <c r="A24">
        <v>22</v>
      </c>
      <c r="B24" s="9">
        <f>'הזנת נתונים'!A22</f>
        <v>252.666666666667</v>
      </c>
      <c r="C24">
        <f t="shared" si="1"/>
        <v>5.5320710969742635</v>
      </c>
      <c r="D24">
        <f>COUNT($B$3:B24)</f>
        <v>22</v>
      </c>
      <c r="E24">
        <f>SUM($C$3:C24)</f>
        <v>104.56295655065303</v>
      </c>
      <c r="F24">
        <f>SUM($A$3:A24)</f>
        <v>253</v>
      </c>
      <c r="G24">
        <f>SUM($I$3:I24)</f>
        <v>3795</v>
      </c>
      <c r="H24">
        <f>SUM($J$3:J24)</f>
        <v>1288.4757486868857</v>
      </c>
      <c r="I24">
        <f t="shared" si="0"/>
        <v>484</v>
      </c>
      <c r="J24">
        <f t="shared" si="2"/>
        <v>121.7055641334338</v>
      </c>
      <c r="K24" s="2"/>
      <c r="M24" s="2">
        <f t="shared" si="3"/>
        <v>37.938098271106419</v>
      </c>
      <c r="N24" s="25">
        <f t="shared" si="4"/>
        <v>3.6359558386092163</v>
      </c>
      <c r="O24" s="26">
        <f t="shared" si="5"/>
        <v>9.7122245459487222E-2</v>
      </c>
      <c r="P24">
        <f t="shared" si="6"/>
        <v>8.4713459174616368</v>
      </c>
      <c r="Q24">
        <f t="shared" si="7"/>
        <v>30.801439649472986</v>
      </c>
      <c r="R24">
        <f t="shared" si="8"/>
        <v>-221.865227017194</v>
      </c>
      <c r="S24">
        <f t="shared" si="9"/>
        <v>49224.178959391029</v>
      </c>
    </row>
    <row r="25" spans="1:19" x14ac:dyDescent="0.25">
      <c r="A25">
        <v>23</v>
      </c>
      <c r="B25" s="9">
        <f>'הזנת נתונים'!A23</f>
        <v>263.66666666666703</v>
      </c>
      <c r="C25">
        <f t="shared" si="1"/>
        <v>5.5746856790995452</v>
      </c>
      <c r="D25">
        <f>COUNT($B$3:B25)</f>
        <v>23</v>
      </c>
      <c r="E25">
        <f>SUM($C$3:C25)</f>
        <v>110.13764222975257</v>
      </c>
      <c r="F25">
        <f>SUM($A$3:A25)</f>
        <v>276</v>
      </c>
      <c r="G25">
        <f>SUM($I$3:I25)</f>
        <v>4324</v>
      </c>
      <c r="H25">
        <f>SUM($J$3:J25)</f>
        <v>1416.6935193061752</v>
      </c>
      <c r="I25">
        <f t="shared" si="0"/>
        <v>529</v>
      </c>
      <c r="J25">
        <f t="shared" si="2"/>
        <v>128.21777061928952</v>
      </c>
      <c r="K25" s="2"/>
      <c r="M25" s="2">
        <f t="shared" si="3"/>
        <v>38.924159551653887</v>
      </c>
      <c r="N25" s="25">
        <f t="shared" si="4"/>
        <v>3.6616151260072938</v>
      </c>
      <c r="O25" s="26">
        <f t="shared" si="5"/>
        <v>9.3914834534727584E-2</v>
      </c>
      <c r="P25">
        <f t="shared" si="6"/>
        <v>8.6714948672559586</v>
      </c>
      <c r="Q25">
        <f t="shared" si="7"/>
        <v>31.75167677103903</v>
      </c>
      <c r="R25">
        <f t="shared" si="8"/>
        <v>-231.914989895628</v>
      </c>
      <c r="S25">
        <f t="shared" si="9"/>
        <v>53784.562538289239</v>
      </c>
    </row>
    <row r="26" spans="1:19" x14ac:dyDescent="0.25">
      <c r="A26">
        <v>24</v>
      </c>
      <c r="B26" s="9">
        <f>'הזנת נתונים'!A24</f>
        <v>274.66666666666703</v>
      </c>
      <c r="C26">
        <f t="shared" si="1"/>
        <v>5.6155582412413629</v>
      </c>
      <c r="D26">
        <f>COUNT($B$3:B26)</f>
        <v>24</v>
      </c>
      <c r="E26">
        <f>SUM($C$3:C26)</f>
        <v>115.75320047099393</v>
      </c>
      <c r="F26">
        <f>SUM($A$3:A26)</f>
        <v>300</v>
      </c>
      <c r="G26">
        <f>SUM($I$3:I26)</f>
        <v>4900</v>
      </c>
      <c r="H26">
        <f>SUM($J$3:J26)</f>
        <v>1551.4669170959678</v>
      </c>
      <c r="I26">
        <f t="shared" si="0"/>
        <v>576</v>
      </c>
      <c r="J26">
        <f t="shared" si="2"/>
        <v>134.77339778979271</v>
      </c>
      <c r="K26" s="2"/>
      <c r="M26" s="2">
        <f t="shared" si="3"/>
        <v>39.909572290012058</v>
      </c>
      <c r="N26" s="25">
        <f t="shared" si="4"/>
        <v>3.6866162021405771</v>
      </c>
      <c r="O26" s="26">
        <f t="shared" si="5"/>
        <v>9.0914705398733628E-2</v>
      </c>
      <c r="P26">
        <f t="shared" si="6"/>
        <v>8.8635993523961059</v>
      </c>
      <c r="Q26">
        <f t="shared" si="7"/>
        <v>32.67668898182621</v>
      </c>
      <c r="R26">
        <f t="shared" si="8"/>
        <v>-241.98997768484082</v>
      </c>
      <c r="S26">
        <f t="shared" si="9"/>
        <v>58559.149299909761</v>
      </c>
    </row>
    <row r="27" spans="1:19" x14ac:dyDescent="0.25">
      <c r="A27">
        <v>25</v>
      </c>
      <c r="B27" s="9">
        <f>'הזנת נתונים'!A25</f>
        <v>285.66666666666799</v>
      </c>
      <c r="C27">
        <f t="shared" si="1"/>
        <v>5.6548256299296744</v>
      </c>
      <c r="D27">
        <f>COUNT($B$3:B27)</f>
        <v>25</v>
      </c>
      <c r="E27">
        <f>SUM($C$3:C27)</f>
        <v>121.40802610092361</v>
      </c>
      <c r="F27">
        <f>SUM($A$3:A27)</f>
        <v>325</v>
      </c>
      <c r="G27">
        <f>SUM($I$3:I27)</f>
        <v>5525</v>
      </c>
      <c r="H27">
        <f>SUM($J$3:J27)</f>
        <v>1692.8375578442096</v>
      </c>
      <c r="I27">
        <f t="shared" si="0"/>
        <v>625</v>
      </c>
      <c r="J27">
        <f t="shared" si="2"/>
        <v>141.37064074824187</v>
      </c>
      <c r="K27" s="2"/>
      <c r="M27" s="2">
        <f t="shared" si="3"/>
        <v>40.894225150472408</v>
      </c>
      <c r="N27" s="25">
        <f t="shared" si="4"/>
        <v>3.7109888587149156</v>
      </c>
      <c r="O27" s="26">
        <f t="shared" si="5"/>
        <v>8.8102475794002211E-2</v>
      </c>
      <c r="P27">
        <f t="shared" si="6"/>
        <v>9.0481642773071691</v>
      </c>
      <c r="Q27">
        <f t="shared" si="7"/>
        <v>33.577636824909199</v>
      </c>
      <c r="R27">
        <f t="shared" si="8"/>
        <v>-252.08902984175879</v>
      </c>
      <c r="S27">
        <f t="shared" si="9"/>
        <v>63548.878966559154</v>
      </c>
    </row>
    <row r="28" spans="1:19" x14ac:dyDescent="0.25">
      <c r="A28">
        <v>26</v>
      </c>
      <c r="B28" s="9">
        <f>'הזנת נתונים'!A26</f>
        <v>296.66666666666799</v>
      </c>
      <c r="C28">
        <f t="shared" si="1"/>
        <v>5.69260917405808</v>
      </c>
      <c r="D28">
        <f>COUNT($B$3:B28)</f>
        <v>26</v>
      </c>
      <c r="E28">
        <f>SUM($C$3:C28)</f>
        <v>127.10063527498168</v>
      </c>
      <c r="F28">
        <f>SUM($A$3:A28)</f>
        <v>351</v>
      </c>
      <c r="G28">
        <f>SUM($I$3:I28)</f>
        <v>6201</v>
      </c>
      <c r="H28">
        <f>SUM($J$3:J28)</f>
        <v>1840.8453963697198</v>
      </c>
      <c r="I28">
        <f t="shared" si="0"/>
        <v>676</v>
      </c>
      <c r="J28">
        <f t="shared" si="2"/>
        <v>148.00783852551007</v>
      </c>
      <c r="K28" s="2"/>
      <c r="M28" s="2">
        <f t="shared" si="3"/>
        <v>41.87803555373862</v>
      </c>
      <c r="N28" s="25">
        <f t="shared" si="4"/>
        <v>3.734761478353446</v>
      </c>
      <c r="O28" s="26">
        <f t="shared" si="5"/>
        <v>8.5461073611943286E-2</v>
      </c>
      <c r="P28">
        <f t="shared" si="6"/>
        <v>9.225652451823521</v>
      </c>
      <c r="Q28">
        <f t="shared" si="7"/>
        <v>34.45561138974751</v>
      </c>
      <c r="R28">
        <f t="shared" si="8"/>
        <v>-262.21105527692049</v>
      </c>
      <c r="S28">
        <f t="shared" si="9"/>
        <v>68754.637509436259</v>
      </c>
    </row>
    <row r="29" spans="1:19" x14ac:dyDescent="0.25">
      <c r="A29">
        <v>27</v>
      </c>
      <c r="B29" s="9">
        <f>'הזנת נתונים'!A27</f>
        <v>307.66666666666799</v>
      </c>
      <c r="C29">
        <f t="shared" si="1"/>
        <v>5.7290169458347471</v>
      </c>
      <c r="D29">
        <f>COUNT($B$3:B29)</f>
        <v>27</v>
      </c>
      <c r="E29">
        <f>SUM($C$3:C29)</f>
        <v>132.82965222081643</v>
      </c>
      <c r="F29">
        <f>SUM($A$3:A29)</f>
        <v>378</v>
      </c>
      <c r="G29">
        <f>SUM($I$3:I29)</f>
        <v>6930</v>
      </c>
      <c r="H29">
        <f>SUM($J$3:J29)</f>
        <v>1995.5288539072581</v>
      </c>
      <c r="I29">
        <f t="shared" si="0"/>
        <v>729</v>
      </c>
      <c r="J29">
        <f t="shared" si="2"/>
        <v>154.68345753753817</v>
      </c>
      <c r="K29" s="2"/>
      <c r="M29" s="2">
        <f t="shared" si="3"/>
        <v>42.860943286592217</v>
      </c>
      <c r="N29" s="25">
        <f t="shared" si="4"/>
        <v>3.7579609983564946</v>
      </c>
      <c r="O29" s="26">
        <f t="shared" si="5"/>
        <v>8.2975410754473747E-2</v>
      </c>
      <c r="P29">
        <f t="shared" si="6"/>
        <v>9.3964888262176078</v>
      </c>
      <c r="Q29">
        <f t="shared" si="7"/>
        <v>35.311638530418364</v>
      </c>
      <c r="R29">
        <f t="shared" si="8"/>
        <v>-272.35502813624964</v>
      </c>
      <c r="S29">
        <f t="shared" si="9"/>
        <v>74177.261351097331</v>
      </c>
    </row>
    <row r="30" spans="1:19" x14ac:dyDescent="0.25">
      <c r="A30">
        <v>28</v>
      </c>
      <c r="B30" s="9">
        <f>'הזנת נתונים'!A28</f>
        <v>318.66666666666799</v>
      </c>
      <c r="C30">
        <f t="shared" si="1"/>
        <v>5.7641456243832954</v>
      </c>
      <c r="D30">
        <f>COUNT($B$3:B30)</f>
        <v>28</v>
      </c>
      <c r="E30">
        <f>SUM($C$3:C30)</f>
        <v>138.59379784519973</v>
      </c>
      <c r="F30">
        <f>SUM($A$3:A30)</f>
        <v>406</v>
      </c>
      <c r="G30">
        <f>SUM($I$3:I30)</f>
        <v>7714</v>
      </c>
      <c r="H30">
        <f>SUM($J$3:J30)</f>
        <v>2156.9249313899904</v>
      </c>
      <c r="I30">
        <f t="shared" si="0"/>
        <v>784</v>
      </c>
      <c r="J30">
        <f t="shared" si="2"/>
        <v>161.39607748273227</v>
      </c>
      <c r="K30" s="2"/>
      <c r="M30" s="2">
        <f t="shared" si="3"/>
        <v>43.842905608356929</v>
      </c>
      <c r="N30" s="25">
        <f t="shared" si="4"/>
        <v>3.7806129180063857</v>
      </c>
      <c r="O30" s="26">
        <f t="shared" si="5"/>
        <v>8.0632108721726464E-2</v>
      </c>
      <c r="P30">
        <f t="shared" si="6"/>
        <v>9.5610642511400989</v>
      </c>
      <c r="Q30">
        <f t="shared" si="7"/>
        <v>36.146683017749311</v>
      </c>
      <c r="R30">
        <f t="shared" si="8"/>
        <v>-282.5199836489187</v>
      </c>
      <c r="S30">
        <f t="shared" si="9"/>
        <v>79817.541160985289</v>
      </c>
    </row>
    <row r="31" spans="1:19" x14ac:dyDescent="0.25">
      <c r="A31">
        <v>29</v>
      </c>
      <c r="B31" s="9">
        <f>'הזנת נתונים'!A29</f>
        <v>329.66666666666799</v>
      </c>
      <c r="C31">
        <f t="shared" si="1"/>
        <v>5.7980820429546061</v>
      </c>
      <c r="D31">
        <f>COUNT($B$3:B31)</f>
        <v>29</v>
      </c>
      <c r="E31">
        <f>SUM($C$3:C31)</f>
        <v>144.39187988815434</v>
      </c>
      <c r="F31">
        <f>SUM($A$3:A31)</f>
        <v>435</v>
      </c>
      <c r="G31">
        <f>SUM($I$3:I31)</f>
        <v>8555</v>
      </c>
      <c r="H31">
        <f>SUM($J$3:J31)</f>
        <v>2325.0693106356739</v>
      </c>
      <c r="I31">
        <f t="shared" si="0"/>
        <v>841</v>
      </c>
      <c r="J31">
        <f t="shared" si="2"/>
        <v>168.14437924568358</v>
      </c>
      <c r="K31" s="2"/>
      <c r="M31" s="2">
        <f t="shared" si="3"/>
        <v>44.823893474379375</v>
      </c>
      <c r="N31" s="25">
        <f t="shared" si="4"/>
        <v>3.8027413337292693</v>
      </c>
      <c r="O31" s="26">
        <f t="shared" si="5"/>
        <v>7.8419267149437991E-2</v>
      </c>
      <c r="P31">
        <f t="shared" si="6"/>
        <v>9.7197388160415343</v>
      </c>
      <c r="Q31">
        <f t="shared" si="7"/>
        <v>36.96165254881393</v>
      </c>
      <c r="R31">
        <f t="shared" si="8"/>
        <v>-292.70501411785403</v>
      </c>
      <c r="S31">
        <f t="shared" si="9"/>
        <v>85676.225289733135</v>
      </c>
    </row>
    <row r="32" spans="1:19" x14ac:dyDescent="0.25">
      <c r="A32">
        <v>30</v>
      </c>
      <c r="B32" s="9">
        <f>'הזנת נתונים'!A30</f>
        <v>340.66666666666799</v>
      </c>
      <c r="C32">
        <f t="shared" si="1"/>
        <v>5.8309044820955442</v>
      </c>
      <c r="D32">
        <f>COUNT($B$3:B32)</f>
        <v>30</v>
      </c>
      <c r="E32">
        <f>SUM($C$3:C32)</f>
        <v>150.22278437024988</v>
      </c>
      <c r="F32">
        <f>SUM($A$3:A32)</f>
        <v>465</v>
      </c>
      <c r="G32">
        <f>SUM($I$3:I32)</f>
        <v>9455</v>
      </c>
      <c r="H32">
        <f>SUM($J$3:J32)</f>
        <v>2499.9964450985403</v>
      </c>
      <c r="I32">
        <f t="shared" si="0"/>
        <v>900</v>
      </c>
      <c r="J32">
        <f t="shared" si="2"/>
        <v>174.92713446286632</v>
      </c>
      <c r="K32" s="2"/>
      <c r="M32" s="2">
        <f t="shared" si="3"/>
        <v>45.803888601111233</v>
      </c>
      <c r="N32" s="25">
        <f t="shared" si="4"/>
        <v>3.8243689914703962</v>
      </c>
      <c r="O32" s="26">
        <f t="shared" si="5"/>
        <v>7.6326268013199999E-2</v>
      </c>
      <c r="P32">
        <f t="shared" si="6"/>
        <v>9.8728448151021251</v>
      </c>
      <c r="Q32">
        <f t="shared" si="7"/>
        <v>37.757401568475842</v>
      </c>
      <c r="R32">
        <f t="shared" si="8"/>
        <v>-302.90926509819212</v>
      </c>
      <c r="S32">
        <f t="shared" si="9"/>
        <v>91754.022882326826</v>
      </c>
    </row>
    <row r="33" spans="1:19" x14ac:dyDescent="0.25">
      <c r="A33">
        <v>31</v>
      </c>
      <c r="B33" s="9">
        <f>'הזנת נתונים'!A31</f>
        <v>351.66666666666799</v>
      </c>
      <c r="C33">
        <f t="shared" si="1"/>
        <v>5.8626837572420607</v>
      </c>
      <c r="D33">
        <f>COUNT($B$3:B33)</f>
        <v>31</v>
      </c>
      <c r="E33">
        <f>SUM($C$3:C33)</f>
        <v>156.08546812749194</v>
      </c>
      <c r="F33">
        <f>SUM($A$3:A33)</f>
        <v>496</v>
      </c>
      <c r="G33">
        <f>SUM($I$3:I33)</f>
        <v>10416</v>
      </c>
      <c r="H33">
        <f>SUM($J$3:J33)</f>
        <v>2681.7396415730441</v>
      </c>
      <c r="I33">
        <f t="shared" si="0"/>
        <v>961</v>
      </c>
      <c r="J33">
        <f t="shared" si="2"/>
        <v>181.74319647450389</v>
      </c>
      <c r="K33" s="2"/>
      <c r="M33" s="2">
        <f t="shared" si="3"/>
        <v>46.782881170865238</v>
      </c>
      <c r="N33" s="25">
        <f t="shared" si="4"/>
        <v>3.845517349059913</v>
      </c>
      <c r="O33" s="26">
        <f t="shared" si="5"/>
        <v>7.4343609489182741E-2</v>
      </c>
      <c r="P33">
        <f t="shared" si="6"/>
        <v>10.020689384763669</v>
      </c>
      <c r="Q33">
        <f t="shared" si="7"/>
        <v>38.534734878649196</v>
      </c>
      <c r="R33">
        <f t="shared" si="8"/>
        <v>-313.13193178801879</v>
      </c>
      <c r="S33">
        <f t="shared" si="9"/>
        <v>98051.60670529645</v>
      </c>
    </row>
    <row r="34" spans="1:19" x14ac:dyDescent="0.25">
      <c r="A34">
        <v>32</v>
      </c>
      <c r="B34" s="9">
        <f>'הזנת נתונים'!A32</f>
        <v>362.66666666666799</v>
      </c>
      <c r="C34">
        <f t="shared" si="1"/>
        <v>5.8934841387477821</v>
      </c>
      <c r="D34">
        <f>COUNT($B$3:B34)</f>
        <v>32</v>
      </c>
      <c r="E34">
        <f>SUM($C$3:C34)</f>
        <v>161.97895226623973</v>
      </c>
      <c r="F34">
        <f>SUM($A$3:A34)</f>
        <v>528</v>
      </c>
      <c r="G34">
        <f>SUM($I$3:I34)</f>
        <v>11440</v>
      </c>
      <c r="H34">
        <f>SUM($J$3:J34)</f>
        <v>2870.3311340129731</v>
      </c>
      <c r="I34">
        <f t="shared" si="0"/>
        <v>1024</v>
      </c>
      <c r="J34">
        <f t="shared" si="2"/>
        <v>188.59149243992903</v>
      </c>
      <c r="K34" s="2"/>
      <c r="M34" s="2">
        <f t="shared" si="3"/>
        <v>47.760868026709552</v>
      </c>
      <c r="N34" s="25">
        <f t="shared" si="4"/>
        <v>3.866206643682788</v>
      </c>
      <c r="O34" s="26">
        <f t="shared" si="5"/>
        <v>7.2462764523466866E-2</v>
      </c>
      <c r="P34">
        <f t="shared" si="6"/>
        <v>10.163556852075128</v>
      </c>
      <c r="Q34">
        <f t="shared" si="7"/>
        <v>39.294411024940587</v>
      </c>
      <c r="R34">
        <f t="shared" si="8"/>
        <v>-323.37225564172741</v>
      </c>
      <c r="S34">
        <f t="shared" si="9"/>
        <v>104569.61571881871</v>
      </c>
    </row>
    <row r="35" spans="1:19" x14ac:dyDescent="0.25">
      <c r="A35">
        <v>33</v>
      </c>
      <c r="B35" s="9">
        <f>'הזנת נתונים'!A33</f>
        <v>373.66666666666799</v>
      </c>
      <c r="C35">
        <f t="shared" si="1"/>
        <v>5.9233641344040535</v>
      </c>
      <c r="D35">
        <f>COUNT($B$3:B35)</f>
        <v>33</v>
      </c>
      <c r="E35">
        <f>SUM($C$3:C35)</f>
        <v>167.90231640064377</v>
      </c>
      <c r="F35">
        <f>SUM($A$3:A35)</f>
        <v>561</v>
      </c>
      <c r="G35">
        <f>SUM($I$3:I35)</f>
        <v>12529</v>
      </c>
      <c r="H35">
        <f>SUM($J$3:J35)</f>
        <v>3065.8021504483067</v>
      </c>
      <c r="I35">
        <f t="shared" ref="I35:I62" si="10">(A35)^2</f>
        <v>1089</v>
      </c>
      <c r="J35">
        <f t="shared" si="2"/>
        <v>195.47101643533375</v>
      </c>
      <c r="K35" s="2"/>
      <c r="M35" s="2">
        <f t="shared" si="3"/>
        <v>48.737851245709336</v>
      </c>
      <c r="N35" s="25">
        <f t="shared" si="4"/>
        <v>3.8864559611708578</v>
      </c>
      <c r="O35" s="26">
        <f t="shared" si="5"/>
        <v>7.0676060039225455E-2</v>
      </c>
      <c r="P35">
        <f t="shared" si="6"/>
        <v>10.301710828474599</v>
      </c>
      <c r="Q35">
        <f t="shared" si="7"/>
        <v>40.037145459583485</v>
      </c>
      <c r="R35">
        <f t="shared" si="8"/>
        <v>-333.62952120708451</v>
      </c>
      <c r="S35">
        <f t="shared" si="9"/>
        <v>111308.65742086845</v>
      </c>
    </row>
    <row r="36" spans="1:19" x14ac:dyDescent="0.25">
      <c r="A36">
        <v>34</v>
      </c>
      <c r="B36" s="9">
        <f>'הזנת נתונים'!A34</f>
        <v>384.66666666666799</v>
      </c>
      <c r="C36">
        <f t="shared" si="1"/>
        <v>5.9523771583999388</v>
      </c>
      <c r="D36">
        <f>COUNT($B$3:B36)</f>
        <v>34</v>
      </c>
      <c r="E36">
        <f>SUM($C$3:C36)</f>
        <v>173.85469355904371</v>
      </c>
      <c r="F36">
        <f>SUM($A$3:A36)</f>
        <v>595</v>
      </c>
      <c r="G36">
        <f>SUM($I$3:I36)</f>
        <v>13685</v>
      </c>
      <c r="H36">
        <f>SUM($J$3:J36)</f>
        <v>3268.1829738339047</v>
      </c>
      <c r="I36">
        <f t="shared" si="10"/>
        <v>1156</v>
      </c>
      <c r="J36">
        <f t="shared" si="2"/>
        <v>202.38082338559792</v>
      </c>
      <c r="K36" s="2"/>
      <c r="M36" s="2">
        <f t="shared" si="3"/>
        <v>49.713837006231842</v>
      </c>
      <c r="N36" s="25">
        <f t="shared" si="4"/>
        <v>3.9062833049417129</v>
      </c>
      <c r="O36" s="26">
        <f t="shared" si="5"/>
        <v>6.8976573430294924E-2</v>
      </c>
      <c r="P36">
        <f t="shared" si="6"/>
        <v>10.435396079429278</v>
      </c>
      <c r="Q36">
        <f t="shared" si="7"/>
        <v>40.763613485528793</v>
      </c>
      <c r="R36">
        <f t="shared" si="8"/>
        <v>-343.90305318113917</v>
      </c>
      <c r="S36">
        <f t="shared" si="9"/>
        <v>118269.30998730943</v>
      </c>
    </row>
    <row r="37" spans="1:19" x14ac:dyDescent="0.25">
      <c r="A37">
        <v>35</v>
      </c>
      <c r="B37" s="9">
        <f>'הזנת נתונים'!A35</f>
        <v>395.66666666666799</v>
      </c>
      <c r="C37">
        <f t="shared" si="1"/>
        <v>5.9805721059415617</v>
      </c>
      <c r="D37">
        <f>COUNT($B$3:B37)</f>
        <v>35</v>
      </c>
      <c r="E37">
        <f>SUM($C$3:C37)</f>
        <v>179.83526566498529</v>
      </c>
      <c r="F37">
        <f>SUM($A$3:A37)</f>
        <v>630</v>
      </c>
      <c r="G37">
        <f>SUM($I$3:I37)</f>
        <v>14910</v>
      </c>
      <c r="H37">
        <f>SUM($J$3:J37)</f>
        <v>3477.5029975418593</v>
      </c>
      <c r="I37">
        <f t="shared" si="10"/>
        <v>1225</v>
      </c>
      <c r="J37">
        <f t="shared" si="2"/>
        <v>209.32002370795465</v>
      </c>
      <c r="K37" s="2"/>
      <c r="M37" s="2">
        <f t="shared" si="3"/>
        <v>50.688834685245041</v>
      </c>
      <c r="N37" s="25">
        <f t="shared" si="4"/>
        <v>3.925705663173745</v>
      </c>
      <c r="O37" s="26">
        <f t="shared" si="5"/>
        <v>6.7358043577625731E-2</v>
      </c>
      <c r="P37">
        <f t="shared" si="6"/>
        <v>10.564840196591506</v>
      </c>
      <c r="Q37">
        <f t="shared" si="7"/>
        <v>41.474452990284895</v>
      </c>
      <c r="R37">
        <f t="shared" si="8"/>
        <v>-354.19221367638312</v>
      </c>
      <c r="S37">
        <f t="shared" si="9"/>
        <v>125452.12422897664</v>
      </c>
    </row>
    <row r="38" spans="1:19" x14ac:dyDescent="0.25">
      <c r="A38">
        <v>36</v>
      </c>
      <c r="B38" s="9">
        <f>'הזנת נתונים'!A36</f>
        <v>406.66666666666799</v>
      </c>
      <c r="C38">
        <f t="shared" si="1"/>
        <v>6.0079938490591962</v>
      </c>
      <c r="D38">
        <f>COUNT($B$3:B38)</f>
        <v>36</v>
      </c>
      <c r="E38">
        <f>SUM($C$3:C38)</f>
        <v>185.84325951404449</v>
      </c>
      <c r="F38">
        <f>SUM($A$3:A38)</f>
        <v>666</v>
      </c>
      <c r="G38">
        <f>SUM($I$3:I38)</f>
        <v>16206</v>
      </c>
      <c r="H38">
        <f>SUM($J$3:J38)</f>
        <v>3693.7907761079905</v>
      </c>
      <c r="I38">
        <f t="shared" si="10"/>
        <v>1296</v>
      </c>
      <c r="J38">
        <f t="shared" si="2"/>
        <v>216.28777856613107</v>
      </c>
      <c r="K38" s="2"/>
      <c r="M38" s="2">
        <f t="shared" si="3"/>
        <v>51.66285613654253</v>
      </c>
      <c r="N38" s="25">
        <f t="shared" si="4"/>
        <v>3.9447390733353589</v>
      </c>
      <c r="O38" s="26">
        <f t="shared" si="5"/>
        <v>6.5814794105062413E-2</v>
      </c>
      <c r="P38">
        <f t="shared" si="6"/>
        <v>10.690255095790814</v>
      </c>
      <c r="Q38">
        <f t="shared" si="7"/>
        <v>42.170266980288453</v>
      </c>
      <c r="R38">
        <f t="shared" si="8"/>
        <v>-364.49639968637956</v>
      </c>
      <c r="S38">
        <f t="shared" si="9"/>
        <v>132857.62538433296</v>
      </c>
    </row>
    <row r="39" spans="1:19" x14ac:dyDescent="0.25">
      <c r="A39">
        <v>37</v>
      </c>
      <c r="B39" s="9">
        <f>'הזנת נתונים'!A37</f>
        <v>417.66666666666799</v>
      </c>
      <c r="C39">
        <f t="shared" si="1"/>
        <v>6.0346836662279619</v>
      </c>
      <c r="D39">
        <f>COUNT($B$3:B39)</f>
        <v>37</v>
      </c>
      <c r="E39">
        <f>SUM($C$3:C39)</f>
        <v>191.87794318027244</v>
      </c>
      <c r="F39">
        <f>SUM($A$3:A39)</f>
        <v>703</v>
      </c>
      <c r="G39">
        <f>SUM($I$3:I39)</f>
        <v>17575</v>
      </c>
      <c r="H39">
        <f>SUM($J$3:J39)</f>
        <v>3917.0740717584249</v>
      </c>
      <c r="I39">
        <f t="shared" si="10"/>
        <v>1369</v>
      </c>
      <c r="J39">
        <f t="shared" si="2"/>
        <v>223.28329565043458</v>
      </c>
      <c r="K39" s="2"/>
      <c r="M39" s="2">
        <f t="shared" si="3"/>
        <v>52.635915112064417</v>
      </c>
      <c r="N39" s="25">
        <f t="shared" si="4"/>
        <v>3.9633986835512873</v>
      </c>
      <c r="O39" s="26">
        <f t="shared" si="5"/>
        <v>6.4341666982752205E-2</v>
      </c>
      <c r="P39">
        <f t="shared" si="6"/>
        <v>10.811838361242035</v>
      </c>
      <c r="Q39">
        <f t="shared" si="7"/>
        <v>42.851625927715993</v>
      </c>
      <c r="R39">
        <f t="shared" si="8"/>
        <v>-374.81504073895201</v>
      </c>
      <c r="S39">
        <f t="shared" si="9"/>
        <v>140486.31476414224</v>
      </c>
    </row>
    <row r="40" spans="1:19" x14ac:dyDescent="0.25">
      <c r="A40">
        <v>38</v>
      </c>
      <c r="B40" s="9">
        <f>'הזנת נתונים'!A38</f>
        <v>428.66666666666902</v>
      </c>
      <c r="C40">
        <f t="shared" si="1"/>
        <v>6.0606796161294607</v>
      </c>
      <c r="D40">
        <f>COUNT($B$3:B40)</f>
        <v>38</v>
      </c>
      <c r="E40">
        <f>SUM($C$3:C40)</f>
        <v>197.93862279640189</v>
      </c>
      <c r="F40">
        <f>SUM($A$3:A40)</f>
        <v>741</v>
      </c>
      <c r="G40">
        <f>SUM($I$3:I40)</f>
        <v>19019</v>
      </c>
      <c r="H40">
        <f>SUM($J$3:J40)</f>
        <v>4147.3798971713441</v>
      </c>
      <c r="I40">
        <f t="shared" si="10"/>
        <v>1444</v>
      </c>
      <c r="J40">
        <f t="shared" si="2"/>
        <v>230.30582541291952</v>
      </c>
      <c r="K40" s="2"/>
      <c r="M40" s="2">
        <f t="shared" si="3"/>
        <v>53.608026796937175</v>
      </c>
      <c r="N40" s="25">
        <f t="shared" si="4"/>
        <v>3.9816988105389952</v>
      </c>
      <c r="O40" s="26">
        <f t="shared" si="5"/>
        <v>6.293396490677472E-2</v>
      </c>
      <c r="P40">
        <f t="shared" si="6"/>
        <v>10.92977445378725</v>
      </c>
      <c r="Q40">
        <f t="shared" si="7"/>
        <v>43.519069942104188</v>
      </c>
      <c r="R40">
        <f t="shared" si="8"/>
        <v>-385.14759672456483</v>
      </c>
      <c r="S40">
        <f t="shared" si="9"/>
        <v>148338.67126270803</v>
      </c>
    </row>
    <row r="41" spans="1:19" x14ac:dyDescent="0.25">
      <c r="A41">
        <v>39</v>
      </c>
      <c r="B41" s="9">
        <f>'הזנת נתונים'!A39</f>
        <v>439.66666666666902</v>
      </c>
      <c r="C41">
        <f t="shared" si="1"/>
        <v>6.0860168640492098</v>
      </c>
      <c r="D41">
        <f>COUNT($B$3:B41)</f>
        <v>39</v>
      </c>
      <c r="E41">
        <f>SUM($C$3:C41)</f>
        <v>204.0246396604511</v>
      </c>
      <c r="F41">
        <f>SUM($A$3:A41)</f>
        <v>780</v>
      </c>
      <c r="G41">
        <f>SUM($I$3:I41)</f>
        <v>20540</v>
      </c>
      <c r="H41">
        <f>SUM($J$3:J41)</f>
        <v>4384.7345548692629</v>
      </c>
      <c r="I41">
        <f t="shared" si="10"/>
        <v>1521</v>
      </c>
      <c r="J41">
        <f t="shared" si="2"/>
        <v>237.35465769791918</v>
      </c>
      <c r="K41" s="2"/>
      <c r="M41" s="2">
        <f t="shared" si="3"/>
        <v>54.579207435301527</v>
      </c>
      <c r="N41" s="25">
        <f t="shared" si="4"/>
        <v>3.9996529940186862</v>
      </c>
      <c r="O41" s="26">
        <f t="shared" si="5"/>
        <v>6.1587401145797853E-2</v>
      </c>
      <c r="P41">
        <f t="shared" si="6"/>
        <v>11.044235798744706</v>
      </c>
      <c r="Q41">
        <f t="shared" si="7"/>
        <v>44.17311077909762</v>
      </c>
      <c r="R41">
        <f t="shared" si="8"/>
        <v>-395.4935558875714</v>
      </c>
      <c r="S41">
        <f t="shared" si="9"/>
        <v>156415.15274859557</v>
      </c>
    </row>
    <row r="42" spans="1:19" x14ac:dyDescent="0.25">
      <c r="A42">
        <v>40</v>
      </c>
      <c r="B42" s="9">
        <f>'הזנת נתונים'!A40</f>
        <v>450.66666666666902</v>
      </c>
      <c r="C42">
        <f t="shared" si="1"/>
        <v>6.110727967934805</v>
      </c>
      <c r="D42">
        <f>COUNT($B$3:B42)</f>
        <v>40</v>
      </c>
      <c r="E42">
        <f>SUM($C$3:C42)</f>
        <v>210.13536762838589</v>
      </c>
      <c r="F42">
        <f>SUM($A$3:A42)</f>
        <v>820</v>
      </c>
      <c r="G42">
        <f>SUM($I$3:I42)</f>
        <v>22140</v>
      </c>
      <c r="H42">
        <f>SUM($J$3:J42)</f>
        <v>4629.163673586655</v>
      </c>
      <c r="I42">
        <f t="shared" si="10"/>
        <v>1600</v>
      </c>
      <c r="J42">
        <f t="shared" si="2"/>
        <v>244.42911871739221</v>
      </c>
      <c r="K42" s="2"/>
      <c r="M42" s="2">
        <f t="shared" si="3"/>
        <v>55.54947402891694</v>
      </c>
      <c r="N42" s="25">
        <f t="shared" si="4"/>
        <v>4.0172740476144755</v>
      </c>
      <c r="O42" s="26">
        <f t="shared" si="5"/>
        <v>6.0298055760740099E-2</v>
      </c>
      <c r="P42">
        <f t="shared" si="6"/>
        <v>11.155383766991925</v>
      </c>
      <c r="Q42">
        <f t="shared" si="7"/>
        <v>44.814233698316464</v>
      </c>
      <c r="R42">
        <f t="shared" si="8"/>
        <v>-405.85243296835256</v>
      </c>
      <c r="S42">
        <f t="shared" si="9"/>
        <v>164716.19734633112</v>
      </c>
    </row>
    <row r="43" spans="1:19" x14ac:dyDescent="0.25">
      <c r="A43">
        <v>41</v>
      </c>
      <c r="B43" s="9">
        <f>'הזנת נתונים'!A41</f>
        <v>461.66666666666902</v>
      </c>
      <c r="C43">
        <f t="shared" si="1"/>
        <v>6.1348431299533344</v>
      </c>
      <c r="D43">
        <f>COUNT($B$3:B43)</f>
        <v>41</v>
      </c>
      <c r="E43">
        <f>SUM($C$3:C43)</f>
        <v>216.27021075833923</v>
      </c>
      <c r="F43">
        <f>SUM($A$3:A43)</f>
        <v>861</v>
      </c>
      <c r="G43">
        <f>SUM($I$3:I43)</f>
        <v>23821</v>
      </c>
      <c r="H43">
        <f>SUM($J$3:J43)</f>
        <v>4880.6922419147413</v>
      </c>
      <c r="I43">
        <f t="shared" si="10"/>
        <v>1681</v>
      </c>
      <c r="J43">
        <f t="shared" si="2"/>
        <v>251.52856832808672</v>
      </c>
      <c r="K43" s="2"/>
      <c r="M43" s="2">
        <f t="shared" si="3"/>
        <v>56.518844094318212</v>
      </c>
      <c r="N43" s="25">
        <f t="shared" si="4"/>
        <v>4.0345741063389413</v>
      </c>
      <c r="O43" s="26">
        <f t="shared" si="5"/>
        <v>5.9062337280421165E-2</v>
      </c>
      <c r="P43">
        <f t="shared" si="6"/>
        <v>11.263369561218214</v>
      </c>
      <c r="Q43">
        <f t="shared" si="7"/>
        <v>45.442899181817211</v>
      </c>
      <c r="R43">
        <f t="shared" si="8"/>
        <v>-416.22376748485181</v>
      </c>
      <c r="S43">
        <f t="shared" si="9"/>
        <v>173242.22461928398</v>
      </c>
    </row>
    <row r="44" spans="1:19" x14ac:dyDescent="0.25">
      <c r="A44">
        <v>42</v>
      </c>
      <c r="B44" s="9">
        <f>'הזנת נתונים'!A42</f>
        <v>472.66666666666902</v>
      </c>
      <c r="C44">
        <f t="shared" si="1"/>
        <v>6.1583904184239682</v>
      </c>
      <c r="D44">
        <f>COUNT($B$3:B44)</f>
        <v>42</v>
      </c>
      <c r="E44">
        <f>SUM($C$3:C44)</f>
        <v>222.42860117676321</v>
      </c>
      <c r="F44">
        <f>SUM($A$3:A44)</f>
        <v>903</v>
      </c>
      <c r="G44">
        <f>SUM($I$3:I44)</f>
        <v>25585</v>
      </c>
      <c r="H44">
        <f>SUM($J$3:J44)</f>
        <v>5139.3446394885477</v>
      </c>
      <c r="I44">
        <f t="shared" si="10"/>
        <v>1764</v>
      </c>
      <c r="J44">
        <f t="shared" si="2"/>
        <v>258.65239757380664</v>
      </c>
      <c r="K44" s="2"/>
      <c r="M44" s="2">
        <f t="shared" si="3"/>
        <v>57.487335467242467</v>
      </c>
      <c r="N44" s="25">
        <f t="shared" si="4"/>
        <v>4.0515646708004978</v>
      </c>
      <c r="O44" s="26">
        <f t="shared" si="5"/>
        <v>5.7876949062173069E-2</v>
      </c>
      <c r="P44">
        <f t="shared" si="6"/>
        <v>11.368335017810056</v>
      </c>
      <c r="Q44">
        <f t="shared" si="7"/>
        <v>46.059544523983369</v>
      </c>
      <c r="R44">
        <f t="shared" si="8"/>
        <v>-426.60712214268563</v>
      </c>
      <c r="S44">
        <f t="shared" si="9"/>
        <v>181993.6366628643</v>
      </c>
    </row>
    <row r="45" spans="1:19" x14ac:dyDescent="0.25">
      <c r="A45">
        <v>43</v>
      </c>
      <c r="B45" s="9">
        <f>'הזנת נתונים'!A43</f>
        <v>483.66666666666902</v>
      </c>
      <c r="C45">
        <f t="shared" si="1"/>
        <v>6.1813959642160832</v>
      </c>
      <c r="D45">
        <f>COUNT($B$3:B45)</f>
        <v>43</v>
      </c>
      <c r="E45">
        <f>SUM($C$3:C45)</f>
        <v>228.60999714097929</v>
      </c>
      <c r="F45">
        <f>SUM($A$3:A45)</f>
        <v>946</v>
      </c>
      <c r="G45">
        <f>SUM($I$3:I45)</f>
        <v>27434</v>
      </c>
      <c r="H45">
        <f>SUM($J$3:J45)</f>
        <v>5405.1446659498397</v>
      </c>
      <c r="I45">
        <f t="shared" si="10"/>
        <v>1849</v>
      </c>
      <c r="J45">
        <f t="shared" si="2"/>
        <v>265.80002646129157</v>
      </c>
      <c r="K45" s="2"/>
      <c r="M45" s="2">
        <f t="shared" si="3"/>
        <v>58.454966145333508</v>
      </c>
      <c r="N45" s="25">
        <f t="shared" si="4"/>
        <v>4.0682566483008609</v>
      </c>
      <c r="O45" s="26">
        <f t="shared" si="5"/>
        <v>5.6738859687148264E-2</v>
      </c>
      <c r="P45">
        <f t="shared" si="6"/>
        <v>11.470413333555197</v>
      </c>
      <c r="Q45">
        <f t="shared" si="7"/>
        <v>46.664585302994766</v>
      </c>
      <c r="R45">
        <f t="shared" si="8"/>
        <v>-437.00208136367428</v>
      </c>
      <c r="S45">
        <f t="shared" si="9"/>
        <v>190970.81911618338</v>
      </c>
    </row>
    <row r="46" spans="1:19" x14ac:dyDescent="0.25">
      <c r="A46">
        <v>44</v>
      </c>
      <c r="B46" s="9">
        <f>'הזנת נתונים'!A44</f>
        <v>494.66666666666902</v>
      </c>
      <c r="C46">
        <f t="shared" si="1"/>
        <v>6.2038841350592211</v>
      </c>
      <c r="D46">
        <f>COUNT($B$3:B46)</f>
        <v>44</v>
      </c>
      <c r="E46">
        <f>SUM($C$3:C46)</f>
        <v>234.8138812760385</v>
      </c>
      <c r="F46">
        <f>SUM($A$3:A46)</f>
        <v>990</v>
      </c>
      <c r="G46">
        <f>SUM($I$3:I46)</f>
        <v>29370</v>
      </c>
      <c r="H46">
        <f>SUM($J$3:J46)</f>
        <v>5678.1155678924451</v>
      </c>
      <c r="I46">
        <f t="shared" si="10"/>
        <v>1936</v>
      </c>
      <c r="J46">
        <f t="shared" si="2"/>
        <v>272.97090194260574</v>
      </c>
      <c r="K46" s="2"/>
      <c r="M46" s="2">
        <f t="shared" si="3"/>
        <v>59.421754161921406</v>
      </c>
      <c r="N46" s="25">
        <f t="shared" si="4"/>
        <v>4.0846603910043244</v>
      </c>
      <c r="O46" s="26">
        <f t="shared" si="5"/>
        <v>5.5645276840250724E-2</v>
      </c>
      <c r="P46">
        <f t="shared" si="6"/>
        <v>11.569729725243073</v>
      </c>
      <c r="Q46">
        <f t="shared" si="7"/>
        <v>47.258416743325725</v>
      </c>
      <c r="R46">
        <f t="shared" si="8"/>
        <v>-447.40824992334331</v>
      </c>
      <c r="S46">
        <f t="shared" si="9"/>
        <v>200174.14209946882</v>
      </c>
    </row>
    <row r="47" spans="1:19" x14ac:dyDescent="0.25">
      <c r="A47">
        <v>45</v>
      </c>
      <c r="B47" s="9">
        <f>'הזנת נתונים'!A45</f>
        <v>505.66666666666799</v>
      </c>
      <c r="C47">
        <f t="shared" si="1"/>
        <v>6.2258776906804254</v>
      </c>
      <c r="D47">
        <f>COUNT($B$3:B47)</f>
        <v>45</v>
      </c>
      <c r="E47">
        <f>SUM($C$3:C47)</f>
        <v>241.03975896671892</v>
      </c>
      <c r="F47">
        <f>SUM($A$3:A47)</f>
        <v>1035</v>
      </c>
      <c r="G47">
        <f>SUM($I$3:I47)</f>
        <v>31395</v>
      </c>
      <c r="H47">
        <f>SUM($J$3:J47)</f>
        <v>5958.280063973064</v>
      </c>
      <c r="I47">
        <f t="shared" si="10"/>
        <v>2025</v>
      </c>
      <c r="J47">
        <f t="shared" si="2"/>
        <v>280.16449608061913</v>
      </c>
      <c r="K47" s="2"/>
      <c r="M47" s="2">
        <f t="shared" si="3"/>
        <v>60.387717485088984</v>
      </c>
      <c r="N47" s="25">
        <f t="shared" si="4"/>
        <v>4.100785731365888</v>
      </c>
      <c r="O47" s="26">
        <f t="shared" si="5"/>
        <v>5.4593624207974853E-2</v>
      </c>
      <c r="P47">
        <f t="shared" si="6"/>
        <v>11.666402029273042</v>
      </c>
      <c r="Q47">
        <f t="shared" si="7"/>
        <v>47.841414978020936</v>
      </c>
      <c r="R47">
        <f t="shared" si="8"/>
        <v>-457.82525168864709</v>
      </c>
      <c r="S47">
        <f t="shared" si="9"/>
        <v>209603.96108377306</v>
      </c>
    </row>
    <row r="48" spans="1:19" x14ac:dyDescent="0.25">
      <c r="A48">
        <v>46</v>
      </c>
      <c r="B48" s="9">
        <f>'הזנת נתונים'!A46</f>
        <v>516.66666666666902</v>
      </c>
      <c r="C48">
        <f t="shared" si="1"/>
        <v>6.2473979212451871</v>
      </c>
      <c r="D48">
        <f>COUNT($B$3:B48)</f>
        <v>46</v>
      </c>
      <c r="E48">
        <f>SUM($C$3:C48)</f>
        <v>247.2871568879641</v>
      </c>
      <c r="F48">
        <f>SUM($A$3:A48)</f>
        <v>1081</v>
      </c>
      <c r="G48">
        <f>SUM($I$3:I48)</f>
        <v>33511</v>
      </c>
      <c r="H48">
        <f>SUM($J$3:J48)</f>
        <v>6245.6603683503427</v>
      </c>
      <c r="I48">
        <f t="shared" si="10"/>
        <v>2116</v>
      </c>
      <c r="J48">
        <f t="shared" si="2"/>
        <v>287.38030437727861</v>
      </c>
      <c r="K48" s="2"/>
      <c r="M48" s="2">
        <f t="shared" si="3"/>
        <v>61.352873937360286</v>
      </c>
      <c r="N48" s="25">
        <f t="shared" si="4"/>
        <v>4.1166420150044782</v>
      </c>
      <c r="O48" s="26">
        <f t="shared" si="5"/>
        <v>5.3581520997000996E-2</v>
      </c>
      <c r="P48">
        <f t="shared" si="6"/>
        <v>11.760541247539731</v>
      </c>
      <c r="Q48">
        <f t="shared" si="7"/>
        <v>48.41393821881524</v>
      </c>
      <c r="R48">
        <f t="shared" si="8"/>
        <v>-468.25272844785377</v>
      </c>
      <c r="S48">
        <f t="shared" si="9"/>
        <v>219260.61769885948</v>
      </c>
    </row>
    <row r="49" spans="1:19" x14ac:dyDescent="0.25">
      <c r="A49">
        <v>47</v>
      </c>
      <c r="B49" s="9">
        <f>'הזנת נתונים'!A47</f>
        <v>527.66666666666902</v>
      </c>
      <c r="C49">
        <f t="shared" si="1"/>
        <v>6.2684647712129067</v>
      </c>
      <c r="D49">
        <f>COUNT($B$3:B49)</f>
        <v>47</v>
      </c>
      <c r="E49">
        <f>SUM($C$3:C49)</f>
        <v>253.55562165917701</v>
      </c>
      <c r="F49">
        <f>SUM($A$3:A49)</f>
        <v>1128</v>
      </c>
      <c r="G49">
        <f>SUM($I$3:I49)</f>
        <v>35720</v>
      </c>
      <c r="H49">
        <f>SUM($J$3:J49)</f>
        <v>6540.278212597349</v>
      </c>
      <c r="I49">
        <f t="shared" si="10"/>
        <v>2209</v>
      </c>
      <c r="J49">
        <f t="shared" si="2"/>
        <v>294.61784424700659</v>
      </c>
      <c r="K49" s="2"/>
      <c r="M49" s="2">
        <f t="shared" si="3"/>
        <v>62.317241132226236</v>
      </c>
      <c r="N49" s="25">
        <f t="shared" si="4"/>
        <v>4.1322381312023797</v>
      </c>
      <c r="O49" s="26">
        <f t="shared" si="5"/>
        <v>5.2606763734632266E-2</v>
      </c>
      <c r="P49">
        <f t="shared" si="6"/>
        <v>11.852252045135906</v>
      </c>
      <c r="Q49">
        <f t="shared" si="7"/>
        <v>48.976327841531976</v>
      </c>
      <c r="R49">
        <f t="shared" si="8"/>
        <v>-478.69033882513702</v>
      </c>
      <c r="S49">
        <f t="shared" si="9"/>
        <v>229144.44048452447</v>
      </c>
    </row>
    <row r="50" spans="1:19" x14ac:dyDescent="0.25">
      <c r="A50">
        <v>48</v>
      </c>
      <c r="B50" s="9">
        <f>'הזנת נתונים'!A48</f>
        <v>538.66666666666902</v>
      </c>
      <c r="C50">
        <f t="shared" si="1"/>
        <v>6.2890969504129357</v>
      </c>
      <c r="D50">
        <f>COUNT($B$3:B50)</f>
        <v>48</v>
      </c>
      <c r="E50">
        <f>SUM($C$3:C50)</f>
        <v>259.84471860958996</v>
      </c>
      <c r="F50">
        <f>SUM($A$3:A50)</f>
        <v>1176</v>
      </c>
      <c r="G50">
        <f>SUM($I$3:I50)</f>
        <v>38024</v>
      </c>
      <c r="H50">
        <f>SUM($J$3:J50)</f>
        <v>6842.1548662171699</v>
      </c>
      <c r="I50">
        <f t="shared" si="10"/>
        <v>2304</v>
      </c>
      <c r="J50">
        <f t="shared" si="2"/>
        <v>301.8766536198209</v>
      </c>
      <c r="K50" s="2"/>
      <c r="M50" s="2">
        <f t="shared" si="3"/>
        <v>63.280836424440125</v>
      </c>
      <c r="N50" s="25">
        <f t="shared" si="4"/>
        <v>4.1475825412045362</v>
      </c>
      <c r="O50" s="26">
        <f t="shared" si="5"/>
        <v>5.1667310061030813E-2</v>
      </c>
      <c r="P50">
        <f t="shared" si="6"/>
        <v>11.941633204770591</v>
      </c>
      <c r="Q50">
        <f t="shared" si="7"/>
        <v>49.528909393574878</v>
      </c>
      <c r="R50">
        <f t="shared" si="8"/>
        <v>-489.13775727309417</v>
      </c>
      <c r="S50">
        <f t="shared" si="9"/>
        <v>239255.74559015239</v>
      </c>
    </row>
    <row r="51" spans="1:19" x14ac:dyDescent="0.25">
      <c r="A51">
        <v>49</v>
      </c>
      <c r="B51" s="9">
        <f>'הזנת נתונים'!A49</f>
        <v>549.66666666666902</v>
      </c>
      <c r="C51">
        <f t="shared" si="1"/>
        <v>6.3093120338914934</v>
      </c>
      <c r="D51">
        <f>COUNT($B$3:B51)</f>
        <v>49</v>
      </c>
      <c r="E51">
        <f>SUM($C$3:C51)</f>
        <v>266.15403064348146</v>
      </c>
      <c r="F51">
        <f>SUM($A$3:A51)</f>
        <v>1225</v>
      </c>
      <c r="G51">
        <f>SUM($I$3:I51)</f>
        <v>40425</v>
      </c>
      <c r="H51">
        <f>SUM($J$3:J51)</f>
        <v>7151.3111558778528</v>
      </c>
      <c r="I51">
        <f t="shared" si="10"/>
        <v>2401</v>
      </c>
      <c r="J51">
        <f t="shared" si="2"/>
        <v>309.15628966068317</v>
      </c>
      <c r="K51" s="2"/>
      <c r="M51" s="2">
        <f t="shared" si="3"/>
        <v>64.243676871582565</v>
      </c>
      <c r="N51" s="25">
        <f t="shared" si="4"/>
        <v>4.1626833044822327</v>
      </c>
      <c r="O51" s="26">
        <f t="shared" si="5"/>
        <v>5.0761264264369034E-2</v>
      </c>
      <c r="P51">
        <f t="shared" si="6"/>
        <v>12.028778042243886</v>
      </c>
      <c r="Q51">
        <f t="shared" si="7"/>
        <v>50.071993529771099</v>
      </c>
      <c r="R51">
        <f t="shared" si="8"/>
        <v>-499.59467313689794</v>
      </c>
      <c r="S51">
        <f t="shared" si="9"/>
        <v>249594.8374267639</v>
      </c>
    </row>
    <row r="52" spans="1:19" x14ac:dyDescent="0.25">
      <c r="A52">
        <v>50</v>
      </c>
      <c r="B52" s="9">
        <f>'הזנת נתונים'!A50</f>
        <v>560.66666666666902</v>
      </c>
      <c r="C52">
        <f t="shared" si="1"/>
        <v>6.3291265518647881</v>
      </c>
      <c r="D52">
        <f>COUNT($B$3:B52)</f>
        <v>50</v>
      </c>
      <c r="E52">
        <f>SUM($C$3:C52)</f>
        <v>272.48315719534622</v>
      </c>
      <c r="F52">
        <f>SUM($A$3:A52)</f>
        <v>1275</v>
      </c>
      <c r="G52">
        <f>SUM($I$3:I52)</f>
        <v>42925</v>
      </c>
      <c r="H52">
        <f>SUM($J$3:J52)</f>
        <v>7467.7674834710924</v>
      </c>
      <c r="I52">
        <f t="shared" si="10"/>
        <v>2500</v>
      </c>
      <c r="J52">
        <f t="shared" si="2"/>
        <v>316.45632759323939</v>
      </c>
      <c r="K52" s="2"/>
      <c r="M52" s="2">
        <f t="shared" si="3"/>
        <v>65.205779204849193</v>
      </c>
      <c r="N52" s="25">
        <f t="shared" si="4"/>
        <v>4.177548103115666</v>
      </c>
      <c r="O52" s="26">
        <f t="shared" si="5"/>
        <v>4.9886864344755213E-2</v>
      </c>
      <c r="P52">
        <f t="shared" si="6"/>
        <v>12.113774786830984</v>
      </c>
      <c r="Q52">
        <f t="shared" si="7"/>
        <v>50.605876882296158</v>
      </c>
      <c r="R52">
        <f t="shared" si="8"/>
        <v>-510.06078978437284</v>
      </c>
      <c r="S52">
        <f t="shared" si="9"/>
        <v>260162.00927545817</v>
      </c>
    </row>
    <row r="53" spans="1:19" x14ac:dyDescent="0.25">
      <c r="A53">
        <v>51</v>
      </c>
      <c r="B53" s="9">
        <f>'הזנת נתונים'!A51</f>
        <v>571.66666666666902</v>
      </c>
      <c r="C53">
        <f t="shared" si="1"/>
        <v>6.3485560709319344</v>
      </c>
      <c r="D53">
        <f>COUNT($B$3:B53)</f>
        <v>51</v>
      </c>
      <c r="E53">
        <f>SUM($C$3:C53)</f>
        <v>278.83171326627814</v>
      </c>
      <c r="F53">
        <f>SUM($A$3:A53)</f>
        <v>1326</v>
      </c>
      <c r="G53">
        <f>SUM($I$3:I53)</f>
        <v>45526</v>
      </c>
      <c r="H53">
        <f>SUM($J$3:J53)</f>
        <v>7791.5438430886206</v>
      </c>
      <c r="I53">
        <f t="shared" si="10"/>
        <v>2601</v>
      </c>
      <c r="J53">
        <f t="shared" si="2"/>
        <v>323.77635961752867</v>
      </c>
      <c r="K53" s="2"/>
      <c r="M53" s="2">
        <f t="shared" si="3"/>
        <v>66.16715980739383</v>
      </c>
      <c r="N53" s="25">
        <f t="shared" si="4"/>
        <v>4.1921842644398328</v>
      </c>
      <c r="O53" s="26">
        <f t="shared" si="5"/>
        <v>4.9042470422207128E-2</v>
      </c>
      <c r="P53">
        <f t="shared" si="6"/>
        <v>12.196706929997831</v>
      </c>
      <c r="Q53">
        <f t="shared" si="7"/>
        <v>51.130842869921167</v>
      </c>
      <c r="R53">
        <f t="shared" si="8"/>
        <v>-520.53582379674788</v>
      </c>
      <c r="S53">
        <f t="shared" si="9"/>
        <v>270957.54385575897</v>
      </c>
    </row>
    <row r="54" spans="1:19" x14ac:dyDescent="0.25">
      <c r="A54">
        <v>52</v>
      </c>
      <c r="B54" s="9">
        <f>'הזנת נתונים'!A52</f>
        <v>582.66666666666902</v>
      </c>
      <c r="C54">
        <f t="shared" si="1"/>
        <v>6.3676152675473752</v>
      </c>
      <c r="D54">
        <f>COUNT($B$3:B54)</f>
        <v>52</v>
      </c>
      <c r="E54">
        <f>SUM($C$3:C54)</f>
        <v>285.19932853382551</v>
      </c>
      <c r="F54">
        <f>SUM($A$3:A54)</f>
        <v>1378</v>
      </c>
      <c r="G54">
        <f>SUM($I$3:I54)</f>
        <v>48230</v>
      </c>
      <c r="H54">
        <f>SUM($J$3:J54)</f>
        <v>8122.6598370010843</v>
      </c>
      <c r="I54">
        <f t="shared" si="10"/>
        <v>2704</v>
      </c>
      <c r="J54">
        <f t="shared" si="2"/>
        <v>331.11599391246352</v>
      </c>
      <c r="K54" s="2"/>
      <c r="M54" s="2">
        <f t="shared" si="3"/>
        <v>67.127834698848361</v>
      </c>
      <c r="N54" s="25">
        <f t="shared" si="4"/>
        <v>4.2065987820878021</v>
      </c>
      <c r="O54" s="26">
        <f t="shared" si="5"/>
        <v>4.8226554328925836E-2</v>
      </c>
      <c r="P54">
        <f t="shared" si="6"/>
        <v>12.277653545497678</v>
      </c>
      <c r="Q54">
        <f t="shared" si="7"/>
        <v>51.647162451386521</v>
      </c>
      <c r="R54">
        <f t="shared" si="8"/>
        <v>-531.0195042152825</v>
      </c>
      <c r="S54">
        <f t="shared" si="9"/>
        <v>281981.71385704441</v>
      </c>
    </row>
    <row r="55" spans="1:19" x14ac:dyDescent="0.25">
      <c r="A55">
        <v>53</v>
      </c>
      <c r="B55" s="9">
        <f>'הזנת נתונים'!A53</f>
        <v>593.66666666666902</v>
      </c>
      <c r="C55">
        <f t="shared" si="1"/>
        <v>6.3863179946215558</v>
      </c>
      <c r="D55">
        <f>COUNT($B$3:B55)</f>
        <v>53</v>
      </c>
      <c r="E55">
        <f>SUM($C$3:C55)</f>
        <v>291.58564652844706</v>
      </c>
      <c r="F55">
        <f>SUM($A$3:A55)</f>
        <v>1431</v>
      </c>
      <c r="G55">
        <f>SUM($I$3:I55)</f>
        <v>51039</v>
      </c>
      <c r="H55">
        <f>SUM($J$3:J55)</f>
        <v>8461.1346907160259</v>
      </c>
      <c r="I55">
        <f t="shared" si="10"/>
        <v>2809</v>
      </c>
      <c r="J55">
        <f t="shared" si="2"/>
        <v>338.47485371494247</v>
      </c>
      <c r="K55" s="2"/>
      <c r="M55" s="2">
        <f t="shared" si="3"/>
        <v>68.087819524895565</v>
      </c>
      <c r="N55" s="25">
        <f t="shared" si="4"/>
        <v>4.2207983355557017</v>
      </c>
      <c r="O55" s="26">
        <f t="shared" si="5"/>
        <v>4.743769024737586E-2</v>
      </c>
      <c r="P55">
        <f t="shared" si="6"/>
        <v>12.356689583564437</v>
      </c>
      <c r="Q55">
        <f t="shared" si="7"/>
        <v>52.15509482728725</v>
      </c>
      <c r="R55">
        <f t="shared" si="8"/>
        <v>-541.51157183938176</v>
      </c>
      <c r="S55">
        <f t="shared" si="9"/>
        <v>293234.78243595792</v>
      </c>
    </row>
    <row r="56" spans="1:19" x14ac:dyDescent="0.25">
      <c r="A56">
        <v>54</v>
      </c>
      <c r="B56" s="9">
        <f>'הזנת נתונים'!A54</f>
        <v>604.66666666666902</v>
      </c>
      <c r="C56">
        <f t="shared" si="1"/>
        <v>6.404677342006976</v>
      </c>
      <c r="D56">
        <f>COUNT($B$3:B56)</f>
        <v>54</v>
      </c>
      <c r="E56">
        <f>SUM($C$3:C56)</f>
        <v>297.99032387045401</v>
      </c>
      <c r="F56">
        <f>SUM($A$3:A56)</f>
        <v>1485</v>
      </c>
      <c r="G56">
        <f>SUM($I$3:I56)</f>
        <v>53955</v>
      </c>
      <c r="H56">
        <f>SUM($J$3:J56)</f>
        <v>8806.9872671844023</v>
      </c>
      <c r="I56">
        <f t="shared" si="10"/>
        <v>2916</v>
      </c>
      <c r="J56">
        <f t="shared" si="2"/>
        <v>345.8525764683767</v>
      </c>
      <c r="K56" s="2"/>
      <c r="M56" s="2">
        <f t="shared" si="3"/>
        <v>69.047129550960065</v>
      </c>
      <c r="N56" s="25">
        <f t="shared" si="4"/>
        <v>4.2347893084041104</v>
      </c>
      <c r="O56" s="26">
        <f t="shared" si="5"/>
        <v>4.6674546273826313E-2</v>
      </c>
      <c r="P56">
        <f t="shared" si="6"/>
        <v>12.433886141630737</v>
      </c>
      <c r="Q56">
        <f t="shared" si="7"/>
        <v>52.654888094491881</v>
      </c>
      <c r="R56">
        <f t="shared" si="8"/>
        <v>-552.01177857217715</v>
      </c>
      <c r="S56">
        <f t="shared" si="9"/>
        <v>304717.00368241832</v>
      </c>
    </row>
    <row r="57" spans="1:19" x14ac:dyDescent="0.25">
      <c r="A57">
        <v>55</v>
      </c>
      <c r="B57" s="9">
        <f>'הזנת נתונים'!A55</f>
        <v>615.66666666666902</v>
      </c>
      <c r="C57">
        <f t="shared" si="1"/>
        <v>6.4227056915311342</v>
      </c>
      <c r="D57">
        <f>COUNT($B$3:B57)</f>
        <v>55</v>
      </c>
      <c r="E57">
        <f>SUM($C$3:C57)</f>
        <v>304.41302956198513</v>
      </c>
      <c r="F57">
        <f>SUM($A$3:A57)</f>
        <v>1540</v>
      </c>
      <c r="G57">
        <f>SUM($I$3:I57)</f>
        <v>56980</v>
      </c>
      <c r="H57">
        <f>SUM($J$3:J57)</f>
        <v>9160.236080218614</v>
      </c>
      <c r="I57">
        <f t="shared" si="10"/>
        <v>3025</v>
      </c>
      <c r="J57">
        <f t="shared" si="2"/>
        <v>353.24881303421239</v>
      </c>
      <c r="K57" s="2"/>
      <c r="M57" s="2">
        <f t="shared" si="3"/>
        <v>70.005779659253108</v>
      </c>
      <c r="N57" s="25">
        <f t="shared" si="4"/>
        <v>4.2485778052016867</v>
      </c>
      <c r="O57" s="26">
        <f t="shared" si="5"/>
        <v>4.5935876802527496E-2</v>
      </c>
      <c r="P57">
        <f t="shared" si="6"/>
        <v>12.509310713739138</v>
      </c>
      <c r="Q57">
        <f t="shared" si="7"/>
        <v>53.146779856763771</v>
      </c>
      <c r="R57">
        <f t="shared" si="8"/>
        <v>-562.5198868099053</v>
      </c>
      <c r="S57">
        <f t="shared" si="9"/>
        <v>316428.62305662868</v>
      </c>
    </row>
    <row r="58" spans="1:19" x14ac:dyDescent="0.25">
      <c r="A58">
        <v>56</v>
      </c>
      <c r="B58" s="9">
        <f>'הזנת נתונים'!A56</f>
        <v>626.66666666666902</v>
      </c>
      <c r="C58">
        <f t="shared" si="1"/>
        <v>6.4404147671558887</v>
      </c>
      <c r="D58">
        <f>COUNT($B$3:B58)</f>
        <v>56</v>
      </c>
      <c r="E58">
        <f>SUM($C$3:C58)</f>
        <v>310.85344432914104</v>
      </c>
      <c r="F58">
        <f>SUM($A$3:A58)</f>
        <v>1596</v>
      </c>
      <c r="G58">
        <f>SUM($I$3:I58)</f>
        <v>60116</v>
      </c>
      <c r="H58">
        <f>SUM($J$3:J58)</f>
        <v>9520.8993071793429</v>
      </c>
      <c r="I58">
        <f t="shared" si="10"/>
        <v>3136</v>
      </c>
      <c r="J58">
        <f t="shared" si="2"/>
        <v>360.66322696072979</v>
      </c>
      <c r="K58" s="2"/>
      <c r="M58" s="2">
        <f t="shared" si="3"/>
        <v>70.963784348536279</v>
      </c>
      <c r="N58" s="25">
        <f t="shared" si="4"/>
        <v>4.262169667308382</v>
      </c>
      <c r="O58" s="26">
        <f t="shared" si="5"/>
        <v>4.5220515639017342E-2</v>
      </c>
      <c r="P58">
        <f t="shared" si="6"/>
        <v>12.583027420590666</v>
      </c>
      <c r="Q58">
        <f t="shared" si="7"/>
        <v>53.630997794951163</v>
      </c>
      <c r="R58">
        <f t="shared" si="8"/>
        <v>-573.0356688717178</v>
      </c>
      <c r="S58">
        <f t="shared" si="9"/>
        <v>328369.877799257</v>
      </c>
    </row>
    <row r="59" spans="1:19" x14ac:dyDescent="0.25">
      <c r="A59">
        <v>57</v>
      </c>
      <c r="B59" s="9">
        <f>'הזנת נתונים'!A57</f>
        <v>637.66666666666902</v>
      </c>
      <c r="C59">
        <f t="shared" si="1"/>
        <v>6.4578156807721472</v>
      </c>
      <c r="D59">
        <f>COUNT($B$3:B59)</f>
        <v>57</v>
      </c>
      <c r="E59">
        <f>SUM($C$3:C59)</f>
        <v>317.31126000991321</v>
      </c>
      <c r="F59">
        <f>SUM($A$3:A59)</f>
        <v>1653</v>
      </c>
      <c r="G59">
        <f>SUM($I$3:I59)</f>
        <v>63365</v>
      </c>
      <c r="H59">
        <f>SUM($J$3:J59)</f>
        <v>9888.9948009833552</v>
      </c>
      <c r="I59">
        <f t="shared" si="10"/>
        <v>3249</v>
      </c>
      <c r="J59">
        <f t="shared" si="2"/>
        <v>368.09549380401239</v>
      </c>
      <c r="K59" s="2"/>
      <c r="M59" s="2">
        <f t="shared" si="3"/>
        <v>71.921157736075813</v>
      </c>
      <c r="N59" s="25">
        <f t="shared" si="4"/>
        <v>4.2755704875876912</v>
      </c>
      <c r="O59" s="26">
        <f t="shared" si="5"/>
        <v>4.452736976250142E-2</v>
      </c>
      <c r="P59">
        <f t="shared" si="6"/>
        <v>12.655097221974273</v>
      </c>
      <c r="Q59">
        <f t="shared" si="7"/>
        <v>54.107760199826181</v>
      </c>
      <c r="R59">
        <f t="shared" si="8"/>
        <v>-583.55890646684281</v>
      </c>
      <c r="S59">
        <f t="shared" si="9"/>
        <v>340540.99731677742</v>
      </c>
    </row>
    <row r="60" spans="1:19" x14ac:dyDescent="0.25">
      <c r="A60">
        <v>58</v>
      </c>
      <c r="B60" s="9">
        <f>'הזנת נתונים'!A58</f>
        <v>648.66666666666902</v>
      </c>
      <c r="C60">
        <f t="shared" si="1"/>
        <v>6.4749189740778439</v>
      </c>
      <c r="D60">
        <f>COUNT($B$3:B60)</f>
        <v>58</v>
      </c>
      <c r="E60">
        <f>SUM($C$3:C60)</f>
        <v>323.78617898399108</v>
      </c>
      <c r="F60">
        <f>SUM($A$3:A60)</f>
        <v>1711</v>
      </c>
      <c r="G60">
        <f>SUM($I$3:I60)</f>
        <v>66729</v>
      </c>
      <c r="H60">
        <f>SUM($J$3:J60)</f>
        <v>10264.54010147987</v>
      </c>
      <c r="I60">
        <f t="shared" si="10"/>
        <v>3364</v>
      </c>
      <c r="J60">
        <f t="shared" si="2"/>
        <v>375.54530049651493</v>
      </c>
      <c r="K60" s="2"/>
      <c r="M60" s="2">
        <f t="shared" si="3"/>
        <v>72.8779135613607</v>
      </c>
      <c r="N60" s="25">
        <f t="shared" si="4"/>
        <v>4.2887856241302762</v>
      </c>
      <c r="O60" s="26">
        <f t="shared" si="5"/>
        <v>4.3855413667115754E-2</v>
      </c>
      <c r="P60">
        <f t="shared" si="6"/>
        <v>12.725578113141037</v>
      </c>
      <c r="Q60">
        <f t="shared" si="7"/>
        <v>54.57727647038616</v>
      </c>
      <c r="R60">
        <f t="shared" si="8"/>
        <v>-594.08939019628281</v>
      </c>
      <c r="S60">
        <f t="shared" si="9"/>
        <v>352942.20354379114</v>
      </c>
    </row>
    <row r="61" spans="1:19" x14ac:dyDescent="0.25">
      <c r="A61">
        <v>59</v>
      </c>
      <c r="B61" s="9">
        <f>'הזנת נתונים'!A59</f>
        <v>659.66666666666902</v>
      </c>
      <c r="C61">
        <f t="shared" si="1"/>
        <v>6.4917346569344598</v>
      </c>
      <c r="D61">
        <f>COUNT($B$3:B61)</f>
        <v>59</v>
      </c>
      <c r="E61">
        <f>SUM($C$3:C61)</f>
        <v>330.27791364092553</v>
      </c>
      <c r="F61">
        <f>SUM($A$3:A61)</f>
        <v>1770</v>
      </c>
      <c r="G61">
        <f>SUM($I$3:I61)</f>
        <v>70210</v>
      </c>
      <c r="H61">
        <f>SUM($J$3:J61)</f>
        <v>10647.552446239002</v>
      </c>
      <c r="I61">
        <f t="shared" si="10"/>
        <v>3481</v>
      </c>
      <c r="J61">
        <f t="shared" si="2"/>
        <v>383.01234475913316</v>
      </c>
      <c r="K61" s="2"/>
      <c r="M61" s="2">
        <f t="shared" si="3"/>
        <v>73.834065191218571</v>
      </c>
      <c r="N61" s="25">
        <f t="shared" si="4"/>
        <v>4.3018202130643681</v>
      </c>
      <c r="O61" s="26">
        <f t="shared" si="5"/>
        <v>4.3203684220411195E-2</v>
      </c>
      <c r="P61">
        <f t="shared" si="6"/>
        <v>12.794525306532908</v>
      </c>
      <c r="Q61">
        <f t="shared" si="7"/>
        <v>55.039747580206843</v>
      </c>
      <c r="R61">
        <f t="shared" si="8"/>
        <v>-604.62691908646218</v>
      </c>
      <c r="S61">
        <f t="shared" si="9"/>
        <v>365573.71128398727</v>
      </c>
    </row>
    <row r="62" spans="1:19" x14ac:dyDescent="0.25">
      <c r="A62">
        <v>60</v>
      </c>
      <c r="B62" s="9">
        <f>'הזנת נתונים'!A60</f>
        <v>670.66666666666902</v>
      </c>
      <c r="C62">
        <f t="shared" si="1"/>
        <v>6.5082722425515236</v>
      </c>
      <c r="D62">
        <f>COUNT($B$3:B62)</f>
        <v>60</v>
      </c>
      <c r="E62">
        <f>SUM($C$3:C62)</f>
        <v>336.78618588347706</v>
      </c>
      <c r="F62">
        <f>SUM($A$3:A62)</f>
        <v>1830</v>
      </c>
      <c r="G62">
        <f>SUM($I$3:I62)</f>
        <v>73810</v>
      </c>
      <c r="H62">
        <f>SUM($J$3:J62)</f>
        <v>11038.048780792094</v>
      </c>
      <c r="I62">
        <f t="shared" si="10"/>
        <v>3600</v>
      </c>
      <c r="J62">
        <f t="shared" si="2"/>
        <v>390.4963345530914</v>
      </c>
      <c r="K62" s="2"/>
      <c r="M62" s="2">
        <f t="shared" si="3"/>
        <v>74.789625626033228</v>
      </c>
      <c r="N62" s="25">
        <f t="shared" si="4"/>
        <v>4.3146791805222851</v>
      </c>
      <c r="O62" s="26">
        <f t="shared" si="5"/>
        <v>4.257127598477594E-2</v>
      </c>
      <c r="P62">
        <f t="shared" si="6"/>
        <v>12.861991400133784</v>
      </c>
      <c r="Q62">
        <f t="shared" si="7"/>
        <v>55.495366514213913</v>
      </c>
      <c r="R62">
        <f t="shared" si="8"/>
        <v>-615.17130015245516</v>
      </c>
      <c r="S62">
        <f t="shared" si="9"/>
        <v>378435.72853126208</v>
      </c>
    </row>
    <row r="64" spans="1:19" x14ac:dyDescent="0.25">
      <c r="A64" s="5" t="s">
        <v>22</v>
      </c>
      <c r="B64" s="48">
        <f>AVERAGE(S4:S62)</f>
        <v>129788.21588092291</v>
      </c>
    </row>
    <row r="67" spans="1:13" x14ac:dyDescent="0.25">
      <c r="A67" s="27" t="s">
        <v>23</v>
      </c>
      <c r="B67" s="27">
        <v>61</v>
      </c>
      <c r="C67" s="27">
        <v>62</v>
      </c>
      <c r="D67" s="27">
        <v>63</v>
      </c>
      <c r="E67" s="27">
        <v>64</v>
      </c>
      <c r="F67" s="27">
        <v>65</v>
      </c>
      <c r="G67" s="27">
        <v>66</v>
      </c>
      <c r="H67" s="27">
        <v>67</v>
      </c>
      <c r="I67" s="27">
        <v>68</v>
      </c>
      <c r="J67" s="27">
        <v>69</v>
      </c>
      <c r="K67" s="27">
        <v>70</v>
      </c>
      <c r="L67" s="27">
        <v>71</v>
      </c>
      <c r="M67" s="27">
        <v>72</v>
      </c>
    </row>
    <row r="68" spans="1:13" x14ac:dyDescent="0.25">
      <c r="B68">
        <f>$M$62*EXP($O$62*B67)</f>
        <v>1003.7788585612381</v>
      </c>
      <c r="C68">
        <f t="shared" ref="C68:M68" si="11">$M$62*EXP($O$62*C67)</f>
        <v>1047.4336322743095</v>
      </c>
      <c r="D68">
        <f t="shared" si="11"/>
        <v>1092.9869708472452</v>
      </c>
      <c r="E68">
        <f t="shared" si="11"/>
        <v>1140.5214436812939</v>
      </c>
      <c r="F68">
        <f t="shared" si="11"/>
        <v>1190.1232111564304</v>
      </c>
      <c r="G68">
        <f t="shared" si="11"/>
        <v>1241.882180804562</v>
      </c>
      <c r="H68">
        <f t="shared" si="11"/>
        <v>1295.8921702747789</v>
      </c>
      <c r="I68">
        <f t="shared" si="11"/>
        <v>1352.2510773860261</v>
      </c>
      <c r="J68">
        <f t="shared" si="11"/>
        <v>1411.0610575754451</v>
      </c>
      <c r="K68">
        <f t="shared" si="11"/>
        <v>1472.4287090640169</v>
      </c>
      <c r="L68">
        <f t="shared" si="11"/>
        <v>1536.4652660751428</v>
      </c>
      <c r="M68">
        <f t="shared" si="11"/>
        <v>1603.2868004563757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F6FDC-A2C4-42A1-BB24-AB9BFAB3F638}">
  <sheetPr codeName="גיליון15">
    <tabColor theme="9" tint="0.59999389629810485"/>
  </sheetPr>
  <dimension ref="A1:V104"/>
  <sheetViews>
    <sheetView rightToLeft="1" zoomScale="70" zoomScaleNormal="70" workbookViewId="0"/>
  </sheetViews>
  <sheetFormatPr defaultRowHeight="13.8" x14ac:dyDescent="0.25"/>
  <cols>
    <col min="9" max="9" width="12.19921875" customWidth="1"/>
    <col min="13" max="13" width="8.09765625" customWidth="1"/>
    <col min="14" max="14" width="13.5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>D2/D$16</f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9" spans="1:14" x14ac:dyDescent="0.25">
      <c r="A29" s="7" t="s">
        <v>1</v>
      </c>
      <c r="B29" s="7">
        <v>1</v>
      </c>
      <c r="C29" s="7">
        <v>2</v>
      </c>
      <c r="D29" s="7">
        <v>3</v>
      </c>
      <c r="E29" s="7">
        <v>4</v>
      </c>
      <c r="F29" s="7">
        <v>5</v>
      </c>
    </row>
    <row r="30" spans="1:14" x14ac:dyDescent="0.25">
      <c r="A30" s="7" t="s">
        <v>0</v>
      </c>
      <c r="B30" s="7">
        <f>N21</f>
        <v>78.686342610743836</v>
      </c>
      <c r="C30" s="7">
        <f>N22</f>
        <v>214.07578517921448</v>
      </c>
      <c r="D30" s="7">
        <f>N23</f>
        <v>350.33752067033424</v>
      </c>
      <c r="E30" s="7">
        <f>N24</f>
        <v>486.59925616145387</v>
      </c>
      <c r="F30" s="7">
        <f>N25</f>
        <v>622.86099165257269</v>
      </c>
    </row>
    <row r="32" spans="1:14" x14ac:dyDescent="0.25">
      <c r="A32" t="s">
        <v>13</v>
      </c>
      <c r="B32">
        <f>COUNT(B30:F30)</f>
        <v>5</v>
      </c>
    </row>
    <row r="33" spans="1:22" x14ac:dyDescent="0.25">
      <c r="A33" t="s">
        <v>0</v>
      </c>
      <c r="B33">
        <f>SUM(B30:F30)</f>
        <v>1752.559896274319</v>
      </c>
    </row>
    <row r="35" spans="1:22" x14ac:dyDescent="0.25">
      <c r="A35" t="s">
        <v>7</v>
      </c>
      <c r="B35">
        <f>B33/B32</f>
        <v>350.51197925486383</v>
      </c>
    </row>
    <row r="37" spans="1:22" x14ac:dyDescent="0.25">
      <c r="A37" t="s">
        <v>6</v>
      </c>
      <c r="B37">
        <v>61</v>
      </c>
      <c r="C37">
        <v>62</v>
      </c>
      <c r="D37">
        <v>63</v>
      </c>
      <c r="E37">
        <v>64</v>
      </c>
      <c r="F37">
        <v>65</v>
      </c>
      <c r="G37">
        <v>66</v>
      </c>
      <c r="H37">
        <v>67</v>
      </c>
      <c r="I37">
        <v>68</v>
      </c>
      <c r="J37">
        <v>69</v>
      </c>
      <c r="K37">
        <v>70</v>
      </c>
      <c r="L37">
        <v>71</v>
      </c>
      <c r="M37">
        <v>72</v>
      </c>
    </row>
    <row r="38" spans="1:22" x14ac:dyDescent="0.25">
      <c r="A38" t="s">
        <v>3</v>
      </c>
      <c r="B38">
        <f>$B$35*B$16</f>
        <v>256.23045623399031</v>
      </c>
      <c r="C38">
        <f t="shared" ref="C38:M38" si="10">$B$35*C$16</f>
        <v>270.85927721367898</v>
      </c>
      <c r="D38">
        <f t="shared" si="10"/>
        <v>283.79548501386722</v>
      </c>
      <c r="E38">
        <f t="shared" si="10"/>
        <v>305.1947587115572</v>
      </c>
      <c r="F38">
        <f t="shared" si="10"/>
        <v>326.59403240924723</v>
      </c>
      <c r="G38">
        <f t="shared" si="10"/>
        <v>339.53024020943548</v>
      </c>
      <c r="H38">
        <f t="shared" si="10"/>
        <v>358.95479853104166</v>
      </c>
      <c r="I38">
        <f t="shared" si="10"/>
        <v>376.96884586973101</v>
      </c>
      <c r="J38">
        <f t="shared" si="10"/>
        <v>394.98289320842031</v>
      </c>
      <c r="K38">
        <f t="shared" si="10"/>
        <v>412.99694054710983</v>
      </c>
      <c r="L38">
        <f t="shared" si="10"/>
        <v>431.01098788579907</v>
      </c>
      <c r="M38">
        <f t="shared" si="10"/>
        <v>449.02503522448836</v>
      </c>
    </row>
    <row r="42" spans="1:22" x14ac:dyDescent="0.25">
      <c r="A42" s="78" t="s">
        <v>34</v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</row>
    <row r="44" spans="1:22" x14ac:dyDescent="0.25">
      <c r="A44" t="s">
        <v>1</v>
      </c>
      <c r="B44" t="s">
        <v>0</v>
      </c>
      <c r="C44" t="s">
        <v>3</v>
      </c>
      <c r="D44" t="s">
        <v>4</v>
      </c>
      <c r="E44" t="s">
        <v>12</v>
      </c>
      <c r="F44" s="5" t="s">
        <v>22</v>
      </c>
    </row>
    <row r="45" spans="1:22" x14ac:dyDescent="0.25">
      <c r="A45">
        <f>'הזנת נתונים'!B1</f>
        <v>1</v>
      </c>
      <c r="B45">
        <f>'הזנת נתונים'!A1</f>
        <v>28</v>
      </c>
      <c r="F45" s="5">
        <f>AVERAGE(E69:E104)</f>
        <v>118232.48195112796</v>
      </c>
      <c r="I45" t="str">
        <f>A1</f>
        <v>חודש/ שנה</v>
      </c>
      <c r="J45" t="str">
        <f t="shared" ref="J45:R45" si="11">B1</f>
        <v>ינואר</v>
      </c>
      <c r="K45" t="str">
        <f t="shared" si="11"/>
        <v>פברואר</v>
      </c>
      <c r="L45" t="str">
        <f t="shared" si="11"/>
        <v>מרץ</v>
      </c>
      <c r="M45" t="str">
        <f t="shared" si="11"/>
        <v>אפריל</v>
      </c>
      <c r="N45" t="str">
        <f t="shared" si="11"/>
        <v>מאי</v>
      </c>
      <c r="O45" t="str">
        <f t="shared" si="11"/>
        <v>יוני</v>
      </c>
      <c r="P45" t="str">
        <f t="shared" si="11"/>
        <v>יולי</v>
      </c>
      <c r="Q45" t="str">
        <f t="shared" si="11"/>
        <v>אוגוסט</v>
      </c>
      <c r="R45" t="str">
        <f t="shared" si="11"/>
        <v>ספטמבר</v>
      </c>
      <c r="S45" t="str">
        <f>K1</f>
        <v>אוקטובר</v>
      </c>
      <c r="T45" t="str">
        <f t="shared" ref="T45" si="12">L1</f>
        <v>נובמבר</v>
      </c>
      <c r="U45" t="str">
        <f>M1</f>
        <v>דצמבר</v>
      </c>
      <c r="V45" t="str">
        <f t="shared" ref="V45" si="13">N1</f>
        <v>ממוצע מחזור</v>
      </c>
    </row>
    <row r="46" spans="1:22" x14ac:dyDescent="0.25">
      <c r="A46">
        <f>'הזנת נתונים'!B2</f>
        <v>2</v>
      </c>
      <c r="B46">
        <f>'הזנת נתונים'!A2</f>
        <v>35</v>
      </c>
      <c r="I46">
        <f t="shared" ref="I46:I47" si="14">A2</f>
        <v>1</v>
      </c>
      <c r="J46">
        <f t="shared" ref="J46:J47" si="15">B2</f>
        <v>28</v>
      </c>
      <c r="K46">
        <f t="shared" ref="K46:K47" si="16">C2</f>
        <v>35</v>
      </c>
      <c r="L46">
        <f t="shared" ref="L46:L47" si="17">D2</f>
        <v>40</v>
      </c>
      <c r="M46">
        <f t="shared" ref="M46:M47" si="18">E2</f>
        <v>55</v>
      </c>
      <c r="N46">
        <f t="shared" ref="N46:N47" si="19">F2</f>
        <v>70</v>
      </c>
      <c r="O46">
        <f t="shared" ref="O46:O47" si="20">G2</f>
        <v>75</v>
      </c>
      <c r="P46">
        <f t="shared" ref="P46:P47" si="21">H2</f>
        <v>87.6666666666667</v>
      </c>
      <c r="Q46">
        <f t="shared" ref="Q46:Q47" si="22">I2</f>
        <v>98.6666666666667</v>
      </c>
      <c r="R46">
        <f t="shared" ref="R46:S47" si="23">J2</f>
        <v>109.666666666667</v>
      </c>
      <c r="S46">
        <f t="shared" si="23"/>
        <v>120.666666666667</v>
      </c>
      <c r="T46">
        <f t="shared" ref="T46:U47" si="24">L2</f>
        <v>131.666666666667</v>
      </c>
      <c r="U46">
        <f t="shared" si="24"/>
        <v>142.666666666667</v>
      </c>
      <c r="V46">
        <f>AVERAGE(J46:U46)</f>
        <v>82.833333333333442</v>
      </c>
    </row>
    <row r="47" spans="1:22" x14ac:dyDescent="0.25">
      <c r="A47">
        <f>'הזנת נתונים'!B3</f>
        <v>3</v>
      </c>
      <c r="B47">
        <f>'הזנת נתונים'!A3</f>
        <v>40</v>
      </c>
      <c r="I47">
        <f t="shared" si="14"/>
        <v>2</v>
      </c>
      <c r="J47">
        <f t="shared" si="15"/>
        <v>153.666666666667</v>
      </c>
      <c r="K47">
        <f t="shared" si="16"/>
        <v>164.666666666667</v>
      </c>
      <c r="L47">
        <f t="shared" si="17"/>
        <v>175.666666666667</v>
      </c>
      <c r="M47">
        <f t="shared" si="18"/>
        <v>186.666666666667</v>
      </c>
      <c r="N47">
        <f t="shared" si="19"/>
        <v>197.666666666667</v>
      </c>
      <c r="O47">
        <f t="shared" si="20"/>
        <v>208.666666666667</v>
      </c>
      <c r="P47">
        <f t="shared" si="21"/>
        <v>219.666666666667</v>
      </c>
      <c r="Q47">
        <f t="shared" si="22"/>
        <v>230.666666666667</v>
      </c>
      <c r="R47">
        <f t="shared" si="23"/>
        <v>241.666666666667</v>
      </c>
      <c r="S47">
        <f t="shared" ref="S47" si="25">K3</f>
        <v>252.666666666667</v>
      </c>
      <c r="T47">
        <f t="shared" si="24"/>
        <v>263.66666666666703</v>
      </c>
      <c r="U47">
        <f t="shared" ref="U47" si="26">M3</f>
        <v>274.66666666666703</v>
      </c>
      <c r="V47">
        <f>AVERAGE(J47:U47)</f>
        <v>214.166666666667</v>
      </c>
    </row>
    <row r="48" spans="1:22" x14ac:dyDescent="0.25">
      <c r="A48">
        <f>'הזנת נתונים'!B4</f>
        <v>4</v>
      </c>
      <c r="B48">
        <f>'הזנת נתונים'!A4</f>
        <v>55</v>
      </c>
    </row>
    <row r="49" spans="1:22" x14ac:dyDescent="0.25">
      <c r="A49">
        <f>'הזנת נתונים'!B5</f>
        <v>5</v>
      </c>
      <c r="B49">
        <f>'הזנת נתונים'!A5</f>
        <v>70</v>
      </c>
    </row>
    <row r="50" spans="1:22" x14ac:dyDescent="0.25">
      <c r="A50">
        <f>'הזנת נתונים'!B6</f>
        <v>6</v>
      </c>
      <c r="B50">
        <f>'הזנת נתונים'!A6</f>
        <v>75</v>
      </c>
      <c r="I50" t="str">
        <f>A10</f>
        <v>חודש/ שנה</v>
      </c>
      <c r="J50" t="str">
        <f t="shared" ref="J50:U50" si="27">B10</f>
        <v>ינואר</v>
      </c>
      <c r="K50" t="str">
        <f t="shared" si="27"/>
        <v>פברואר</v>
      </c>
      <c r="L50" t="str">
        <f t="shared" si="27"/>
        <v>מרץ</v>
      </c>
      <c r="M50" t="str">
        <f t="shared" si="27"/>
        <v>אפריל</v>
      </c>
      <c r="N50" t="str">
        <f t="shared" si="27"/>
        <v>מאי</v>
      </c>
      <c r="O50" t="str">
        <f t="shared" si="27"/>
        <v>יוני</v>
      </c>
      <c r="P50" t="str">
        <f t="shared" si="27"/>
        <v>יולי</v>
      </c>
      <c r="Q50" t="str">
        <f t="shared" si="27"/>
        <v>אוגוסט</v>
      </c>
      <c r="R50" t="str">
        <f t="shared" si="27"/>
        <v>ספטמבר</v>
      </c>
      <c r="S50" t="str">
        <f t="shared" si="27"/>
        <v>אוקטובר</v>
      </c>
      <c r="T50" t="str">
        <f t="shared" si="27"/>
        <v>נובמבר</v>
      </c>
      <c r="U50" t="str">
        <f t="shared" si="27"/>
        <v>דצמבר</v>
      </c>
    </row>
    <row r="51" spans="1:22" x14ac:dyDescent="0.25">
      <c r="A51">
        <f>'הזנת נתונים'!B7</f>
        <v>7</v>
      </c>
      <c r="B51">
        <f>'הזנת נתונים'!A7</f>
        <v>87.6666666666667</v>
      </c>
      <c r="I51">
        <f t="shared" ref="I51:I52" si="28">A11</f>
        <v>1</v>
      </c>
      <c r="J51">
        <f>J46/$V46</f>
        <v>0.33802816901408406</v>
      </c>
      <c r="K51">
        <f t="shared" ref="K51:U52" si="29">K46/$V46</f>
        <v>0.42253521126760507</v>
      </c>
      <c r="L51">
        <f t="shared" si="29"/>
        <v>0.4828973843058344</v>
      </c>
      <c r="M51">
        <f t="shared" si="29"/>
        <v>0.66398390342052227</v>
      </c>
      <c r="N51">
        <f t="shared" si="29"/>
        <v>0.84507042253521014</v>
      </c>
      <c r="O51">
        <f t="shared" si="29"/>
        <v>0.90543259557343947</v>
      </c>
      <c r="P51">
        <f t="shared" si="29"/>
        <v>1.0583501006036207</v>
      </c>
      <c r="Q51">
        <f t="shared" si="29"/>
        <v>1.1911468812877253</v>
      </c>
      <c r="R51">
        <f t="shared" si="29"/>
        <v>1.3239436619718332</v>
      </c>
      <c r="S51">
        <f t="shared" si="29"/>
        <v>1.4567404426559376</v>
      </c>
      <c r="T51">
        <f t="shared" si="29"/>
        <v>1.5895372233400422</v>
      </c>
      <c r="U51">
        <f t="shared" si="29"/>
        <v>1.7223340040241466</v>
      </c>
    </row>
    <row r="52" spans="1:22" x14ac:dyDescent="0.25">
      <c r="A52">
        <f>'הזנת נתונים'!B8</f>
        <v>8</v>
      </c>
      <c r="B52">
        <f>'הזנת נתונים'!A8</f>
        <v>98.6666666666667</v>
      </c>
      <c r="I52">
        <f t="shared" si="28"/>
        <v>2</v>
      </c>
      <c r="J52">
        <f>J47/$V47</f>
        <v>0.71750972762645959</v>
      </c>
      <c r="K52">
        <f t="shared" si="29"/>
        <v>0.76887159533073968</v>
      </c>
      <c r="L52">
        <f t="shared" si="29"/>
        <v>0.82023346303501976</v>
      </c>
      <c r="M52">
        <f t="shared" si="29"/>
        <v>0.87159533073929985</v>
      </c>
      <c r="N52">
        <f t="shared" si="29"/>
        <v>0.92295719844357993</v>
      </c>
      <c r="O52">
        <f t="shared" si="29"/>
        <v>0.97431906614786001</v>
      </c>
      <c r="P52">
        <f t="shared" si="29"/>
        <v>1.02568093385214</v>
      </c>
      <c r="Q52">
        <f t="shared" si="29"/>
        <v>1.0770428015564202</v>
      </c>
      <c r="R52">
        <f t="shared" si="29"/>
        <v>1.1284046692607002</v>
      </c>
      <c r="S52">
        <f t="shared" si="29"/>
        <v>1.1797665369649804</v>
      </c>
      <c r="T52">
        <f t="shared" si="29"/>
        <v>1.2311284046692605</v>
      </c>
      <c r="U52">
        <f t="shared" si="29"/>
        <v>1.2824902723735405</v>
      </c>
    </row>
    <row r="53" spans="1:22" x14ac:dyDescent="0.25">
      <c r="A53">
        <f>'הזנת נתונים'!B9</f>
        <v>9</v>
      </c>
      <c r="B53">
        <f>'הזנת נתונים'!A9</f>
        <v>109.666666666667</v>
      </c>
      <c r="I53" s="10" t="str">
        <f>A16</f>
        <v>מקדמי העונתיות</v>
      </c>
      <c r="J53" s="10">
        <f>AVERAGE(J51:J52)</f>
        <v>0.52776894832027188</v>
      </c>
      <c r="K53" s="10">
        <f t="shared" ref="K53:U53" si="30">AVERAGE(K51:K52)</f>
        <v>0.59570340329917237</v>
      </c>
      <c r="L53" s="10">
        <f t="shared" si="30"/>
        <v>0.65156542367042714</v>
      </c>
      <c r="M53" s="10">
        <f t="shared" si="30"/>
        <v>0.767789617079911</v>
      </c>
      <c r="N53" s="10">
        <f t="shared" si="30"/>
        <v>0.88401381048939509</v>
      </c>
      <c r="O53" s="10">
        <f t="shared" si="30"/>
        <v>0.93987583086064974</v>
      </c>
      <c r="P53" s="10">
        <f t="shared" si="30"/>
        <v>1.0420155172278802</v>
      </c>
      <c r="Q53" s="10">
        <f t="shared" si="30"/>
        <v>1.1340948414220726</v>
      </c>
      <c r="R53" s="10">
        <f t="shared" si="30"/>
        <v>1.2261741656162668</v>
      </c>
      <c r="S53" s="10">
        <f t="shared" si="30"/>
        <v>1.318253489810459</v>
      </c>
      <c r="T53" s="10">
        <f t="shared" si="30"/>
        <v>1.4103328140046514</v>
      </c>
      <c r="U53" s="10">
        <f t="shared" si="30"/>
        <v>1.5024121381988436</v>
      </c>
    </row>
    <row r="54" spans="1:22" x14ac:dyDescent="0.25">
      <c r="A54">
        <f>'הזנת נתונים'!B10</f>
        <v>10</v>
      </c>
      <c r="B54">
        <f>'הזנת נתונים'!A10</f>
        <v>120.666666666667</v>
      </c>
    </row>
    <row r="55" spans="1:22" x14ac:dyDescent="0.25">
      <c r="A55">
        <f>'הזנת נתונים'!B11</f>
        <v>11</v>
      </c>
      <c r="B55">
        <f>'הזנת נתונים'!A11</f>
        <v>131.666666666667</v>
      </c>
    </row>
    <row r="56" spans="1:22" x14ac:dyDescent="0.25">
      <c r="A56">
        <f>'הזנת נתונים'!B12</f>
        <v>12</v>
      </c>
      <c r="B56">
        <f>'הזנת נתונים'!A12</f>
        <v>142.666666666667</v>
      </c>
      <c r="I56" t="s">
        <v>65</v>
      </c>
      <c r="J56" t="s">
        <v>63</v>
      </c>
      <c r="K56" t="s">
        <v>64</v>
      </c>
      <c r="L56" t="s">
        <v>66</v>
      </c>
      <c r="M56" t="s">
        <v>67</v>
      </c>
      <c r="N56" t="s">
        <v>68</v>
      </c>
      <c r="O56" t="s">
        <v>69</v>
      </c>
      <c r="P56" t="s">
        <v>70</v>
      </c>
      <c r="Q56" t="s">
        <v>71</v>
      </c>
      <c r="R56" t="s">
        <v>72</v>
      </c>
      <c r="S56" t="s">
        <v>73</v>
      </c>
      <c r="T56" t="s">
        <v>74</v>
      </c>
      <c r="U56" t="s">
        <v>75</v>
      </c>
    </row>
    <row r="57" spans="1:22" x14ac:dyDescent="0.25">
      <c r="A57">
        <f>'הזנת נתונים'!B13</f>
        <v>13</v>
      </c>
      <c r="B57">
        <f>'הזנת נתונים'!A13</f>
        <v>153.666666666667</v>
      </c>
      <c r="I57">
        <v>1</v>
      </c>
      <c r="J57">
        <f>J46/J$53</f>
        <v>53.053519137712605</v>
      </c>
      <c r="K57">
        <f t="shared" ref="K57:U57" si="31">K46/K$53</f>
        <v>58.754070912068308</v>
      </c>
      <c r="L57">
        <f t="shared" si="31"/>
        <v>61.390611820176446</v>
      </c>
      <c r="M57">
        <f t="shared" si="31"/>
        <v>71.634206528056808</v>
      </c>
      <c r="N57">
        <f t="shared" si="31"/>
        <v>79.184283287664471</v>
      </c>
      <c r="O57">
        <f t="shared" si="31"/>
        <v>79.79777491599296</v>
      </c>
      <c r="P57">
        <f t="shared" si="31"/>
        <v>84.131824543160548</v>
      </c>
      <c r="Q57">
        <f t="shared" si="31"/>
        <v>87.000366338802721</v>
      </c>
      <c r="R57">
        <f t="shared" si="31"/>
        <v>89.438082893835301</v>
      </c>
      <c r="S57">
        <f t="shared" si="31"/>
        <v>91.535252968696241</v>
      </c>
      <c r="T57">
        <f t="shared" si="31"/>
        <v>93.358578456951903</v>
      </c>
      <c r="U57">
        <f t="shared" si="31"/>
        <v>94.958409240291388</v>
      </c>
      <c r="V57">
        <f>AVERAGE(J57:U57)</f>
        <v>78.686415086950802</v>
      </c>
    </row>
    <row r="58" spans="1:22" x14ac:dyDescent="0.25">
      <c r="A58">
        <f>'הזנת נתונים'!B14</f>
        <v>14</v>
      </c>
      <c r="B58">
        <f>'הזנת נתונים'!A14</f>
        <v>164.666666666667</v>
      </c>
      <c r="I58">
        <v>2</v>
      </c>
      <c r="J58">
        <f>J47/J$53</f>
        <v>291.16276574387575</v>
      </c>
      <c r="K58">
        <f t="shared" ref="K58:U58" si="32">K47/K$53</f>
        <v>276.42391457677905</v>
      </c>
      <c r="L58">
        <f t="shared" si="32"/>
        <v>269.60710357694211</v>
      </c>
      <c r="M58">
        <f t="shared" si="32"/>
        <v>243.12215548916294</v>
      </c>
      <c r="N58">
        <f t="shared" si="32"/>
        <v>223.60133328373863</v>
      </c>
      <c r="O58">
        <f t="shared" si="32"/>
        <v>222.015142655163</v>
      </c>
      <c r="P58">
        <f t="shared" si="32"/>
        <v>210.8094006613797</v>
      </c>
      <c r="Q58">
        <f t="shared" si="32"/>
        <v>203.3927483326066</v>
      </c>
      <c r="R58">
        <f t="shared" si="32"/>
        <v>197.09000029796499</v>
      </c>
      <c r="S58">
        <f t="shared" si="32"/>
        <v>191.6677396416344</v>
      </c>
      <c r="T58">
        <f t="shared" si="32"/>
        <v>186.95350774544016</v>
      </c>
      <c r="U58">
        <f t="shared" si="32"/>
        <v>182.81712433177574</v>
      </c>
      <c r="V58">
        <f>AVERAGE(J58:U58)</f>
        <v>224.88857802803855</v>
      </c>
    </row>
    <row r="59" spans="1:22" x14ac:dyDescent="0.25">
      <c r="A59">
        <f>'הזנת נתונים'!B15</f>
        <v>15</v>
      </c>
      <c r="B59">
        <f>'הזנת נתונים'!A15</f>
        <v>175.666666666667</v>
      </c>
    </row>
    <row r="60" spans="1:22" x14ac:dyDescent="0.25">
      <c r="A60">
        <f>'הזנת נתונים'!B16</f>
        <v>16</v>
      </c>
      <c r="B60">
        <f>'הזנת נתונים'!A16</f>
        <v>186.666666666667</v>
      </c>
    </row>
    <row r="61" spans="1:22" x14ac:dyDescent="0.25">
      <c r="A61">
        <f>'הזנת נתונים'!B17</f>
        <v>17</v>
      </c>
      <c r="B61">
        <f>'הזנת נתונים'!A17</f>
        <v>197.666666666667</v>
      </c>
      <c r="I61" s="7" t="s">
        <v>1</v>
      </c>
      <c r="J61" s="7">
        <v>1</v>
      </c>
      <c r="K61" s="7">
        <v>2</v>
      </c>
    </row>
    <row r="62" spans="1:22" x14ac:dyDescent="0.25">
      <c r="A62">
        <f>'הזנת נתונים'!B18</f>
        <v>18</v>
      </c>
      <c r="B62">
        <f>'הזנת נתונים'!A18</f>
        <v>208.666666666667</v>
      </c>
      <c r="I62" s="7" t="s">
        <v>0</v>
      </c>
      <c r="J62" s="7">
        <f>V57</f>
        <v>78.686415086950802</v>
      </c>
      <c r="K62" s="7">
        <f>V58</f>
        <v>224.88857802803855</v>
      </c>
    </row>
    <row r="63" spans="1:22" x14ac:dyDescent="0.25">
      <c r="A63">
        <f>'הזנת נתונים'!B19</f>
        <v>19</v>
      </c>
      <c r="B63">
        <f>'הזנת נתונים'!A19</f>
        <v>219.666666666667</v>
      </c>
    </row>
    <row r="64" spans="1:22" x14ac:dyDescent="0.25">
      <c r="A64">
        <f>'הזנת נתונים'!B20</f>
        <v>20</v>
      </c>
      <c r="B64">
        <f>'הזנת נתונים'!A20</f>
        <v>230.666666666667</v>
      </c>
      <c r="I64" s="79" t="s">
        <v>97</v>
      </c>
      <c r="J64" s="45" t="s">
        <v>13</v>
      </c>
      <c r="K64" s="45">
        <f>COUNT(J62:K62)</f>
        <v>2</v>
      </c>
    </row>
    <row r="65" spans="1:11" x14ac:dyDescent="0.25">
      <c r="A65">
        <f>'הזנת נתונים'!B21</f>
        <v>21</v>
      </c>
      <c r="B65">
        <f>'הזנת נתונים'!A21</f>
        <v>241.666666666667</v>
      </c>
      <c r="I65" s="79"/>
      <c r="J65" s="45" t="s">
        <v>0</v>
      </c>
      <c r="K65" s="45">
        <f>SUM(J62:K62)</f>
        <v>303.57499311498935</v>
      </c>
    </row>
    <row r="66" spans="1:11" x14ac:dyDescent="0.25">
      <c r="A66">
        <f>'הזנת נתונים'!B22</f>
        <v>22</v>
      </c>
      <c r="B66">
        <f>'הזנת נתונים'!A22</f>
        <v>252.666666666667</v>
      </c>
    </row>
    <row r="67" spans="1:11" x14ac:dyDescent="0.25">
      <c r="A67">
        <f>'הזנת נתונים'!B23</f>
        <v>23</v>
      </c>
      <c r="B67">
        <f>'הזנת נתונים'!A23</f>
        <v>263.66666666666703</v>
      </c>
      <c r="I67" s="10" t="s">
        <v>7</v>
      </c>
      <c r="J67" s="10">
        <f>K65/K64</f>
        <v>151.78749655749468</v>
      </c>
    </row>
    <row r="68" spans="1:11" x14ac:dyDescent="0.25">
      <c r="A68">
        <f>'הזנת נתונים'!B24</f>
        <v>24</v>
      </c>
      <c r="B68">
        <f>'הזנת נתונים'!A24</f>
        <v>274.66666666666703</v>
      </c>
    </row>
    <row r="69" spans="1:11" x14ac:dyDescent="0.25">
      <c r="A69" s="37">
        <f>'הזנת נתונים'!B25</f>
        <v>25</v>
      </c>
      <c r="B69" s="37">
        <f>'הזנת נתונים'!A25</f>
        <v>285.66666666666799</v>
      </c>
      <c r="C69" s="37">
        <f>J67*J53</f>
        <v>80.108727426315852</v>
      </c>
      <c r="D69">
        <f>C69-B69</f>
        <v>-205.55793924035214</v>
      </c>
      <c r="E69">
        <f>D69^2</f>
        <v>42254.066384740305</v>
      </c>
    </row>
    <row r="70" spans="1:11" x14ac:dyDescent="0.25">
      <c r="A70">
        <f>'הזנת נתונים'!B26</f>
        <v>26</v>
      </c>
      <c r="B70">
        <f>'הזנת נתונים'!A26</f>
        <v>296.66666666666799</v>
      </c>
      <c r="C70">
        <f>J67*K53</f>
        <v>90.420328277560984</v>
      </c>
      <c r="D70">
        <f t="shared" ref="D70:D104" si="33">C70-B70</f>
        <v>-206.246338389107</v>
      </c>
      <c r="E70">
        <f t="shared" ref="E70:E104" si="34">D70^2</f>
        <v>42537.552098914028</v>
      </c>
    </row>
    <row r="71" spans="1:11" x14ac:dyDescent="0.25">
      <c r="A71">
        <f>'הזנת נתונים'!B27</f>
        <v>27</v>
      </c>
      <c r="B71">
        <f>'הזנת נתונים'!A27</f>
        <v>307.66666666666799</v>
      </c>
      <c r="C71">
        <f>J67*L53</f>
        <v>98.899484502357524</v>
      </c>
      <c r="D71">
        <f t="shared" si="33"/>
        <v>-208.76718216431047</v>
      </c>
      <c r="E71">
        <f t="shared" si="34"/>
        <v>43583.736348826395</v>
      </c>
    </row>
    <row r="72" spans="1:11" x14ac:dyDescent="0.25">
      <c r="A72">
        <f>'הזנת נתונים'!B28</f>
        <v>28</v>
      </c>
      <c r="B72">
        <f>'הזנת נתונים'!A28</f>
        <v>318.66666666666799</v>
      </c>
      <c r="C72">
        <f>J67*M53</f>
        <v>116.54086385939715</v>
      </c>
      <c r="D72">
        <f t="shared" si="33"/>
        <v>-202.12580280727084</v>
      </c>
      <c r="E72">
        <f t="shared" si="34"/>
        <v>40854.840160483742</v>
      </c>
    </row>
    <row r="73" spans="1:11" x14ac:dyDescent="0.25">
      <c r="A73">
        <f>'הזנת נתונים'!B29</f>
        <v>29</v>
      </c>
      <c r="B73">
        <f>'הזנת נתונים'!A29</f>
        <v>329.66666666666799</v>
      </c>
      <c r="C73">
        <f>J67*N53</f>
        <v>134.1822432164368</v>
      </c>
      <c r="D73">
        <f t="shared" si="33"/>
        <v>-195.48442345023119</v>
      </c>
      <c r="E73">
        <f t="shared" si="34"/>
        <v>38214.159811669299</v>
      </c>
    </row>
    <row r="74" spans="1:11" x14ac:dyDescent="0.25">
      <c r="A74">
        <f>'הזנת נתונים'!B30</f>
        <v>30</v>
      </c>
      <c r="B74">
        <f>'הזנת נתונים'!A30</f>
        <v>340.66666666666799</v>
      </c>
      <c r="C74">
        <f>J67*O53</f>
        <v>142.66139944123333</v>
      </c>
      <c r="D74">
        <f t="shared" si="33"/>
        <v>-198.00526722543466</v>
      </c>
      <c r="E74">
        <f t="shared" si="34"/>
        <v>39206.085849015792</v>
      </c>
    </row>
    <row r="75" spans="1:11" x14ac:dyDescent="0.25">
      <c r="A75">
        <f>'הזנת נתונים'!B31</f>
        <v>31</v>
      </c>
      <c r="B75">
        <f>'הזנת נתונים'!A31</f>
        <v>351.66666666666799</v>
      </c>
      <c r="C75">
        <f>J67*P53</f>
        <v>158.16492673408291</v>
      </c>
      <c r="D75">
        <f t="shared" si="33"/>
        <v>-193.50173993258508</v>
      </c>
      <c r="E75">
        <f t="shared" si="34"/>
        <v>37442.92335693779</v>
      </c>
    </row>
    <row r="76" spans="1:11" x14ac:dyDescent="0.25">
      <c r="A76">
        <f>'הזנת נתונים'!B32</f>
        <v>32</v>
      </c>
      <c r="B76">
        <f>'הזנת נתונים'!A32</f>
        <v>362.66666666666799</v>
      </c>
      <c r="C76">
        <f>J67*Q53</f>
        <v>172.14141683822533</v>
      </c>
      <c r="D76">
        <f t="shared" si="33"/>
        <v>-190.52524982844267</v>
      </c>
      <c r="E76">
        <f t="shared" si="34"/>
        <v>36299.870822190496</v>
      </c>
    </row>
    <row r="77" spans="1:11" x14ac:dyDescent="0.25">
      <c r="A77">
        <f>'הזנת נתונים'!B33</f>
        <v>33</v>
      </c>
      <c r="B77">
        <f>'הזנת נתונים'!A33</f>
        <v>373.66666666666799</v>
      </c>
      <c r="C77">
        <f>J67*R53</f>
        <v>186.11790694236799</v>
      </c>
      <c r="D77">
        <f t="shared" si="33"/>
        <v>-187.5487597243</v>
      </c>
      <c r="E77">
        <f t="shared" si="34"/>
        <v>35174.537274123213</v>
      </c>
    </row>
    <row r="78" spans="1:11" x14ac:dyDescent="0.25">
      <c r="A78">
        <f>'הזנת נתונים'!B34</f>
        <v>34</v>
      </c>
      <c r="B78">
        <f>'הזנת נתונים'!A34</f>
        <v>384.66666666666799</v>
      </c>
      <c r="C78">
        <f>J67*S53</f>
        <v>200.09439704651038</v>
      </c>
      <c r="D78">
        <f t="shared" si="33"/>
        <v>-184.57226962015761</v>
      </c>
      <c r="E78">
        <f t="shared" si="34"/>
        <v>34066.922712736159</v>
      </c>
    </row>
    <row r="79" spans="1:11" x14ac:dyDescent="0.25">
      <c r="A79">
        <f>'הזנת נתונים'!B35</f>
        <v>35</v>
      </c>
      <c r="B79">
        <f>'הזנת נתונים'!A35</f>
        <v>395.66666666666799</v>
      </c>
      <c r="C79">
        <f>J67*T53</f>
        <v>214.07088715065279</v>
      </c>
      <c r="D79">
        <f t="shared" si="33"/>
        <v>-181.5957795160152</v>
      </c>
      <c r="E79">
        <f t="shared" si="34"/>
        <v>32977.027138029203</v>
      </c>
    </row>
    <row r="80" spans="1:11" x14ac:dyDescent="0.25">
      <c r="A80">
        <f>'הזנת נתונים'!B36</f>
        <v>36</v>
      </c>
      <c r="B80">
        <f>'הזנת נתונים'!A36</f>
        <v>406.66666666666799</v>
      </c>
      <c r="C80">
        <f>J67*U53</f>
        <v>228.04737725479518</v>
      </c>
      <c r="D80">
        <f t="shared" si="33"/>
        <v>-178.61928941187281</v>
      </c>
      <c r="E80">
        <f t="shared" si="34"/>
        <v>31904.850550002378</v>
      </c>
    </row>
    <row r="81" spans="1:5" x14ac:dyDescent="0.25">
      <c r="A81">
        <f>'הזנת נתונים'!B37</f>
        <v>37</v>
      </c>
      <c r="B81">
        <f>'הזנת נתונים'!A37</f>
        <v>417.66666666666799</v>
      </c>
      <c r="C81">
        <f>C69</f>
        <v>80.108727426315852</v>
      </c>
      <c r="D81">
        <f t="shared" si="33"/>
        <v>-337.55793924035214</v>
      </c>
      <c r="E81">
        <f t="shared" si="34"/>
        <v>113945.36234419327</v>
      </c>
    </row>
    <row r="82" spans="1:5" x14ac:dyDescent="0.25">
      <c r="A82">
        <f>'הזנת נתונים'!B38</f>
        <v>38</v>
      </c>
      <c r="B82">
        <f>'הזנת נתונים'!A38</f>
        <v>428.66666666666902</v>
      </c>
      <c r="C82">
        <f t="shared" ref="C82:C104" si="35">C70</f>
        <v>90.420328277560984</v>
      </c>
      <c r="D82">
        <f t="shared" si="33"/>
        <v>-338.24633838910802</v>
      </c>
      <c r="E82">
        <f t="shared" si="34"/>
        <v>114410.58543363897</v>
      </c>
    </row>
    <row r="83" spans="1:5" x14ac:dyDescent="0.25">
      <c r="A83">
        <f>'הזנת נתונים'!B39</f>
        <v>39</v>
      </c>
      <c r="B83">
        <f>'הזנת נתונים'!A39</f>
        <v>439.66666666666902</v>
      </c>
      <c r="C83">
        <f t="shared" si="35"/>
        <v>98.899484502357524</v>
      </c>
      <c r="D83">
        <f t="shared" si="33"/>
        <v>-340.76718216431152</v>
      </c>
      <c r="E83">
        <f t="shared" si="34"/>
        <v>116122.27244020507</v>
      </c>
    </row>
    <row r="84" spans="1:5" x14ac:dyDescent="0.25">
      <c r="A84">
        <f>'הזנת נתונים'!B40</f>
        <v>40</v>
      </c>
      <c r="B84">
        <f>'הזנת נתונים'!A40</f>
        <v>450.66666666666902</v>
      </c>
      <c r="C84">
        <f t="shared" si="35"/>
        <v>116.54086385939715</v>
      </c>
      <c r="D84">
        <f t="shared" si="33"/>
        <v>-334.12580280727184</v>
      </c>
      <c r="E84">
        <f t="shared" si="34"/>
        <v>111640.05210160391</v>
      </c>
    </row>
    <row r="85" spans="1:5" x14ac:dyDescent="0.25">
      <c r="A85">
        <f>'הזנת נתונים'!B41</f>
        <v>41</v>
      </c>
      <c r="B85">
        <f>'הזנת נתונים'!A41</f>
        <v>461.66666666666902</v>
      </c>
      <c r="C85">
        <f t="shared" si="35"/>
        <v>134.1822432164368</v>
      </c>
      <c r="D85">
        <f t="shared" si="33"/>
        <v>-327.48442345023221</v>
      </c>
      <c r="E85">
        <f t="shared" si="34"/>
        <v>107246.04760253101</v>
      </c>
    </row>
    <row r="86" spans="1:5" x14ac:dyDescent="0.25">
      <c r="A86">
        <f>'הזנת נתונים'!B42</f>
        <v>42</v>
      </c>
      <c r="B86">
        <f>'הזנת נתונים'!A42</f>
        <v>472.66666666666902</v>
      </c>
      <c r="C86">
        <f t="shared" si="35"/>
        <v>142.66139944123333</v>
      </c>
      <c r="D86">
        <f t="shared" si="33"/>
        <v>-330.00526722543566</v>
      </c>
      <c r="E86">
        <f t="shared" si="34"/>
        <v>108903.4763965312</v>
      </c>
    </row>
    <row r="87" spans="1:5" x14ac:dyDescent="0.25">
      <c r="A87">
        <f>'הזנת נתונים'!B43</f>
        <v>43</v>
      </c>
      <c r="B87">
        <f>'הזנת נתונים'!A43</f>
        <v>483.66666666666902</v>
      </c>
      <c r="C87">
        <f t="shared" si="35"/>
        <v>158.16492673408291</v>
      </c>
      <c r="D87">
        <f t="shared" si="33"/>
        <v>-325.50173993258613</v>
      </c>
      <c r="E87">
        <f t="shared" si="34"/>
        <v>105951.38269914094</v>
      </c>
    </row>
    <row r="88" spans="1:5" x14ac:dyDescent="0.25">
      <c r="A88">
        <f>'הזנת נתונים'!B44</f>
        <v>44</v>
      </c>
      <c r="B88">
        <f>'הזנת נתונים'!A44</f>
        <v>494.66666666666902</v>
      </c>
      <c r="C88">
        <f t="shared" si="35"/>
        <v>172.14141683822533</v>
      </c>
      <c r="D88">
        <f t="shared" si="33"/>
        <v>-322.52524982844369</v>
      </c>
      <c r="E88">
        <f t="shared" si="34"/>
        <v>104022.53677690001</v>
      </c>
    </row>
    <row r="89" spans="1:5" x14ac:dyDescent="0.25">
      <c r="A89">
        <f>'הזנת נתונים'!B45</f>
        <v>45</v>
      </c>
      <c r="B89">
        <f>'הזנת נתונים'!A45</f>
        <v>505.66666666666799</v>
      </c>
      <c r="C89">
        <f t="shared" si="35"/>
        <v>186.11790694236799</v>
      </c>
      <c r="D89">
        <f t="shared" si="33"/>
        <v>-319.5487597243</v>
      </c>
      <c r="E89">
        <f t="shared" si="34"/>
        <v>102111.40984133841</v>
      </c>
    </row>
    <row r="90" spans="1:5" x14ac:dyDescent="0.25">
      <c r="A90">
        <f>'הזנת נתונים'!B46</f>
        <v>46</v>
      </c>
      <c r="B90">
        <f>'הזנת נתונים'!A46</f>
        <v>516.66666666666902</v>
      </c>
      <c r="C90">
        <f t="shared" si="35"/>
        <v>200.09439704651038</v>
      </c>
      <c r="D90">
        <f t="shared" si="33"/>
        <v>-316.57226962015864</v>
      </c>
      <c r="E90">
        <f t="shared" si="34"/>
        <v>100218.00189245841</v>
      </c>
    </row>
    <row r="91" spans="1:5" x14ac:dyDescent="0.25">
      <c r="A91">
        <f>'הזנת נתונים'!B47</f>
        <v>47</v>
      </c>
      <c r="B91">
        <f>'הזנת נתונים'!A47</f>
        <v>527.66666666666902</v>
      </c>
      <c r="C91">
        <f t="shared" si="35"/>
        <v>214.07088715065279</v>
      </c>
      <c r="D91">
        <f t="shared" si="33"/>
        <v>-313.59577951601625</v>
      </c>
      <c r="E91">
        <f t="shared" si="34"/>
        <v>98342.312930257875</v>
      </c>
    </row>
    <row r="92" spans="1:5" x14ac:dyDescent="0.25">
      <c r="A92">
        <f>'הזנת נתונים'!B48</f>
        <v>48</v>
      </c>
      <c r="B92">
        <f>'הזנת נתונים'!A48</f>
        <v>538.66666666666902</v>
      </c>
      <c r="C92">
        <f t="shared" si="35"/>
        <v>228.04737725479518</v>
      </c>
      <c r="D92">
        <f t="shared" si="33"/>
        <v>-310.61928941187386</v>
      </c>
      <c r="E92">
        <f t="shared" si="34"/>
        <v>96484.342954737454</v>
      </c>
    </row>
    <row r="93" spans="1:5" x14ac:dyDescent="0.25">
      <c r="A93">
        <f>'הזנת נתונים'!B49</f>
        <v>49</v>
      </c>
      <c r="B93">
        <f>'הזנת נתונים'!A49</f>
        <v>549.66666666666902</v>
      </c>
      <c r="C93">
        <f t="shared" si="35"/>
        <v>80.108727426315852</v>
      </c>
      <c r="D93">
        <f t="shared" si="33"/>
        <v>-469.55793924035316</v>
      </c>
      <c r="E93">
        <f t="shared" si="34"/>
        <v>220484.65830364719</v>
      </c>
    </row>
    <row r="94" spans="1:5" x14ac:dyDescent="0.25">
      <c r="A94">
        <f>'הזנת נתונים'!B50</f>
        <v>50</v>
      </c>
      <c r="B94">
        <f>'הזנת נתונים'!A50</f>
        <v>560.66666666666902</v>
      </c>
      <c r="C94">
        <f t="shared" si="35"/>
        <v>90.420328277560984</v>
      </c>
      <c r="D94">
        <f t="shared" si="33"/>
        <v>-470.24633838910802</v>
      </c>
      <c r="E94">
        <f t="shared" si="34"/>
        <v>221131.61876836349</v>
      </c>
    </row>
    <row r="95" spans="1:5" x14ac:dyDescent="0.25">
      <c r="A95">
        <f>'הזנת נתונים'!B51</f>
        <v>51</v>
      </c>
      <c r="B95">
        <f>'הזנת נתונים'!A51</f>
        <v>571.66666666666902</v>
      </c>
      <c r="C95">
        <f t="shared" si="35"/>
        <v>98.899484502357524</v>
      </c>
      <c r="D95">
        <f t="shared" si="33"/>
        <v>-472.76718216431152</v>
      </c>
      <c r="E95">
        <f t="shared" si="34"/>
        <v>223508.80853158332</v>
      </c>
    </row>
    <row r="96" spans="1:5" x14ac:dyDescent="0.25">
      <c r="A96">
        <f>'הזנת נתונים'!B52</f>
        <v>52</v>
      </c>
      <c r="B96">
        <f>'הזנת נתונים'!A52</f>
        <v>582.66666666666902</v>
      </c>
      <c r="C96">
        <f t="shared" si="35"/>
        <v>116.54086385939715</v>
      </c>
      <c r="D96">
        <f t="shared" si="33"/>
        <v>-466.12580280727184</v>
      </c>
      <c r="E96">
        <f t="shared" si="34"/>
        <v>217273.26404272366</v>
      </c>
    </row>
    <row r="97" spans="1:5" x14ac:dyDescent="0.25">
      <c r="A97">
        <f>'הזנת נתונים'!B53</f>
        <v>53</v>
      </c>
      <c r="B97">
        <f>'הזנת נתונים'!A53</f>
        <v>593.66666666666902</v>
      </c>
      <c r="C97">
        <f t="shared" si="35"/>
        <v>134.1822432164368</v>
      </c>
      <c r="D97">
        <f t="shared" si="33"/>
        <v>-459.48442345023221</v>
      </c>
      <c r="E97">
        <f t="shared" si="34"/>
        <v>211125.93539339231</v>
      </c>
    </row>
    <row r="98" spans="1:5" x14ac:dyDescent="0.25">
      <c r="A98">
        <f>'הזנת נתונים'!B54</f>
        <v>54</v>
      </c>
      <c r="B98">
        <f>'הזנת נתונים'!A54</f>
        <v>604.66666666666902</v>
      </c>
      <c r="C98">
        <f t="shared" si="35"/>
        <v>142.66139944123333</v>
      </c>
      <c r="D98">
        <f t="shared" si="33"/>
        <v>-462.00526722543566</v>
      </c>
      <c r="E98">
        <f t="shared" si="34"/>
        <v>213448.86694404623</v>
      </c>
    </row>
    <row r="99" spans="1:5" x14ac:dyDescent="0.25">
      <c r="A99">
        <f>'הזנת נתונים'!B55</f>
        <v>55</v>
      </c>
      <c r="B99">
        <f>'הזנת נתונים'!A55</f>
        <v>615.66666666666902</v>
      </c>
      <c r="C99">
        <f t="shared" si="35"/>
        <v>158.16492673408291</v>
      </c>
      <c r="D99">
        <f t="shared" si="33"/>
        <v>-457.50173993258613</v>
      </c>
      <c r="E99">
        <f t="shared" si="34"/>
        <v>209307.84204134368</v>
      </c>
    </row>
    <row r="100" spans="1:5" x14ac:dyDescent="0.25">
      <c r="A100">
        <f>'הזנת נתונים'!B56</f>
        <v>56</v>
      </c>
      <c r="B100">
        <f>'הזנת נתונים'!A56</f>
        <v>626.66666666666902</v>
      </c>
      <c r="C100">
        <f t="shared" si="35"/>
        <v>172.14141683822533</v>
      </c>
      <c r="D100">
        <f t="shared" si="33"/>
        <v>-454.52524982844369</v>
      </c>
      <c r="E100">
        <f t="shared" si="34"/>
        <v>206593.20273160914</v>
      </c>
    </row>
    <row r="101" spans="1:5" x14ac:dyDescent="0.25">
      <c r="A101">
        <f>'הזנת נתונים'!B57</f>
        <v>57</v>
      </c>
      <c r="B101">
        <f>'הזנת נתונים'!A57</f>
        <v>637.66666666666902</v>
      </c>
      <c r="C101">
        <f t="shared" si="35"/>
        <v>186.11790694236799</v>
      </c>
      <c r="D101">
        <f t="shared" si="33"/>
        <v>-451.54875972430102</v>
      </c>
      <c r="E101">
        <f t="shared" si="34"/>
        <v>203896.28240855454</v>
      </c>
    </row>
    <row r="102" spans="1:5" x14ac:dyDescent="0.25">
      <c r="A102">
        <f>'הזנת נתונים'!B58</f>
        <v>58</v>
      </c>
      <c r="B102">
        <f>'הזנת נתונים'!A58</f>
        <v>648.66666666666902</v>
      </c>
      <c r="C102">
        <f t="shared" si="35"/>
        <v>200.09439704651038</v>
      </c>
      <c r="D102">
        <f t="shared" si="33"/>
        <v>-448.57226962015864</v>
      </c>
      <c r="E102">
        <f t="shared" si="34"/>
        <v>201217.0810721803</v>
      </c>
    </row>
    <row r="103" spans="1:5" x14ac:dyDescent="0.25">
      <c r="A103">
        <f>'הזנת נתונים'!B59</f>
        <v>59</v>
      </c>
      <c r="B103">
        <f>'הזנת נתונים'!A59</f>
        <v>659.66666666666902</v>
      </c>
      <c r="C103">
        <f t="shared" si="35"/>
        <v>214.07088715065279</v>
      </c>
      <c r="D103">
        <f t="shared" si="33"/>
        <v>-445.59577951601625</v>
      </c>
      <c r="E103">
        <f t="shared" si="34"/>
        <v>198555.59872248617</v>
      </c>
    </row>
    <row r="104" spans="1:5" x14ac:dyDescent="0.25">
      <c r="A104">
        <f>'הזנת נתונים'!B60</f>
        <v>60</v>
      </c>
      <c r="B104">
        <f>'הזנת נתונים'!A60</f>
        <v>670.66666666666902</v>
      </c>
      <c r="C104">
        <f t="shared" si="35"/>
        <v>228.04737725479518</v>
      </c>
      <c r="D104">
        <f t="shared" si="33"/>
        <v>-442.61928941187386</v>
      </c>
      <c r="E104">
        <f t="shared" si="34"/>
        <v>195911.83535947217</v>
      </c>
    </row>
  </sheetData>
  <mergeCells count="2">
    <mergeCell ref="A42:M42"/>
    <mergeCell ref="I64:I6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ACA0-CC47-4805-8354-74B058066AA3}">
  <sheetPr codeName="גיליון16">
    <tabColor theme="9" tint="0.59999389629810485"/>
  </sheetPr>
  <dimension ref="A1:Y174"/>
  <sheetViews>
    <sheetView rightToLeft="1" zoomScale="70" zoomScaleNormal="70" workbookViewId="0"/>
  </sheetViews>
  <sheetFormatPr defaultRowHeight="13.8" x14ac:dyDescent="0.25"/>
  <cols>
    <col min="6" max="6" width="14.09765625" bestFit="1" customWidth="1"/>
    <col min="14" max="14" width="10.59765625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 t="shared" si="7"/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8" spans="1:14" x14ac:dyDescent="0.25">
      <c r="A28" s="7" t="s">
        <v>1</v>
      </c>
      <c r="B28" s="7">
        <v>1</v>
      </c>
      <c r="C28" s="7">
        <v>2</v>
      </c>
      <c r="D28" s="7">
        <v>3</v>
      </c>
      <c r="E28" s="7">
        <v>4</v>
      </c>
      <c r="F28" s="7">
        <v>5</v>
      </c>
    </row>
    <row r="29" spans="1:14" x14ac:dyDescent="0.25">
      <c r="A29" s="7" t="s">
        <v>0</v>
      </c>
      <c r="B29" s="7">
        <f>N21</f>
        <v>78.686342610743836</v>
      </c>
      <c r="C29" s="7">
        <f>N22</f>
        <v>214.07578517921448</v>
      </c>
      <c r="D29" s="7">
        <f>N23</f>
        <v>350.33752067033424</v>
      </c>
      <c r="E29" s="7">
        <f>N24</f>
        <v>486.59925616145387</v>
      </c>
      <c r="F29" s="7">
        <f>N25</f>
        <v>622.86099165257269</v>
      </c>
    </row>
    <row r="31" spans="1:14" x14ac:dyDescent="0.25">
      <c r="A31" s="30" t="s">
        <v>79</v>
      </c>
      <c r="B31" s="30">
        <f>B29*B28</f>
        <v>78.686342610743836</v>
      </c>
      <c r="C31" s="30">
        <f t="shared" ref="C31:F31" si="10">C29*C28</f>
        <v>428.15157035842896</v>
      </c>
      <c r="D31" s="30">
        <f t="shared" si="10"/>
        <v>1051.0125620110027</v>
      </c>
      <c r="E31" s="30">
        <f t="shared" si="10"/>
        <v>1946.3970246458155</v>
      </c>
      <c r="F31" s="30">
        <f t="shared" si="10"/>
        <v>3114.3049582628637</v>
      </c>
    </row>
    <row r="32" spans="1:14" x14ac:dyDescent="0.25">
      <c r="A32" s="30" t="s">
        <v>14</v>
      </c>
      <c r="B32" s="30">
        <f>B28^2</f>
        <v>1</v>
      </c>
      <c r="C32" s="30">
        <f t="shared" ref="C32:F32" si="11">C28^2</f>
        <v>4</v>
      </c>
      <c r="D32" s="30">
        <f t="shared" si="11"/>
        <v>9</v>
      </c>
      <c r="E32" s="30">
        <f t="shared" si="11"/>
        <v>16</v>
      </c>
      <c r="F32" s="30">
        <f t="shared" si="11"/>
        <v>25</v>
      </c>
    </row>
    <row r="34" spans="1:13" x14ac:dyDescent="0.25">
      <c r="A34" t="s">
        <v>13</v>
      </c>
      <c r="B34">
        <f>COUNT(B29:F29)</f>
        <v>5</v>
      </c>
    </row>
    <row r="35" spans="1:13" x14ac:dyDescent="0.25">
      <c r="A35" t="s">
        <v>0</v>
      </c>
      <c r="B35">
        <f>SUM(B29:F29)</f>
        <v>1752.559896274319</v>
      </c>
    </row>
    <row r="36" spans="1:13" x14ac:dyDescent="0.25">
      <c r="A36" t="s">
        <v>1</v>
      </c>
      <c r="B36">
        <f>SUM(B28:F28)</f>
        <v>15</v>
      </c>
    </row>
    <row r="37" spans="1:13" x14ac:dyDescent="0.25">
      <c r="A37" t="s">
        <v>14</v>
      </c>
      <c r="B37">
        <f>SUM(B32:F32)</f>
        <v>55</v>
      </c>
    </row>
    <row r="38" spans="1:13" x14ac:dyDescent="0.25">
      <c r="A38" t="s">
        <v>15</v>
      </c>
      <c r="B38">
        <f>SUM(B31:F31)</f>
        <v>6618.5524578888544</v>
      </c>
    </row>
    <row r="41" spans="1:13" x14ac:dyDescent="0.25">
      <c r="A41" t="s">
        <v>80</v>
      </c>
      <c r="B41">
        <f>(B34*B38-B35*B36)/(B34*B37-(B36)^2)</f>
        <v>136.08727690658984</v>
      </c>
    </row>
    <row r="42" spans="1:13" x14ac:dyDescent="0.25">
      <c r="A42" t="s">
        <v>7</v>
      </c>
      <c r="B42">
        <f>(B35-B41*B36)/(B34)</f>
        <v>-57.749851464905717</v>
      </c>
    </row>
    <row r="45" spans="1:13" x14ac:dyDescent="0.25">
      <c r="A45" s="31" t="s">
        <v>6</v>
      </c>
      <c r="B45" s="7">
        <v>61</v>
      </c>
      <c r="C45" s="7">
        <v>62</v>
      </c>
      <c r="D45" s="7">
        <v>63</v>
      </c>
      <c r="E45" s="7">
        <v>64</v>
      </c>
      <c r="F45" s="7">
        <v>65</v>
      </c>
      <c r="G45" s="7">
        <v>66</v>
      </c>
      <c r="H45" s="7">
        <v>67</v>
      </c>
      <c r="I45" s="7">
        <v>68</v>
      </c>
      <c r="J45" s="7">
        <v>69</v>
      </c>
      <c r="K45" s="7">
        <v>70</v>
      </c>
      <c r="L45" s="7">
        <v>71</v>
      </c>
      <c r="M45" s="7">
        <v>72</v>
      </c>
    </row>
    <row r="46" spans="1:13" x14ac:dyDescent="0.25">
      <c r="A46" s="31" t="s">
        <v>3</v>
      </c>
      <c r="B46" s="7">
        <f>($B$42+$B$41*6)*B$16</f>
        <v>554.677075292871</v>
      </c>
      <c r="C46" s="7">
        <f t="shared" ref="C46:M46" si="12">($B$42+$B$41*6)*C$16</f>
        <v>586.34494083570382</v>
      </c>
      <c r="D46" s="7">
        <f t="shared" si="12"/>
        <v>614.34870749737115</v>
      </c>
      <c r="E46" s="7">
        <f t="shared" si="12"/>
        <v>660.67296856486462</v>
      </c>
      <c r="F46" s="7">
        <f t="shared" si="12"/>
        <v>706.99722963235831</v>
      </c>
      <c r="G46" s="7">
        <f t="shared" si="12"/>
        <v>735.00099629402564</v>
      </c>
      <c r="H46" s="7">
        <f t="shared" si="12"/>
        <v>777.05047533349295</v>
      </c>
      <c r="I46" s="7">
        <f t="shared" si="12"/>
        <v>816.0465386386561</v>
      </c>
      <c r="J46" s="7">
        <f t="shared" si="12"/>
        <v>855.04260194381925</v>
      </c>
      <c r="K46" s="7">
        <f t="shared" si="12"/>
        <v>894.03866524898274</v>
      </c>
      <c r="L46" s="7">
        <f t="shared" si="12"/>
        <v>933.03472855414566</v>
      </c>
      <c r="M46" s="7">
        <f t="shared" si="12"/>
        <v>972.03079185930881</v>
      </c>
    </row>
    <row r="50" spans="1:22" x14ac:dyDescent="0.25">
      <c r="A50" s="78" t="s">
        <v>34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</row>
    <row r="53" spans="1:22" x14ac:dyDescent="0.25">
      <c r="A53" t="s">
        <v>1</v>
      </c>
      <c r="B53" t="s">
        <v>0</v>
      </c>
      <c r="C53" t="s">
        <v>3</v>
      </c>
      <c r="D53" t="s">
        <v>4</v>
      </c>
      <c r="E53" t="s">
        <v>12</v>
      </c>
      <c r="F53" s="5" t="s">
        <v>22</v>
      </c>
    </row>
    <row r="54" spans="1:22" x14ac:dyDescent="0.25">
      <c r="A54">
        <v>1</v>
      </c>
      <c r="B54">
        <f>'הזנת נתונים'!A1</f>
        <v>28</v>
      </c>
      <c r="F54" s="48">
        <f>AVERAGE(E78:E113)</f>
        <v>7555.5615370179212</v>
      </c>
      <c r="I54" t="s">
        <v>65</v>
      </c>
      <c r="J54" t="s">
        <v>63</v>
      </c>
      <c r="K54" t="s">
        <v>64</v>
      </c>
      <c r="L54" t="s">
        <v>66</v>
      </c>
      <c r="M54" t="s">
        <v>67</v>
      </c>
      <c r="N54" t="s">
        <v>68</v>
      </c>
      <c r="O54" t="s">
        <v>69</v>
      </c>
      <c r="P54" t="s">
        <v>70</v>
      </c>
      <c r="Q54" t="s">
        <v>71</v>
      </c>
      <c r="R54" t="s">
        <v>72</v>
      </c>
      <c r="S54" t="s">
        <v>73</v>
      </c>
      <c r="T54" t="s">
        <v>74</v>
      </c>
      <c r="U54" t="s">
        <v>75</v>
      </c>
      <c r="V54" t="s">
        <v>76</v>
      </c>
    </row>
    <row r="55" spans="1:22" x14ac:dyDescent="0.25">
      <c r="A55">
        <v>2</v>
      </c>
      <c r="B55">
        <f>'הזנת נתונים'!A2</f>
        <v>35</v>
      </c>
      <c r="I55">
        <v>1</v>
      </c>
      <c r="J55">
        <f>B2</f>
        <v>28</v>
      </c>
      <c r="K55">
        <f t="shared" ref="K55:U55" si="13">C2</f>
        <v>35</v>
      </c>
      <c r="L55">
        <f t="shared" si="13"/>
        <v>40</v>
      </c>
      <c r="M55">
        <f t="shared" si="13"/>
        <v>55</v>
      </c>
      <c r="N55">
        <f t="shared" si="13"/>
        <v>70</v>
      </c>
      <c r="O55">
        <f t="shared" si="13"/>
        <v>75</v>
      </c>
      <c r="P55">
        <f t="shared" si="13"/>
        <v>87.6666666666667</v>
      </c>
      <c r="Q55">
        <f t="shared" si="13"/>
        <v>98.6666666666667</v>
      </c>
      <c r="R55">
        <f t="shared" si="13"/>
        <v>109.666666666667</v>
      </c>
      <c r="S55">
        <f t="shared" si="13"/>
        <v>120.666666666667</v>
      </c>
      <c r="T55">
        <f t="shared" si="13"/>
        <v>131.666666666667</v>
      </c>
      <c r="U55">
        <f t="shared" si="13"/>
        <v>142.666666666667</v>
      </c>
      <c r="V55">
        <f>AVERAGE(J55:U55)</f>
        <v>82.833333333333442</v>
      </c>
    </row>
    <row r="56" spans="1:22" x14ac:dyDescent="0.25">
      <c r="A56">
        <v>3</v>
      </c>
      <c r="B56">
        <f>'הזנת נתונים'!A3</f>
        <v>40</v>
      </c>
      <c r="I56">
        <v>2</v>
      </c>
      <c r="J56">
        <f>B3</f>
        <v>153.666666666667</v>
      </c>
      <c r="K56">
        <f t="shared" ref="K56" si="14">C3</f>
        <v>164.666666666667</v>
      </c>
      <c r="L56">
        <f t="shared" ref="L56" si="15">D3</f>
        <v>175.666666666667</v>
      </c>
      <c r="M56">
        <f t="shared" ref="M56" si="16">E3</f>
        <v>186.666666666667</v>
      </c>
      <c r="N56">
        <f t="shared" ref="N56" si="17">F3</f>
        <v>197.666666666667</v>
      </c>
      <c r="O56">
        <f t="shared" ref="O56" si="18">G3</f>
        <v>208.666666666667</v>
      </c>
      <c r="P56">
        <f t="shared" ref="P56" si="19">H3</f>
        <v>219.666666666667</v>
      </c>
      <c r="Q56">
        <f t="shared" ref="Q56" si="20">I3</f>
        <v>230.666666666667</v>
      </c>
      <c r="R56">
        <f t="shared" ref="R56" si="21">J3</f>
        <v>241.666666666667</v>
      </c>
      <c r="S56">
        <f t="shared" ref="S56" si="22">K3</f>
        <v>252.666666666667</v>
      </c>
      <c r="T56">
        <f t="shared" ref="T56" si="23">L3</f>
        <v>263.66666666666703</v>
      </c>
      <c r="U56">
        <f t="shared" ref="U56" si="24">M3</f>
        <v>274.66666666666703</v>
      </c>
      <c r="V56">
        <f>AVERAGE(J56:U56)</f>
        <v>214.166666666667</v>
      </c>
    </row>
    <row r="57" spans="1:22" x14ac:dyDescent="0.25">
      <c r="A57">
        <v>4</v>
      </c>
      <c r="B57">
        <f>'הזנת נתונים'!A4</f>
        <v>55</v>
      </c>
    </row>
    <row r="58" spans="1:22" x14ac:dyDescent="0.25">
      <c r="A58">
        <v>5</v>
      </c>
      <c r="B58">
        <f>'הזנת נתונים'!A5</f>
        <v>70</v>
      </c>
    </row>
    <row r="59" spans="1:22" x14ac:dyDescent="0.25">
      <c r="A59">
        <v>6</v>
      </c>
      <c r="B59">
        <f>'הזנת נתונים'!A6</f>
        <v>75</v>
      </c>
      <c r="I59" t="s">
        <v>65</v>
      </c>
      <c r="J59" t="s">
        <v>63</v>
      </c>
      <c r="K59" t="s">
        <v>64</v>
      </c>
      <c r="L59" t="s">
        <v>66</v>
      </c>
      <c r="M59" t="s">
        <v>67</v>
      </c>
      <c r="N59" t="s">
        <v>68</v>
      </c>
      <c r="O59" t="s">
        <v>69</v>
      </c>
      <c r="P59" t="s">
        <v>70</v>
      </c>
      <c r="Q59" t="s">
        <v>71</v>
      </c>
      <c r="R59" t="s">
        <v>72</v>
      </c>
      <c r="S59" t="s">
        <v>73</v>
      </c>
      <c r="T59" t="s">
        <v>74</v>
      </c>
      <c r="U59" t="s">
        <v>75</v>
      </c>
    </row>
    <row r="60" spans="1:22" x14ac:dyDescent="0.25">
      <c r="A60">
        <v>7</v>
      </c>
      <c r="B60">
        <f>'הזנת נתונים'!A7</f>
        <v>87.6666666666667</v>
      </c>
      <c r="I60">
        <v>1</v>
      </c>
      <c r="J60">
        <f>J55/$V55</f>
        <v>0.33802816901408406</v>
      </c>
      <c r="K60">
        <f t="shared" ref="K60:U61" si="25">K55/$V55</f>
        <v>0.42253521126760507</v>
      </c>
      <c r="L60">
        <f t="shared" si="25"/>
        <v>0.4828973843058344</v>
      </c>
      <c r="M60">
        <f t="shared" si="25"/>
        <v>0.66398390342052227</v>
      </c>
      <c r="N60">
        <f t="shared" si="25"/>
        <v>0.84507042253521014</v>
      </c>
      <c r="O60">
        <f t="shared" si="25"/>
        <v>0.90543259557343947</v>
      </c>
      <c r="P60">
        <f t="shared" si="25"/>
        <v>1.0583501006036207</v>
      </c>
      <c r="Q60">
        <f t="shared" si="25"/>
        <v>1.1911468812877253</v>
      </c>
      <c r="R60">
        <f t="shared" si="25"/>
        <v>1.3239436619718332</v>
      </c>
      <c r="S60">
        <f t="shared" si="25"/>
        <v>1.4567404426559376</v>
      </c>
      <c r="T60">
        <f t="shared" si="25"/>
        <v>1.5895372233400422</v>
      </c>
      <c r="U60">
        <f t="shared" si="25"/>
        <v>1.7223340040241466</v>
      </c>
    </row>
    <row r="61" spans="1:22" x14ac:dyDescent="0.25">
      <c r="A61">
        <v>8</v>
      </c>
      <c r="B61">
        <f>'הזנת נתונים'!A8</f>
        <v>98.6666666666667</v>
      </c>
      <c r="I61">
        <v>2</v>
      </c>
      <c r="J61">
        <f>J56/$V56</f>
        <v>0.71750972762645959</v>
      </c>
      <c r="K61">
        <f t="shared" si="25"/>
        <v>0.76887159533073968</v>
      </c>
      <c r="L61">
        <f t="shared" si="25"/>
        <v>0.82023346303501976</v>
      </c>
      <c r="M61">
        <f t="shared" si="25"/>
        <v>0.87159533073929985</v>
      </c>
      <c r="N61">
        <f t="shared" si="25"/>
        <v>0.92295719844357993</v>
      </c>
      <c r="O61">
        <f t="shared" si="25"/>
        <v>0.97431906614786001</v>
      </c>
      <c r="P61">
        <f t="shared" si="25"/>
        <v>1.02568093385214</v>
      </c>
      <c r="Q61">
        <f t="shared" si="25"/>
        <v>1.0770428015564202</v>
      </c>
      <c r="R61">
        <f t="shared" si="25"/>
        <v>1.1284046692607002</v>
      </c>
      <c r="S61">
        <f t="shared" si="25"/>
        <v>1.1797665369649804</v>
      </c>
      <c r="T61">
        <f t="shared" si="25"/>
        <v>1.2311284046692605</v>
      </c>
      <c r="U61">
        <f t="shared" si="25"/>
        <v>1.2824902723735405</v>
      </c>
    </row>
    <row r="62" spans="1:22" x14ac:dyDescent="0.25">
      <c r="A62">
        <v>9</v>
      </c>
      <c r="B62">
        <f>'הזנת נתונים'!A9</f>
        <v>109.666666666667</v>
      </c>
      <c r="I62" t="s">
        <v>77</v>
      </c>
      <c r="J62">
        <f>AVERAGE(J60:J61)</f>
        <v>0.52776894832027188</v>
      </c>
      <c r="K62">
        <f t="shared" ref="K62:U62" si="26">AVERAGE(K60:K61)</f>
        <v>0.59570340329917237</v>
      </c>
      <c r="L62">
        <f t="shared" si="26"/>
        <v>0.65156542367042714</v>
      </c>
      <c r="M62">
        <f t="shared" si="26"/>
        <v>0.767789617079911</v>
      </c>
      <c r="N62">
        <f t="shared" si="26"/>
        <v>0.88401381048939509</v>
      </c>
      <c r="O62">
        <f t="shared" si="26"/>
        <v>0.93987583086064974</v>
      </c>
      <c r="P62">
        <f t="shared" si="26"/>
        <v>1.0420155172278802</v>
      </c>
      <c r="Q62">
        <f t="shared" si="26"/>
        <v>1.1340948414220726</v>
      </c>
      <c r="R62">
        <f t="shared" si="26"/>
        <v>1.2261741656162668</v>
      </c>
      <c r="S62">
        <f t="shared" si="26"/>
        <v>1.318253489810459</v>
      </c>
      <c r="T62">
        <f t="shared" si="26"/>
        <v>1.4103328140046514</v>
      </c>
      <c r="U62">
        <f t="shared" si="26"/>
        <v>1.5024121381988436</v>
      </c>
    </row>
    <row r="63" spans="1:22" x14ac:dyDescent="0.25">
      <c r="A63">
        <v>10</v>
      </c>
      <c r="B63">
        <f>'הזנת נתונים'!A10</f>
        <v>120.666666666667</v>
      </c>
    </row>
    <row r="64" spans="1:22" x14ac:dyDescent="0.25">
      <c r="A64">
        <v>11</v>
      </c>
      <c r="B64">
        <f>'הזנת נתונים'!A11</f>
        <v>131.666666666667</v>
      </c>
    </row>
    <row r="65" spans="1:22" x14ac:dyDescent="0.25">
      <c r="A65">
        <v>12</v>
      </c>
      <c r="B65">
        <f>'הזנת נתונים'!A12</f>
        <v>142.666666666667</v>
      </c>
      <c r="I65" t="s">
        <v>65</v>
      </c>
      <c r="J65" t="s">
        <v>63</v>
      </c>
      <c r="K65" t="s">
        <v>64</v>
      </c>
      <c r="L65" t="s">
        <v>66</v>
      </c>
      <c r="M65" t="s">
        <v>67</v>
      </c>
      <c r="N65" t="s">
        <v>68</v>
      </c>
      <c r="O65" t="s">
        <v>69</v>
      </c>
      <c r="P65" t="s">
        <v>70</v>
      </c>
      <c r="Q65" t="s">
        <v>71</v>
      </c>
      <c r="R65" t="s">
        <v>72</v>
      </c>
      <c r="S65" t="s">
        <v>73</v>
      </c>
      <c r="T65" t="s">
        <v>74</v>
      </c>
      <c r="U65" t="s">
        <v>75</v>
      </c>
      <c r="V65" t="s">
        <v>98</v>
      </c>
    </row>
    <row r="66" spans="1:22" x14ac:dyDescent="0.25">
      <c r="A66">
        <v>13</v>
      </c>
      <c r="B66">
        <f>'הזנת נתונים'!A13</f>
        <v>153.666666666667</v>
      </c>
      <c r="I66">
        <v>1</v>
      </c>
      <c r="J66">
        <f>J55/J$62</f>
        <v>53.053519137712605</v>
      </c>
      <c r="K66">
        <f t="shared" ref="K66:U66" si="27">K55/K$62</f>
        <v>58.754070912068308</v>
      </c>
      <c r="L66">
        <f t="shared" si="27"/>
        <v>61.390611820176446</v>
      </c>
      <c r="M66">
        <f t="shared" si="27"/>
        <v>71.634206528056808</v>
      </c>
      <c r="N66">
        <f t="shared" si="27"/>
        <v>79.184283287664471</v>
      </c>
      <c r="O66">
        <f t="shared" si="27"/>
        <v>79.79777491599296</v>
      </c>
      <c r="P66">
        <f t="shared" si="27"/>
        <v>84.131824543160548</v>
      </c>
      <c r="Q66">
        <f t="shared" si="27"/>
        <v>87.000366338802721</v>
      </c>
      <c r="R66">
        <f t="shared" si="27"/>
        <v>89.438082893835301</v>
      </c>
      <c r="S66">
        <f t="shared" si="27"/>
        <v>91.535252968696241</v>
      </c>
      <c r="T66">
        <f t="shared" si="27"/>
        <v>93.358578456951903</v>
      </c>
      <c r="U66">
        <f t="shared" si="27"/>
        <v>94.958409240291388</v>
      </c>
      <c r="V66">
        <f>AVERAGE(J66:U66)</f>
        <v>78.686415086950802</v>
      </c>
    </row>
    <row r="67" spans="1:22" x14ac:dyDescent="0.25">
      <c r="A67">
        <v>14</v>
      </c>
      <c r="B67">
        <f>'הזנת נתונים'!A14</f>
        <v>164.666666666667</v>
      </c>
      <c r="I67">
        <v>2</v>
      </c>
      <c r="J67">
        <f>J56/J$62</f>
        <v>291.16276574387575</v>
      </c>
      <c r="K67">
        <f t="shared" ref="K67:U67" si="28">K56/K$62</f>
        <v>276.42391457677905</v>
      </c>
      <c r="L67">
        <f t="shared" si="28"/>
        <v>269.60710357694211</v>
      </c>
      <c r="M67">
        <f t="shared" si="28"/>
        <v>243.12215548916294</v>
      </c>
      <c r="N67">
        <f t="shared" si="28"/>
        <v>223.60133328373863</v>
      </c>
      <c r="O67">
        <f t="shared" si="28"/>
        <v>222.015142655163</v>
      </c>
      <c r="P67">
        <f t="shared" si="28"/>
        <v>210.8094006613797</v>
      </c>
      <c r="Q67">
        <f t="shared" si="28"/>
        <v>203.3927483326066</v>
      </c>
      <c r="R67">
        <f t="shared" si="28"/>
        <v>197.09000029796499</v>
      </c>
      <c r="S67">
        <f t="shared" si="28"/>
        <v>191.6677396416344</v>
      </c>
      <c r="T67">
        <f t="shared" si="28"/>
        <v>186.95350774544016</v>
      </c>
      <c r="U67">
        <f t="shared" si="28"/>
        <v>182.81712433177574</v>
      </c>
      <c r="V67">
        <f>AVERAGE(J67:U67)</f>
        <v>224.88857802803855</v>
      </c>
    </row>
    <row r="68" spans="1:22" x14ac:dyDescent="0.25">
      <c r="A68">
        <v>15</v>
      </c>
      <c r="B68">
        <f>'הזנת נתונים'!A15</f>
        <v>175.666666666667</v>
      </c>
    </row>
    <row r="69" spans="1:22" x14ac:dyDescent="0.25">
      <c r="A69">
        <v>16</v>
      </c>
      <c r="B69">
        <f>'הזנת נתונים'!A16</f>
        <v>186.666666666667</v>
      </c>
    </row>
    <row r="70" spans="1:22" x14ac:dyDescent="0.25">
      <c r="A70">
        <v>17</v>
      </c>
      <c r="B70">
        <f>'הזנת נתונים'!A17</f>
        <v>197.666666666667</v>
      </c>
      <c r="I70" s="7" t="s">
        <v>1</v>
      </c>
      <c r="J70" s="7">
        <v>1</v>
      </c>
      <c r="K70" s="7">
        <v>2</v>
      </c>
    </row>
    <row r="71" spans="1:22" x14ac:dyDescent="0.25">
      <c r="A71">
        <v>18</v>
      </c>
      <c r="B71">
        <f>'הזנת נתונים'!A18</f>
        <v>208.666666666667</v>
      </c>
      <c r="I71" s="7" t="s">
        <v>0</v>
      </c>
      <c r="J71" s="7">
        <f>V66</f>
        <v>78.686415086950802</v>
      </c>
      <c r="K71" s="7">
        <f>V67</f>
        <v>224.88857802803855</v>
      </c>
    </row>
    <row r="72" spans="1:22" x14ac:dyDescent="0.25">
      <c r="A72">
        <v>19</v>
      </c>
      <c r="B72">
        <f>'הזנת נתונים'!A19</f>
        <v>219.666666666667</v>
      </c>
    </row>
    <row r="73" spans="1:22" x14ac:dyDescent="0.25">
      <c r="A73">
        <v>20</v>
      </c>
      <c r="B73">
        <f>'הזנת נתונים'!A20</f>
        <v>230.666666666667</v>
      </c>
      <c r="I73" s="7" t="s">
        <v>97</v>
      </c>
      <c r="J73" s="7" t="s">
        <v>13</v>
      </c>
      <c r="K73" s="7">
        <f>COUNT(J71:K71)</f>
        <v>2</v>
      </c>
      <c r="Q73" s="40" t="s">
        <v>99</v>
      </c>
    </row>
    <row r="74" spans="1:22" x14ac:dyDescent="0.25">
      <c r="A74">
        <v>21</v>
      </c>
      <c r="B74">
        <f>'הזנת נתונים'!A21</f>
        <v>241.666666666667</v>
      </c>
      <c r="I74" s="7"/>
      <c r="J74" s="7" t="s">
        <v>0</v>
      </c>
      <c r="K74" s="7">
        <f>SUM(J71:K71)</f>
        <v>303.57499311498935</v>
      </c>
      <c r="Q74" s="40">
        <f>J62</f>
        <v>0.52776894832027188</v>
      </c>
    </row>
    <row r="75" spans="1:22" x14ac:dyDescent="0.25">
      <c r="A75">
        <v>22</v>
      </c>
      <c r="B75">
        <f>'הזנת נתונים'!A22</f>
        <v>252.666666666667</v>
      </c>
      <c r="I75" s="7"/>
      <c r="J75" s="7" t="s">
        <v>1</v>
      </c>
      <c r="K75" s="7">
        <f>SUM(J70:K70)</f>
        <v>3</v>
      </c>
      <c r="Q75" s="40">
        <f>K62</f>
        <v>0.59570340329917237</v>
      </c>
    </row>
    <row r="76" spans="1:22" x14ac:dyDescent="0.25">
      <c r="A76">
        <v>23</v>
      </c>
      <c r="B76">
        <f>'הזנת נתונים'!A23</f>
        <v>263.66666666666703</v>
      </c>
      <c r="I76" s="7"/>
      <c r="J76" s="7" t="s">
        <v>14</v>
      </c>
      <c r="K76" s="7">
        <f>SUM(J81:K81)</f>
        <v>5</v>
      </c>
      <c r="Q76" s="40">
        <f>L62</f>
        <v>0.65156542367042714</v>
      </c>
    </row>
    <row r="77" spans="1:22" x14ac:dyDescent="0.25">
      <c r="A77">
        <v>24</v>
      </c>
      <c r="B77">
        <f>'הזנת נתונים'!A24</f>
        <v>274.66666666666703</v>
      </c>
      <c r="I77" s="7"/>
      <c r="J77" s="7" t="s">
        <v>15</v>
      </c>
      <c r="K77" s="7">
        <f>SUM(J82:K82)</f>
        <v>528.46357114302793</v>
      </c>
      <c r="Q77" s="40">
        <f>M62</f>
        <v>0.767789617079911</v>
      </c>
    </row>
    <row r="78" spans="1:22" x14ac:dyDescent="0.25">
      <c r="A78" s="27">
        <v>25</v>
      </c>
      <c r="B78">
        <f>'הזנת נתונים'!A25</f>
        <v>285.66666666666799</v>
      </c>
      <c r="C78" s="27">
        <f t="shared" ref="C78:C89" si="29">($J$87+$J$86*G78)*$Q74</f>
        <v>195.85017009266633</v>
      </c>
      <c r="D78">
        <f>C78-B78</f>
        <v>-89.816496574001661</v>
      </c>
      <c r="E78">
        <f>D78^2</f>
        <v>8067.0030568276525</v>
      </c>
      <c r="G78">
        <v>3</v>
      </c>
      <c r="Q78" s="40">
        <f>N62</f>
        <v>0.88401381048939509</v>
      </c>
    </row>
    <row r="79" spans="1:22" x14ac:dyDescent="0.25">
      <c r="A79">
        <v>26</v>
      </c>
      <c r="B79">
        <f>'הזנת נתונים'!A26</f>
        <v>296.66666666666799</v>
      </c>
      <c r="C79" s="27">
        <f t="shared" si="29"/>
        <v>221.06001732812027</v>
      </c>
      <c r="D79">
        <f t="shared" ref="D79:D90" si="30">C79-B79</f>
        <v>-75.606649338547726</v>
      </c>
      <c r="E79">
        <f t="shared" ref="E79:E90" si="31">D79^2</f>
        <v>5716.3654242021194</v>
      </c>
      <c r="G79">
        <v>3</v>
      </c>
      <c r="Q79" s="40">
        <f>O62</f>
        <v>0.93987583086064974</v>
      </c>
    </row>
    <row r="80" spans="1:22" x14ac:dyDescent="0.25">
      <c r="A80">
        <v>27</v>
      </c>
      <c r="B80">
        <f>'הזנת נתונים'!A27</f>
        <v>307.66666666666799</v>
      </c>
      <c r="C80" s="27">
        <f t="shared" si="29"/>
        <v>241.78989585972164</v>
      </c>
      <c r="D80">
        <f t="shared" si="30"/>
        <v>-65.876770806946354</v>
      </c>
      <c r="E80">
        <f t="shared" si="31"/>
        <v>4339.7489319509396</v>
      </c>
      <c r="G80">
        <v>3</v>
      </c>
      <c r="I80" s="47" t="s">
        <v>18</v>
      </c>
      <c r="J80" s="47"/>
      <c r="K80" s="47"/>
      <c r="Q80" s="40">
        <f>P62</f>
        <v>1.0420155172278802</v>
      </c>
    </row>
    <row r="81" spans="1:25" x14ac:dyDescent="0.25">
      <c r="A81">
        <v>28</v>
      </c>
      <c r="B81">
        <f>'הזנת נתונים'!A28</f>
        <v>318.66666666666799</v>
      </c>
      <c r="C81" s="27">
        <f t="shared" si="29"/>
        <v>284.91961791058606</v>
      </c>
      <c r="D81">
        <f t="shared" si="30"/>
        <v>-33.747048756081938</v>
      </c>
      <c r="E81">
        <f t="shared" si="31"/>
        <v>1138.8632997453715</v>
      </c>
      <c r="G81">
        <v>3</v>
      </c>
      <c r="I81" s="47" t="s">
        <v>14</v>
      </c>
      <c r="J81" s="47">
        <f>J70^2</f>
        <v>1</v>
      </c>
      <c r="K81" s="47">
        <f>K70^2</f>
        <v>4</v>
      </c>
      <c r="Q81" s="40">
        <f>Q62</f>
        <v>1.1340948414220726</v>
      </c>
    </row>
    <row r="82" spans="1:25" x14ac:dyDescent="0.25">
      <c r="A82">
        <v>29</v>
      </c>
      <c r="B82">
        <f>'הזנת נתונים'!A29</f>
        <v>329.66666666666799</v>
      </c>
      <c r="C82" s="27">
        <f t="shared" si="29"/>
        <v>328.04933996145058</v>
      </c>
      <c r="D82">
        <f t="shared" si="30"/>
        <v>-1.6173267052174083</v>
      </c>
      <c r="E82">
        <f t="shared" si="31"/>
        <v>2.6157456714093974</v>
      </c>
      <c r="G82">
        <v>3</v>
      </c>
      <c r="I82" s="47" t="s">
        <v>15</v>
      </c>
      <c r="J82" s="47">
        <f>J71*J70</f>
        <v>78.686415086950802</v>
      </c>
      <c r="K82" s="47">
        <f>K71*K70</f>
        <v>449.7771560560771</v>
      </c>
      <c r="Q82" s="40">
        <f>R62</f>
        <v>1.2261741656162668</v>
      </c>
    </row>
    <row r="83" spans="1:25" x14ac:dyDescent="0.25">
      <c r="A83">
        <v>30</v>
      </c>
      <c r="B83">
        <f>'הזנת נתונים'!A30</f>
        <v>340.66666666666799</v>
      </c>
      <c r="C83" s="27">
        <f t="shared" si="29"/>
        <v>348.77921849305193</v>
      </c>
      <c r="D83">
        <f t="shared" si="30"/>
        <v>8.1125518263839353</v>
      </c>
      <c r="E83">
        <f t="shared" si="31"/>
        <v>65.813497135765331</v>
      </c>
      <c r="G83">
        <v>3</v>
      </c>
      <c r="Q83" s="40">
        <f>S62</f>
        <v>1.318253489810459</v>
      </c>
    </row>
    <row r="84" spans="1:25" x14ac:dyDescent="0.25">
      <c r="A84">
        <v>31</v>
      </c>
      <c r="B84">
        <f>'הזנת נתונים'!A31</f>
        <v>351.66666666666799</v>
      </c>
      <c r="C84" s="27">
        <f t="shared" si="29"/>
        <v>386.68231038942167</v>
      </c>
      <c r="D84">
        <f t="shared" si="30"/>
        <v>35.01564372275368</v>
      </c>
      <c r="E84">
        <f t="shared" si="31"/>
        <v>1226.0953053188191</v>
      </c>
      <c r="G84">
        <v>3</v>
      </c>
      <c r="Q84" s="40">
        <f>T62</f>
        <v>1.4103328140046514</v>
      </c>
    </row>
    <row r="85" spans="1:25" x14ac:dyDescent="0.25">
      <c r="A85">
        <v>32</v>
      </c>
      <c r="B85">
        <f>'הזנת נתונים'!A32</f>
        <v>362.66666666666799</v>
      </c>
      <c r="C85" s="27">
        <f t="shared" si="29"/>
        <v>420.85209503258096</v>
      </c>
      <c r="D85">
        <f t="shared" si="30"/>
        <v>58.185428365912969</v>
      </c>
      <c r="E85">
        <f t="shared" si="31"/>
        <v>3385.5440741247894</v>
      </c>
      <c r="G85">
        <v>3</v>
      </c>
      <c r="Q85" s="40">
        <f>U62</f>
        <v>1.5024121381988436</v>
      </c>
    </row>
    <row r="86" spans="1:25" x14ac:dyDescent="0.25">
      <c r="A86">
        <v>33</v>
      </c>
      <c r="B86">
        <f>'הזנת נתונים'!A33</f>
        <v>373.66666666666799</v>
      </c>
      <c r="C86" s="27">
        <f t="shared" si="29"/>
        <v>455.02187967574088</v>
      </c>
      <c r="D86">
        <f t="shared" si="30"/>
        <v>81.355213009072884</v>
      </c>
      <c r="E86">
        <f t="shared" si="31"/>
        <v>6618.6706837516222</v>
      </c>
      <c r="G86">
        <v>3</v>
      </c>
      <c r="I86" t="s">
        <v>80</v>
      </c>
      <c r="J86">
        <f>(K73*K77-K74*K75)/(K73*K76-(K75)^2)</f>
        <v>146.20216294108786</v>
      </c>
    </row>
    <row r="87" spans="1:25" x14ac:dyDescent="0.25">
      <c r="A87">
        <v>34</v>
      </c>
      <c r="B87">
        <f>'הזנת נתונים'!A34</f>
        <v>384.66666666666799</v>
      </c>
      <c r="C87" s="27">
        <f t="shared" si="29"/>
        <v>489.19166431890005</v>
      </c>
      <c r="D87">
        <f t="shared" si="30"/>
        <v>104.52499765223206</v>
      </c>
      <c r="E87">
        <f t="shared" si="31"/>
        <v>10925.475134199118</v>
      </c>
      <c r="G87">
        <v>3</v>
      </c>
      <c r="I87" t="s">
        <v>7</v>
      </c>
      <c r="J87">
        <f>(K74-J86*K75)/(K73)</f>
        <v>-67.515747854137118</v>
      </c>
    </row>
    <row r="88" spans="1:25" x14ac:dyDescent="0.25">
      <c r="A88">
        <v>35</v>
      </c>
      <c r="B88">
        <f>'הזנת נתונים'!A35</f>
        <v>395.66666666666799</v>
      </c>
      <c r="C88" s="27">
        <f t="shared" si="29"/>
        <v>523.3614489620594</v>
      </c>
      <c r="D88">
        <f t="shared" si="30"/>
        <v>127.69478229539141</v>
      </c>
      <c r="E88">
        <f t="shared" si="31"/>
        <v>16305.957425467406</v>
      </c>
      <c r="G88">
        <v>3</v>
      </c>
    </row>
    <row r="89" spans="1:25" x14ac:dyDescent="0.25">
      <c r="A89">
        <v>36</v>
      </c>
      <c r="B89">
        <f>'הזנת נתונים'!A36</f>
        <v>406.66666666666799</v>
      </c>
      <c r="C89" s="27">
        <f t="shared" si="29"/>
        <v>557.53123360521852</v>
      </c>
      <c r="D89">
        <f t="shared" si="30"/>
        <v>150.86456693855052</v>
      </c>
      <c r="E89">
        <f t="shared" si="31"/>
        <v>22760.11755755639</v>
      </c>
      <c r="G89">
        <v>3</v>
      </c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</row>
    <row r="90" spans="1:25" x14ac:dyDescent="0.25">
      <c r="A90">
        <v>37</v>
      </c>
      <c r="B90">
        <f>'הזנת נתונים'!A37</f>
        <v>417.66666666666799</v>
      </c>
      <c r="C90" s="27">
        <f>($J$129+$J$128*G90)*Q116</f>
        <v>312.79696671858926</v>
      </c>
      <c r="D90">
        <f t="shared" si="30"/>
        <v>-104.86969994807873</v>
      </c>
      <c r="E90">
        <f t="shared" si="31"/>
        <v>10997.653967200065</v>
      </c>
      <c r="G90">
        <v>4</v>
      </c>
    </row>
    <row r="91" spans="1:25" x14ac:dyDescent="0.25">
      <c r="A91">
        <v>38</v>
      </c>
      <c r="B91">
        <f>'הזנת נתונים'!A38</f>
        <v>428.66666666666902</v>
      </c>
      <c r="C91" s="27">
        <f t="shared" ref="C91:C101" si="32">($J$129+$J$128*G91)*Q117</f>
        <v>340.67868659623753</v>
      </c>
      <c r="D91">
        <f t="shared" ref="D91:D102" si="33">C91-B91</f>
        <v>-87.98798007043149</v>
      </c>
      <c r="E91">
        <f t="shared" ref="E91:E102" si="34">D91^2</f>
        <v>7741.884636874649</v>
      </c>
      <c r="G91">
        <v>4</v>
      </c>
    </row>
    <row r="92" spans="1:25" x14ac:dyDescent="0.25">
      <c r="A92">
        <v>39</v>
      </c>
      <c r="B92">
        <f>'הזנת נתונים'!A39</f>
        <v>439.66666666666902</v>
      </c>
      <c r="C92" s="27">
        <f t="shared" si="32"/>
        <v>364.5447875847633</v>
      </c>
      <c r="D92">
        <f t="shared" si="33"/>
        <v>-75.121879081905718</v>
      </c>
      <c r="E92">
        <f t="shared" si="34"/>
        <v>5643.2967167964634</v>
      </c>
      <c r="G92">
        <v>4</v>
      </c>
      <c r="I92" t="s">
        <v>65</v>
      </c>
      <c r="J92" t="s">
        <v>63</v>
      </c>
      <c r="K92" t="s">
        <v>64</v>
      </c>
      <c r="L92" t="s">
        <v>66</v>
      </c>
      <c r="M92" t="s">
        <v>67</v>
      </c>
      <c r="N92" t="s">
        <v>68</v>
      </c>
      <c r="O92" t="s">
        <v>69</v>
      </c>
      <c r="P92" t="s">
        <v>70</v>
      </c>
      <c r="Q92" t="s">
        <v>71</v>
      </c>
      <c r="R92" t="s">
        <v>72</v>
      </c>
      <c r="S92" t="s">
        <v>73</v>
      </c>
      <c r="T92" t="s">
        <v>74</v>
      </c>
      <c r="U92" t="s">
        <v>75</v>
      </c>
      <c r="V92" t="s">
        <v>76</v>
      </c>
    </row>
    <row r="93" spans="1:25" x14ac:dyDescent="0.25">
      <c r="A93">
        <v>40</v>
      </c>
      <c r="B93">
        <f>'הזנת נתונים'!A40</f>
        <v>450.66666666666902</v>
      </c>
      <c r="C93" s="27">
        <f t="shared" si="32"/>
        <v>408.48898301890227</v>
      </c>
      <c r="D93">
        <f t="shared" si="33"/>
        <v>-42.177683647766742</v>
      </c>
      <c r="E93">
        <f t="shared" si="34"/>
        <v>1778.9569978910899</v>
      </c>
      <c r="G93">
        <v>4</v>
      </c>
      <c r="I93">
        <v>1</v>
      </c>
      <c r="J93">
        <f>B2</f>
        <v>28</v>
      </c>
      <c r="K93">
        <f t="shared" ref="K93:U93" si="35">C2</f>
        <v>35</v>
      </c>
      <c r="L93">
        <f t="shared" si="35"/>
        <v>40</v>
      </c>
      <c r="M93">
        <f t="shared" si="35"/>
        <v>55</v>
      </c>
      <c r="N93">
        <f t="shared" si="35"/>
        <v>70</v>
      </c>
      <c r="O93">
        <f t="shared" si="35"/>
        <v>75</v>
      </c>
      <c r="P93">
        <f t="shared" si="35"/>
        <v>87.6666666666667</v>
      </c>
      <c r="Q93">
        <f t="shared" si="35"/>
        <v>98.6666666666667</v>
      </c>
      <c r="R93">
        <f t="shared" si="35"/>
        <v>109.666666666667</v>
      </c>
      <c r="S93">
        <f t="shared" si="35"/>
        <v>120.666666666667</v>
      </c>
      <c r="T93">
        <f t="shared" si="35"/>
        <v>131.666666666667</v>
      </c>
      <c r="U93">
        <f t="shared" si="35"/>
        <v>142.666666666667</v>
      </c>
      <c r="V93">
        <f>AVERAGE(J93:U93)</f>
        <v>82.833333333333442</v>
      </c>
    </row>
    <row r="94" spans="1:25" x14ac:dyDescent="0.25">
      <c r="A94">
        <v>41</v>
      </c>
      <c r="B94">
        <f>'הזנת נתונים'!A41</f>
        <v>461.66666666666902</v>
      </c>
      <c r="C94" s="27">
        <f t="shared" si="32"/>
        <v>452.43317845304142</v>
      </c>
      <c r="D94">
        <f t="shared" si="33"/>
        <v>-9.2334882136275951</v>
      </c>
      <c r="E94">
        <f t="shared" si="34"/>
        <v>85.257304591199713</v>
      </c>
      <c r="G94">
        <v>4</v>
      </c>
      <c r="I94">
        <v>2</v>
      </c>
      <c r="J94">
        <f>B3</f>
        <v>153.666666666667</v>
      </c>
      <c r="K94">
        <f t="shared" ref="K94:K95" si="36">C3</f>
        <v>164.666666666667</v>
      </c>
      <c r="L94">
        <f t="shared" ref="L94:L95" si="37">D3</f>
        <v>175.666666666667</v>
      </c>
      <c r="M94">
        <f t="shared" ref="M94:M95" si="38">E3</f>
        <v>186.666666666667</v>
      </c>
      <c r="N94">
        <f t="shared" ref="N94:N95" si="39">F3</f>
        <v>197.666666666667</v>
      </c>
      <c r="O94">
        <f t="shared" ref="O94:O95" si="40">G3</f>
        <v>208.666666666667</v>
      </c>
      <c r="P94">
        <f t="shared" ref="P94:P95" si="41">H3</f>
        <v>219.666666666667</v>
      </c>
      <c r="Q94">
        <f t="shared" ref="Q94:Q95" si="42">I3</f>
        <v>230.666666666667</v>
      </c>
      <c r="R94">
        <f t="shared" ref="R94:R95" si="43">J3</f>
        <v>241.666666666667</v>
      </c>
      <c r="S94">
        <f t="shared" ref="S94:S95" si="44">K3</f>
        <v>252.666666666667</v>
      </c>
      <c r="T94">
        <f t="shared" ref="T94:T95" si="45">L3</f>
        <v>263.66666666666703</v>
      </c>
      <c r="U94">
        <f t="shared" ref="U94:U95" si="46">M3</f>
        <v>274.66666666666703</v>
      </c>
      <c r="V94">
        <f t="shared" ref="V94:V95" si="47">AVERAGE(J94:U94)</f>
        <v>214.166666666667</v>
      </c>
    </row>
    <row r="95" spans="1:25" x14ac:dyDescent="0.25">
      <c r="A95">
        <v>42</v>
      </c>
      <c r="B95">
        <f>'הזנת נתונים'!A42</f>
        <v>472.66666666666902</v>
      </c>
      <c r="C95" s="27">
        <f t="shared" si="32"/>
        <v>476.29927944156708</v>
      </c>
      <c r="D95">
        <f t="shared" si="33"/>
        <v>3.6326127748980639</v>
      </c>
      <c r="E95">
        <f t="shared" si="34"/>
        <v>13.195875572352612</v>
      </c>
      <c r="G95">
        <v>4</v>
      </c>
      <c r="I95">
        <v>3</v>
      </c>
      <c r="J95">
        <f>B4</f>
        <v>285.66666666666799</v>
      </c>
      <c r="K95">
        <f t="shared" si="36"/>
        <v>296.66666666666799</v>
      </c>
      <c r="L95">
        <f t="shared" si="37"/>
        <v>307.66666666666799</v>
      </c>
      <c r="M95">
        <f t="shared" si="38"/>
        <v>318.66666666666799</v>
      </c>
      <c r="N95">
        <f t="shared" si="39"/>
        <v>329.66666666666799</v>
      </c>
      <c r="O95">
        <f t="shared" si="40"/>
        <v>340.66666666666799</v>
      </c>
      <c r="P95">
        <f t="shared" si="41"/>
        <v>351.66666666666799</v>
      </c>
      <c r="Q95">
        <f t="shared" si="42"/>
        <v>362.66666666666799</v>
      </c>
      <c r="R95">
        <f t="shared" si="43"/>
        <v>373.66666666666799</v>
      </c>
      <c r="S95">
        <f t="shared" si="44"/>
        <v>384.66666666666799</v>
      </c>
      <c r="T95">
        <f t="shared" si="45"/>
        <v>395.66666666666799</v>
      </c>
      <c r="U95">
        <f t="shared" si="46"/>
        <v>406.66666666666799</v>
      </c>
      <c r="V95">
        <f t="shared" si="47"/>
        <v>346.16666666666794</v>
      </c>
    </row>
    <row r="96" spans="1:25" x14ac:dyDescent="0.25">
      <c r="A96">
        <v>43</v>
      </c>
      <c r="B96">
        <f>'הזנת נתונים'!A43</f>
        <v>483.66666666666902</v>
      </c>
      <c r="C96" s="27">
        <f t="shared" si="32"/>
        <v>515.55858617172976</v>
      </c>
      <c r="D96">
        <f t="shared" si="33"/>
        <v>31.891919505060741</v>
      </c>
      <c r="E96">
        <f t="shared" si="34"/>
        <v>1017.0945297172738</v>
      </c>
      <c r="G96">
        <v>4</v>
      </c>
    </row>
    <row r="97" spans="1:22" x14ac:dyDescent="0.25">
      <c r="A97">
        <v>44</v>
      </c>
      <c r="B97">
        <f>'הזנת נתונים'!A44</f>
        <v>494.66666666666902</v>
      </c>
      <c r="C97" s="27">
        <f t="shared" si="32"/>
        <v>551.47154382762346</v>
      </c>
      <c r="D97">
        <f t="shared" si="33"/>
        <v>56.804877160954447</v>
      </c>
      <c r="E97">
        <f t="shared" si="34"/>
        <v>3226.794069271124</v>
      </c>
      <c r="G97">
        <v>4</v>
      </c>
    </row>
    <row r="98" spans="1:22" x14ac:dyDescent="0.25">
      <c r="A98">
        <v>45</v>
      </c>
      <c r="B98">
        <f>'הזנת נתונים'!A45</f>
        <v>505.66666666666799</v>
      </c>
      <c r="C98" s="27">
        <f t="shared" si="32"/>
        <v>587.38450148351774</v>
      </c>
      <c r="D98">
        <f t="shared" si="33"/>
        <v>81.717834816849745</v>
      </c>
      <c r="E98">
        <f t="shared" si="34"/>
        <v>6677.8045271539404</v>
      </c>
      <c r="G98">
        <v>4</v>
      </c>
      <c r="I98" t="s">
        <v>65</v>
      </c>
      <c r="J98" t="s">
        <v>63</v>
      </c>
      <c r="K98" t="s">
        <v>64</v>
      </c>
      <c r="L98" t="s">
        <v>66</v>
      </c>
      <c r="M98" t="s">
        <v>67</v>
      </c>
      <c r="N98" t="s">
        <v>68</v>
      </c>
      <c r="O98" t="s">
        <v>69</v>
      </c>
      <c r="P98" t="s">
        <v>70</v>
      </c>
      <c r="Q98" t="s">
        <v>71</v>
      </c>
      <c r="R98" t="s">
        <v>72</v>
      </c>
      <c r="S98" t="s">
        <v>73</v>
      </c>
      <c r="T98" t="s">
        <v>74</v>
      </c>
      <c r="U98" t="s">
        <v>75</v>
      </c>
    </row>
    <row r="99" spans="1:22" x14ac:dyDescent="0.25">
      <c r="A99">
        <v>46</v>
      </c>
      <c r="B99">
        <f>'הזנת נתונים'!A46</f>
        <v>516.66666666666902</v>
      </c>
      <c r="C99" s="27">
        <f t="shared" si="32"/>
        <v>623.29745913941144</v>
      </c>
      <c r="D99">
        <f t="shared" si="33"/>
        <v>106.63079247274243</v>
      </c>
      <c r="E99">
        <f t="shared" si="34"/>
        <v>11370.125903365064</v>
      </c>
      <c r="G99">
        <v>4</v>
      </c>
      <c r="I99">
        <v>1</v>
      </c>
      <c r="J99">
        <f>J93/$V93</f>
        <v>0.33802816901408406</v>
      </c>
      <c r="K99">
        <f t="shared" ref="K99:U99" si="48">K93/$V93</f>
        <v>0.42253521126760507</v>
      </c>
      <c r="L99">
        <f t="shared" si="48"/>
        <v>0.4828973843058344</v>
      </c>
      <c r="M99">
        <f t="shared" si="48"/>
        <v>0.66398390342052227</v>
      </c>
      <c r="N99">
        <f t="shared" si="48"/>
        <v>0.84507042253521014</v>
      </c>
      <c r="O99">
        <f t="shared" si="48"/>
        <v>0.90543259557343947</v>
      </c>
      <c r="P99">
        <f t="shared" si="48"/>
        <v>1.0583501006036207</v>
      </c>
      <c r="Q99">
        <f t="shared" si="48"/>
        <v>1.1911468812877253</v>
      </c>
      <c r="R99">
        <f t="shared" si="48"/>
        <v>1.3239436619718332</v>
      </c>
      <c r="S99">
        <f t="shared" si="48"/>
        <v>1.4567404426559376</v>
      </c>
      <c r="T99">
        <f t="shared" si="48"/>
        <v>1.5895372233400422</v>
      </c>
      <c r="U99">
        <f t="shared" si="48"/>
        <v>1.7223340040241466</v>
      </c>
    </row>
    <row r="100" spans="1:22" x14ac:dyDescent="0.25">
      <c r="A100">
        <v>47</v>
      </c>
      <c r="B100">
        <f>'הזנת נתונים'!A47</f>
        <v>527.66666666666902</v>
      </c>
      <c r="C100" s="27">
        <f t="shared" si="32"/>
        <v>659.21041679530515</v>
      </c>
      <c r="D100">
        <f t="shared" si="33"/>
        <v>131.54375012863613</v>
      </c>
      <c r="E100">
        <f t="shared" si="34"/>
        <v>17303.758197905059</v>
      </c>
      <c r="G100">
        <v>4</v>
      </c>
      <c r="I100">
        <v>2</v>
      </c>
      <c r="J100">
        <f t="shared" ref="J100:U100" si="49">J94/$V94</f>
        <v>0.71750972762645959</v>
      </c>
      <c r="K100">
        <f t="shared" si="49"/>
        <v>0.76887159533073968</v>
      </c>
      <c r="L100">
        <f t="shared" si="49"/>
        <v>0.82023346303501976</v>
      </c>
      <c r="M100">
        <f t="shared" si="49"/>
        <v>0.87159533073929985</v>
      </c>
      <c r="N100">
        <f t="shared" si="49"/>
        <v>0.92295719844357993</v>
      </c>
      <c r="O100">
        <f t="shared" si="49"/>
        <v>0.97431906614786001</v>
      </c>
      <c r="P100">
        <f t="shared" si="49"/>
        <v>1.02568093385214</v>
      </c>
      <c r="Q100">
        <f t="shared" si="49"/>
        <v>1.0770428015564202</v>
      </c>
      <c r="R100">
        <f t="shared" si="49"/>
        <v>1.1284046692607002</v>
      </c>
      <c r="S100">
        <f t="shared" si="49"/>
        <v>1.1797665369649804</v>
      </c>
      <c r="T100">
        <f t="shared" si="49"/>
        <v>1.2311284046692605</v>
      </c>
      <c r="U100">
        <f t="shared" si="49"/>
        <v>1.2824902723735405</v>
      </c>
    </row>
    <row r="101" spans="1:22" x14ac:dyDescent="0.25">
      <c r="A101">
        <v>48</v>
      </c>
      <c r="B101">
        <f>'הזנת נתונים'!A48</f>
        <v>538.66666666666902</v>
      </c>
      <c r="C101" s="27">
        <f t="shared" si="32"/>
        <v>695.12337445119897</v>
      </c>
      <c r="D101">
        <f t="shared" si="33"/>
        <v>156.45670778452995</v>
      </c>
      <c r="E101">
        <f t="shared" si="34"/>
        <v>24478.701410773796</v>
      </c>
      <c r="G101">
        <v>4</v>
      </c>
      <c r="I101">
        <v>3</v>
      </c>
      <c r="J101">
        <f t="shared" ref="J101:U101" si="50">J95/$V95</f>
        <v>0.82522869523351072</v>
      </c>
      <c r="K101">
        <f t="shared" si="50"/>
        <v>0.85700529610014509</v>
      </c>
      <c r="L101">
        <f t="shared" si="50"/>
        <v>0.88878189696677956</v>
      </c>
      <c r="M101">
        <f t="shared" si="50"/>
        <v>0.92055849783341404</v>
      </c>
      <c r="N101">
        <f t="shared" si="50"/>
        <v>0.95233509870004851</v>
      </c>
      <c r="O101">
        <f t="shared" si="50"/>
        <v>0.98411169956668298</v>
      </c>
      <c r="P101">
        <f t="shared" si="50"/>
        <v>1.0158883004333175</v>
      </c>
      <c r="Q101">
        <f t="shared" si="50"/>
        <v>1.0476649012999519</v>
      </c>
      <c r="R101">
        <f t="shared" si="50"/>
        <v>1.0794415021665862</v>
      </c>
      <c r="S101">
        <f t="shared" si="50"/>
        <v>1.1112181030332207</v>
      </c>
      <c r="T101">
        <f t="shared" si="50"/>
        <v>1.1429947038998551</v>
      </c>
      <c r="U101">
        <f t="shared" si="50"/>
        <v>1.1747713047664896</v>
      </c>
    </row>
    <row r="102" spans="1:22" x14ac:dyDescent="0.25">
      <c r="A102">
        <v>49</v>
      </c>
      <c r="B102">
        <f>'הזנת נתונים'!A49</f>
        <v>549.66666666666902</v>
      </c>
      <c r="C102" s="27">
        <f>($J$174+$J$173*G102)*Q161</f>
        <v>432.74867382465447</v>
      </c>
      <c r="D102">
        <f t="shared" si="33"/>
        <v>-116.91799284201454</v>
      </c>
      <c r="E102">
        <f t="shared" si="34"/>
        <v>13669.817050205364</v>
      </c>
      <c r="G102">
        <v>5</v>
      </c>
      <c r="I102" t="s">
        <v>77</v>
      </c>
      <c r="J102">
        <f>AVERAGE(J99:J101)</f>
        <v>0.62692219729135157</v>
      </c>
      <c r="K102">
        <f t="shared" ref="K102:U102" si="51">AVERAGE(K99:K101)</f>
        <v>0.68280403423282987</v>
      </c>
      <c r="L102">
        <f t="shared" si="51"/>
        <v>0.73063758143587787</v>
      </c>
      <c r="M102">
        <f t="shared" si="51"/>
        <v>0.81871257733107861</v>
      </c>
      <c r="N102">
        <f t="shared" si="51"/>
        <v>0.90678757322627968</v>
      </c>
      <c r="O102">
        <f t="shared" si="51"/>
        <v>0.95462112042932745</v>
      </c>
      <c r="P102">
        <f t="shared" si="51"/>
        <v>1.033306444963026</v>
      </c>
      <c r="Q102">
        <f t="shared" si="51"/>
        <v>1.1052848613813657</v>
      </c>
      <c r="R102">
        <f t="shared" si="51"/>
        <v>1.1772632777997065</v>
      </c>
      <c r="S102">
        <f t="shared" si="51"/>
        <v>1.2492416942180462</v>
      </c>
      <c r="T102">
        <f t="shared" si="51"/>
        <v>1.3212201106363859</v>
      </c>
      <c r="U102">
        <f t="shared" si="51"/>
        <v>1.3931985270547258</v>
      </c>
    </row>
    <row r="103" spans="1:22" x14ac:dyDescent="0.25">
      <c r="A103">
        <v>50</v>
      </c>
      <c r="B103">
        <f>'הזנת נתונים'!A50</f>
        <v>560.66666666666902</v>
      </c>
      <c r="C103" s="27">
        <f t="shared" ref="C103:C113" si="52">($J$174+$J$173*G103)*Q162</f>
        <v>462.70376227548559</v>
      </c>
      <c r="D103">
        <f t="shared" ref="D103:D113" si="53">C103-B103</f>
        <v>-97.962904391183429</v>
      </c>
      <c r="E103">
        <f t="shared" ref="E103:E113" si="54">D103^2</f>
        <v>9596.730636756145</v>
      </c>
      <c r="G103">
        <v>5</v>
      </c>
    </row>
    <row r="104" spans="1:22" x14ac:dyDescent="0.25">
      <c r="A104">
        <v>51</v>
      </c>
      <c r="B104">
        <f>'הזנת נתונים'!A51</f>
        <v>571.66666666666902</v>
      </c>
      <c r="C104" s="27">
        <f t="shared" si="52"/>
        <v>488.86518939105156</v>
      </c>
      <c r="D104">
        <f t="shared" si="53"/>
        <v>-82.801477275617458</v>
      </c>
      <c r="E104">
        <f t="shared" si="54"/>
        <v>6856.0846390245943</v>
      </c>
      <c r="G104">
        <v>5</v>
      </c>
    </row>
    <row r="105" spans="1:22" x14ac:dyDescent="0.25">
      <c r="A105">
        <v>52</v>
      </c>
      <c r="B105">
        <f>'הזנת נתונים'!A52</f>
        <v>582.66666666666902</v>
      </c>
      <c r="C105" s="27">
        <f t="shared" si="52"/>
        <v>533.99492318294199</v>
      </c>
      <c r="D105">
        <f t="shared" si="53"/>
        <v>-48.671743483727028</v>
      </c>
      <c r="E105">
        <f t="shared" si="54"/>
        <v>2368.9386137457245</v>
      </c>
      <c r="G105">
        <v>5</v>
      </c>
      <c r="I105" t="s">
        <v>65</v>
      </c>
      <c r="J105" t="s">
        <v>63</v>
      </c>
      <c r="K105" t="s">
        <v>64</v>
      </c>
      <c r="L105" t="s">
        <v>66</v>
      </c>
      <c r="M105" t="s">
        <v>67</v>
      </c>
      <c r="N105" t="s">
        <v>68</v>
      </c>
      <c r="O105" t="s">
        <v>69</v>
      </c>
      <c r="P105" t="s">
        <v>70</v>
      </c>
      <c r="Q105" t="s">
        <v>71</v>
      </c>
      <c r="R105" t="s">
        <v>72</v>
      </c>
      <c r="S105" t="s">
        <v>73</v>
      </c>
      <c r="T105" t="s">
        <v>74</v>
      </c>
      <c r="U105" t="s">
        <v>75</v>
      </c>
      <c r="V105" t="s">
        <v>98</v>
      </c>
    </row>
    <row r="106" spans="1:22" x14ac:dyDescent="0.25">
      <c r="A106">
        <v>53</v>
      </c>
      <c r="B106">
        <f>'הזנת נתונים'!A53</f>
        <v>593.66666666666902</v>
      </c>
      <c r="C106" s="27">
        <f t="shared" si="52"/>
        <v>579.12465697483253</v>
      </c>
      <c r="D106">
        <f t="shared" si="53"/>
        <v>-14.542009691836483</v>
      </c>
      <c r="E106">
        <f t="shared" si="54"/>
        <v>211.47004587746622</v>
      </c>
      <c r="G106">
        <v>5</v>
      </c>
      <c r="I106">
        <v>1</v>
      </c>
      <c r="J106">
        <f>J93/J$102</f>
        <v>44.662639352977749</v>
      </c>
      <c r="K106">
        <f t="shared" ref="K106:U106" si="55">K93/K$102</f>
        <v>51.25921676682028</v>
      </c>
      <c r="L106">
        <f t="shared" si="55"/>
        <v>54.746704818263545</v>
      </c>
      <c r="M106">
        <f t="shared" si="55"/>
        <v>67.178643058464445</v>
      </c>
      <c r="N106">
        <f t="shared" si="55"/>
        <v>77.195588103336533</v>
      </c>
      <c r="O106">
        <f t="shared" si="55"/>
        <v>78.565200784861958</v>
      </c>
      <c r="P106">
        <f t="shared" si="55"/>
        <v>84.84091732322797</v>
      </c>
      <c r="Q106">
        <f t="shared" si="55"/>
        <v>89.268088358104194</v>
      </c>
      <c r="R106">
        <f t="shared" si="55"/>
        <v>93.153900860335099</v>
      </c>
      <c r="S106">
        <f t="shared" si="55"/>
        <v>96.591930308728152</v>
      </c>
      <c r="T106">
        <f t="shared" si="55"/>
        <v>99.655360682670604</v>
      </c>
      <c r="U106">
        <f t="shared" si="55"/>
        <v>102.40225200946035</v>
      </c>
      <c r="V106">
        <f>AVERAGE(J106:U106)</f>
        <v>78.293370202270893</v>
      </c>
    </row>
    <row r="107" spans="1:22" x14ac:dyDescent="0.25">
      <c r="A107">
        <v>54</v>
      </c>
      <c r="B107">
        <f>'הזנת נתונים'!A54</f>
        <v>604.66666666666902</v>
      </c>
      <c r="C107" s="27">
        <f t="shared" si="52"/>
        <v>605.2860840903985</v>
      </c>
      <c r="D107">
        <f t="shared" si="53"/>
        <v>0.61941742372948738</v>
      </c>
      <c r="E107">
        <f t="shared" si="54"/>
        <v>0.38367794481967532</v>
      </c>
      <c r="G107">
        <v>5</v>
      </c>
      <c r="I107">
        <v>2</v>
      </c>
      <c r="J107">
        <f t="shared" ref="J107:U108" si="56">J94/J$102</f>
        <v>245.1128183538427</v>
      </c>
      <c r="K107">
        <f t="shared" si="56"/>
        <v>241.16241031246923</v>
      </c>
      <c r="L107">
        <f t="shared" si="56"/>
        <v>240.42927866020787</v>
      </c>
      <c r="M107">
        <f t="shared" si="56"/>
        <v>228.0002431075161</v>
      </c>
      <c r="N107">
        <f t="shared" si="56"/>
        <v>217.98563688227924</v>
      </c>
      <c r="O107">
        <f t="shared" si="56"/>
        <v>218.58584751699408</v>
      </c>
      <c r="P107">
        <f t="shared" si="56"/>
        <v>212.58617686694788</v>
      </c>
      <c r="Q107">
        <f t="shared" si="56"/>
        <v>208.69431467502761</v>
      </c>
      <c r="R107">
        <f t="shared" si="56"/>
        <v>205.27835295970468</v>
      </c>
      <c r="S107">
        <f t="shared" si="56"/>
        <v>202.25603086744704</v>
      </c>
      <c r="T107">
        <f t="shared" si="56"/>
        <v>199.56301341770217</v>
      </c>
      <c r="U107">
        <f t="shared" si="56"/>
        <v>197.14826087802626</v>
      </c>
      <c r="V107">
        <f t="shared" ref="V107:V108" si="57">AVERAGE(J107:U107)</f>
        <v>218.06686537484708</v>
      </c>
    </row>
    <row r="108" spans="1:22" x14ac:dyDescent="0.25">
      <c r="A108">
        <v>55</v>
      </c>
      <c r="B108">
        <f>'הזנת נתונים'!A55</f>
        <v>615.66666666666902</v>
      </c>
      <c r="C108" s="27">
        <f t="shared" si="52"/>
        <v>645.98987965781316</v>
      </c>
      <c r="D108">
        <f t="shared" si="53"/>
        <v>30.323212991144146</v>
      </c>
      <c r="E108">
        <f t="shared" si="54"/>
        <v>919.49724610629312</v>
      </c>
      <c r="G108">
        <v>5</v>
      </c>
      <c r="I108">
        <v>3</v>
      </c>
      <c r="J108">
        <f t="shared" si="56"/>
        <v>455.66526101788224</v>
      </c>
      <c r="K108">
        <f t="shared" si="56"/>
        <v>434.48288497590715</v>
      </c>
      <c r="L108">
        <f t="shared" si="56"/>
        <v>421.09340456047892</v>
      </c>
      <c r="M108">
        <f t="shared" si="56"/>
        <v>389.22898644783197</v>
      </c>
      <c r="N108">
        <f t="shared" si="56"/>
        <v>363.55446016285782</v>
      </c>
      <c r="O108">
        <f t="shared" si="56"/>
        <v>356.86060089835217</v>
      </c>
      <c r="P108">
        <f t="shared" si="56"/>
        <v>340.33143641066846</v>
      </c>
      <c r="Q108">
        <f t="shared" si="56"/>
        <v>328.12054099195166</v>
      </c>
      <c r="R108">
        <f t="shared" si="56"/>
        <v>317.40280505907509</v>
      </c>
      <c r="S108">
        <f t="shared" si="56"/>
        <v>307.92013142616673</v>
      </c>
      <c r="T108">
        <f t="shared" si="56"/>
        <v>299.47066615273445</v>
      </c>
      <c r="U108">
        <f t="shared" si="56"/>
        <v>291.89426974659284</v>
      </c>
      <c r="V108">
        <f t="shared" si="57"/>
        <v>358.8354539875416</v>
      </c>
    </row>
    <row r="109" spans="1:22" x14ac:dyDescent="0.25">
      <c r="A109">
        <v>56</v>
      </c>
      <c r="B109">
        <f>'הזנת נתונים'!A56</f>
        <v>626.66666666666902</v>
      </c>
      <c r="C109" s="27">
        <f t="shared" si="52"/>
        <v>683.53229077917388</v>
      </c>
      <c r="D109">
        <f t="shared" si="53"/>
        <v>56.865624112504861</v>
      </c>
      <c r="E109">
        <f t="shared" si="54"/>
        <v>3233.6992057046941</v>
      </c>
      <c r="G109">
        <v>5</v>
      </c>
    </row>
    <row r="110" spans="1:22" x14ac:dyDescent="0.25">
      <c r="A110">
        <v>57</v>
      </c>
      <c r="B110">
        <f>'הזנת נתונים'!A57</f>
        <v>637.66666666666902</v>
      </c>
      <c r="C110" s="27">
        <f t="shared" si="52"/>
        <v>721.07470190053482</v>
      </c>
      <c r="D110">
        <f t="shared" si="53"/>
        <v>83.408035233865803</v>
      </c>
      <c r="E110">
        <f t="shared" si="54"/>
        <v>6956.9003415737989</v>
      </c>
      <c r="G110">
        <v>5</v>
      </c>
    </row>
    <row r="111" spans="1:22" x14ac:dyDescent="0.25">
      <c r="A111">
        <v>58</v>
      </c>
      <c r="B111">
        <f>'הזנת נתונים'!A58</f>
        <v>648.66666666666902</v>
      </c>
      <c r="C111" s="27">
        <f t="shared" si="52"/>
        <v>758.61711302189576</v>
      </c>
      <c r="D111">
        <f t="shared" si="53"/>
        <v>109.95044635522675</v>
      </c>
      <c r="E111">
        <f t="shared" si="54"/>
        <v>12089.100653713595</v>
      </c>
      <c r="G111">
        <v>5</v>
      </c>
    </row>
    <row r="112" spans="1:22" x14ac:dyDescent="0.25">
      <c r="A112">
        <v>59</v>
      </c>
      <c r="B112">
        <f>'הזנת נתונים'!A59</f>
        <v>659.66666666666902</v>
      </c>
      <c r="C112" s="27">
        <f t="shared" si="52"/>
        <v>796.15952414325648</v>
      </c>
      <c r="D112">
        <f t="shared" si="53"/>
        <v>136.49285747658746</v>
      </c>
      <c r="E112">
        <f t="shared" si="54"/>
        <v>18630.300142124019</v>
      </c>
      <c r="G112">
        <v>5</v>
      </c>
      <c r="I112" s="7" t="s">
        <v>1</v>
      </c>
      <c r="J112" s="7">
        <v>1</v>
      </c>
      <c r="K112" s="7">
        <v>2</v>
      </c>
      <c r="L112">
        <v>3</v>
      </c>
    </row>
    <row r="113" spans="1:17" x14ac:dyDescent="0.25">
      <c r="A113">
        <v>60</v>
      </c>
      <c r="B113">
        <f>'הזנת נתונים'!A60</f>
        <v>670.66666666666902</v>
      </c>
      <c r="C113" s="27">
        <f t="shared" si="52"/>
        <v>833.70193526461719</v>
      </c>
      <c r="D113">
        <f t="shared" si="53"/>
        <v>163.03526859794817</v>
      </c>
      <c r="E113">
        <f t="shared" si="54"/>
        <v>26580.498806805106</v>
      </c>
      <c r="G113">
        <v>5</v>
      </c>
      <c r="I113" s="7" t="s">
        <v>0</v>
      </c>
      <c r="J113" s="7">
        <f>V106</f>
        <v>78.293370202270893</v>
      </c>
      <c r="K113" s="7">
        <f>V107</f>
        <v>218.06686537484708</v>
      </c>
      <c r="L113">
        <f>V108</f>
        <v>358.8354539875416</v>
      </c>
    </row>
    <row r="115" spans="1:17" x14ac:dyDescent="0.25">
      <c r="I115" s="7" t="s">
        <v>97</v>
      </c>
      <c r="J115" s="7" t="s">
        <v>13</v>
      </c>
      <c r="K115" s="7">
        <f>COUNT(J113:L113)</f>
        <v>3</v>
      </c>
      <c r="Q115" s="40" t="s">
        <v>99</v>
      </c>
    </row>
    <row r="116" spans="1:17" x14ac:dyDescent="0.25">
      <c r="I116" s="7"/>
      <c r="J116" s="7" t="s">
        <v>0</v>
      </c>
      <c r="K116" s="7">
        <f>SUM(J113:L113)</f>
        <v>655.19568956465957</v>
      </c>
      <c r="Q116" s="40">
        <f>J102</f>
        <v>0.62692219729135157</v>
      </c>
    </row>
    <row r="117" spans="1:17" x14ac:dyDescent="0.25">
      <c r="I117" s="7"/>
      <c r="J117" s="7" t="s">
        <v>1</v>
      </c>
      <c r="K117" s="7">
        <f>SUM(J112:L112)</f>
        <v>6</v>
      </c>
      <c r="Q117" s="40">
        <f>K102</f>
        <v>0.68280403423282987</v>
      </c>
    </row>
    <row r="118" spans="1:17" x14ac:dyDescent="0.25">
      <c r="I118" s="7"/>
      <c r="J118" s="7" t="s">
        <v>14</v>
      </c>
      <c r="K118" s="7">
        <f>SUM(J123:L123)</f>
        <v>14</v>
      </c>
      <c r="Q118" s="40">
        <f>L102</f>
        <v>0.73063758143587787</v>
      </c>
    </row>
    <row r="119" spans="1:17" x14ac:dyDescent="0.25">
      <c r="I119" s="7"/>
      <c r="J119" s="7" t="s">
        <v>15</v>
      </c>
      <c r="K119" s="7">
        <f>SUM(J124:L124)</f>
        <v>1590.9334629145899</v>
      </c>
      <c r="Q119" s="40">
        <f>M102</f>
        <v>0.81871257733107861</v>
      </c>
    </row>
    <row r="120" spans="1:17" x14ac:dyDescent="0.25">
      <c r="Q120" s="40">
        <f>N102</f>
        <v>0.90678757322627968</v>
      </c>
    </row>
    <row r="121" spans="1:17" x14ac:dyDescent="0.25">
      <c r="Q121" s="40">
        <f>O102</f>
        <v>0.95462112042932745</v>
      </c>
    </row>
    <row r="122" spans="1:17" x14ac:dyDescent="0.25">
      <c r="I122" s="47" t="s">
        <v>18</v>
      </c>
      <c r="J122" s="47"/>
      <c r="K122" s="47"/>
      <c r="L122" s="47"/>
      <c r="Q122" s="40">
        <f>P102</f>
        <v>1.033306444963026</v>
      </c>
    </row>
    <row r="123" spans="1:17" x14ac:dyDescent="0.25">
      <c r="I123" s="47" t="s">
        <v>14</v>
      </c>
      <c r="J123" s="47">
        <f>J112^2</f>
        <v>1</v>
      </c>
      <c r="K123" s="47">
        <f>K112^2</f>
        <v>4</v>
      </c>
      <c r="L123" s="47">
        <f>L112^2</f>
        <v>9</v>
      </c>
      <c r="Q123" s="40">
        <f>Q102</f>
        <v>1.1052848613813657</v>
      </c>
    </row>
    <row r="124" spans="1:17" x14ac:dyDescent="0.25">
      <c r="I124" s="47" t="s">
        <v>15</v>
      </c>
      <c r="J124" s="47">
        <f>J113*J112</f>
        <v>78.293370202270893</v>
      </c>
      <c r="K124" s="47">
        <f>K113*K112</f>
        <v>436.13373074969417</v>
      </c>
      <c r="L124" s="47">
        <f>L113*L112</f>
        <v>1076.5063619626249</v>
      </c>
      <c r="Q124" s="40">
        <f>R102</f>
        <v>1.1772632777997065</v>
      </c>
    </row>
    <row r="125" spans="1:17" x14ac:dyDescent="0.25">
      <c r="Q125" s="40">
        <f>S102</f>
        <v>1.2492416942180462</v>
      </c>
    </row>
    <row r="126" spans="1:17" x14ac:dyDescent="0.25">
      <c r="Q126" s="40">
        <f>T102</f>
        <v>1.3212201106363859</v>
      </c>
    </row>
    <row r="127" spans="1:17" x14ac:dyDescent="0.25">
      <c r="Q127" s="40">
        <f>U102</f>
        <v>1.3931985270547258</v>
      </c>
    </row>
    <row r="128" spans="1:17" x14ac:dyDescent="0.25">
      <c r="I128" t="s">
        <v>80</v>
      </c>
      <c r="J128">
        <f>(K115*K119-K116*K117)/(K115*K118-(K117)^2)</f>
        <v>140.27104189263537</v>
      </c>
    </row>
    <row r="129" spans="9:25" x14ac:dyDescent="0.25">
      <c r="I129" t="s">
        <v>7</v>
      </c>
      <c r="J129">
        <f>(K116-J128*K117)/(K115)</f>
        <v>-62.143520597050873</v>
      </c>
    </row>
    <row r="132" spans="9:25" x14ac:dyDescent="0.25"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</row>
    <row r="135" spans="9:25" x14ac:dyDescent="0.25">
      <c r="I135" t="s">
        <v>65</v>
      </c>
      <c r="J135" t="s">
        <v>63</v>
      </c>
      <c r="K135" t="s">
        <v>64</v>
      </c>
      <c r="L135" t="s">
        <v>66</v>
      </c>
      <c r="M135" t="s">
        <v>67</v>
      </c>
      <c r="N135" t="s">
        <v>68</v>
      </c>
      <c r="O135" t="s">
        <v>69</v>
      </c>
      <c r="P135" t="s">
        <v>70</v>
      </c>
      <c r="Q135" t="s">
        <v>71</v>
      </c>
      <c r="R135" t="s">
        <v>72</v>
      </c>
      <c r="S135" t="s">
        <v>73</v>
      </c>
      <c r="T135" t="s">
        <v>74</v>
      </c>
      <c r="U135" t="s">
        <v>75</v>
      </c>
      <c r="V135" t="s">
        <v>76</v>
      </c>
    </row>
    <row r="136" spans="9:25" x14ac:dyDescent="0.25">
      <c r="I136">
        <v>1</v>
      </c>
      <c r="J136">
        <f>B2</f>
        <v>28</v>
      </c>
      <c r="K136">
        <f t="shared" ref="K136:U136" si="58">C2</f>
        <v>35</v>
      </c>
      <c r="L136">
        <f t="shared" si="58"/>
        <v>40</v>
      </c>
      <c r="M136">
        <f t="shared" si="58"/>
        <v>55</v>
      </c>
      <c r="N136">
        <f t="shared" si="58"/>
        <v>70</v>
      </c>
      <c r="O136">
        <f t="shared" si="58"/>
        <v>75</v>
      </c>
      <c r="P136">
        <f t="shared" si="58"/>
        <v>87.6666666666667</v>
      </c>
      <c r="Q136">
        <f t="shared" si="58"/>
        <v>98.6666666666667</v>
      </c>
      <c r="R136">
        <f t="shared" si="58"/>
        <v>109.666666666667</v>
      </c>
      <c r="S136">
        <f t="shared" si="58"/>
        <v>120.666666666667</v>
      </c>
      <c r="T136">
        <f t="shared" si="58"/>
        <v>131.666666666667</v>
      </c>
      <c r="U136">
        <f t="shared" si="58"/>
        <v>142.666666666667</v>
      </c>
      <c r="V136">
        <f>AVERAGE(J136:U136)</f>
        <v>82.833333333333442</v>
      </c>
    </row>
    <row r="137" spans="9:25" x14ac:dyDescent="0.25">
      <c r="I137">
        <v>2</v>
      </c>
      <c r="J137">
        <f t="shared" ref="J137:J138" si="59">B3</f>
        <v>153.666666666667</v>
      </c>
      <c r="K137">
        <f t="shared" ref="K137:K139" si="60">C3</f>
        <v>164.666666666667</v>
      </c>
      <c r="L137">
        <f t="shared" ref="L137:L139" si="61">D3</f>
        <v>175.666666666667</v>
      </c>
      <c r="M137">
        <f t="shared" ref="M137:M139" si="62">E3</f>
        <v>186.666666666667</v>
      </c>
      <c r="N137">
        <f t="shared" ref="N137:N139" si="63">F3</f>
        <v>197.666666666667</v>
      </c>
      <c r="O137">
        <f t="shared" ref="O137:O139" si="64">G3</f>
        <v>208.666666666667</v>
      </c>
      <c r="P137">
        <f t="shared" ref="P137:P139" si="65">H3</f>
        <v>219.666666666667</v>
      </c>
      <c r="Q137">
        <f t="shared" ref="Q137:Q139" si="66">I3</f>
        <v>230.666666666667</v>
      </c>
      <c r="R137">
        <f t="shared" ref="R137:R139" si="67">J3</f>
        <v>241.666666666667</v>
      </c>
      <c r="S137">
        <f t="shared" ref="S137:S139" si="68">K3</f>
        <v>252.666666666667</v>
      </c>
      <c r="T137">
        <f t="shared" ref="T137:T139" si="69">L3</f>
        <v>263.66666666666703</v>
      </c>
      <c r="U137">
        <f t="shared" ref="U137:U139" si="70">M3</f>
        <v>274.66666666666703</v>
      </c>
      <c r="V137">
        <f t="shared" ref="V137:V139" si="71">AVERAGE(J137:U137)</f>
        <v>214.166666666667</v>
      </c>
    </row>
    <row r="138" spans="9:25" x14ac:dyDescent="0.25">
      <c r="I138">
        <v>3</v>
      </c>
      <c r="J138">
        <f t="shared" si="59"/>
        <v>285.66666666666799</v>
      </c>
      <c r="K138">
        <f t="shared" si="60"/>
        <v>296.66666666666799</v>
      </c>
      <c r="L138">
        <f t="shared" si="61"/>
        <v>307.66666666666799</v>
      </c>
      <c r="M138">
        <f t="shared" si="62"/>
        <v>318.66666666666799</v>
      </c>
      <c r="N138">
        <f t="shared" si="63"/>
        <v>329.66666666666799</v>
      </c>
      <c r="O138">
        <f t="shared" si="64"/>
        <v>340.66666666666799</v>
      </c>
      <c r="P138">
        <f t="shared" si="65"/>
        <v>351.66666666666799</v>
      </c>
      <c r="Q138">
        <f t="shared" si="66"/>
        <v>362.66666666666799</v>
      </c>
      <c r="R138">
        <f t="shared" si="67"/>
        <v>373.66666666666799</v>
      </c>
      <c r="S138">
        <f t="shared" si="68"/>
        <v>384.66666666666799</v>
      </c>
      <c r="T138">
        <f t="shared" si="69"/>
        <v>395.66666666666799</v>
      </c>
      <c r="U138">
        <f t="shared" si="70"/>
        <v>406.66666666666799</v>
      </c>
      <c r="V138">
        <f t="shared" si="71"/>
        <v>346.16666666666794</v>
      </c>
    </row>
    <row r="139" spans="9:25" x14ac:dyDescent="0.25">
      <c r="I139">
        <v>4</v>
      </c>
      <c r="J139">
        <f>B5</f>
        <v>417.66666666666799</v>
      </c>
      <c r="K139">
        <f t="shared" si="60"/>
        <v>428.66666666666902</v>
      </c>
      <c r="L139">
        <f t="shared" si="61"/>
        <v>439.66666666666902</v>
      </c>
      <c r="M139">
        <f t="shared" si="62"/>
        <v>450.66666666666902</v>
      </c>
      <c r="N139">
        <f t="shared" si="63"/>
        <v>461.66666666666902</v>
      </c>
      <c r="O139">
        <f t="shared" si="64"/>
        <v>472.66666666666902</v>
      </c>
      <c r="P139">
        <f t="shared" si="65"/>
        <v>483.66666666666902</v>
      </c>
      <c r="Q139">
        <f t="shared" si="66"/>
        <v>494.66666666666902</v>
      </c>
      <c r="R139">
        <f t="shared" si="67"/>
        <v>505.66666666666799</v>
      </c>
      <c r="S139">
        <f t="shared" si="68"/>
        <v>516.66666666666902</v>
      </c>
      <c r="T139">
        <f t="shared" si="69"/>
        <v>527.66666666666902</v>
      </c>
      <c r="U139">
        <f t="shared" si="70"/>
        <v>538.66666666666902</v>
      </c>
      <c r="V139">
        <f t="shared" si="71"/>
        <v>478.16666666666873</v>
      </c>
    </row>
    <row r="142" spans="9:25" x14ac:dyDescent="0.25">
      <c r="I142" t="s">
        <v>65</v>
      </c>
      <c r="J142" t="s">
        <v>63</v>
      </c>
      <c r="K142" t="s">
        <v>64</v>
      </c>
      <c r="L142" t="s">
        <v>66</v>
      </c>
      <c r="M142" t="s">
        <v>67</v>
      </c>
      <c r="N142" t="s">
        <v>68</v>
      </c>
      <c r="O142" t="s">
        <v>69</v>
      </c>
      <c r="P142" t="s">
        <v>70</v>
      </c>
      <c r="Q142" t="s">
        <v>71</v>
      </c>
      <c r="R142" t="s">
        <v>72</v>
      </c>
      <c r="S142" t="s">
        <v>73</v>
      </c>
      <c r="T142" t="s">
        <v>74</v>
      </c>
      <c r="U142" t="s">
        <v>75</v>
      </c>
    </row>
    <row r="143" spans="9:25" x14ac:dyDescent="0.25">
      <c r="I143">
        <v>1</v>
      </c>
      <c r="J143">
        <f>J136/$V136</f>
        <v>0.33802816901408406</v>
      </c>
      <c r="K143">
        <f t="shared" ref="K143:U143" si="72">K136/$V136</f>
        <v>0.42253521126760507</v>
      </c>
      <c r="L143">
        <f t="shared" si="72"/>
        <v>0.4828973843058344</v>
      </c>
      <c r="M143">
        <f t="shared" si="72"/>
        <v>0.66398390342052227</v>
      </c>
      <c r="N143">
        <f t="shared" si="72"/>
        <v>0.84507042253521014</v>
      </c>
      <c r="O143">
        <f t="shared" si="72"/>
        <v>0.90543259557343947</v>
      </c>
      <c r="P143">
        <f t="shared" si="72"/>
        <v>1.0583501006036207</v>
      </c>
      <c r="Q143">
        <f t="shared" si="72"/>
        <v>1.1911468812877253</v>
      </c>
      <c r="R143">
        <f t="shared" si="72"/>
        <v>1.3239436619718332</v>
      </c>
      <c r="S143">
        <f t="shared" si="72"/>
        <v>1.4567404426559376</v>
      </c>
      <c r="T143">
        <f t="shared" si="72"/>
        <v>1.5895372233400422</v>
      </c>
      <c r="U143">
        <f t="shared" si="72"/>
        <v>1.7223340040241466</v>
      </c>
    </row>
    <row r="144" spans="9:25" x14ac:dyDescent="0.25">
      <c r="I144">
        <v>2</v>
      </c>
      <c r="J144">
        <f t="shared" ref="J144:U144" si="73">J137/$V137</f>
        <v>0.71750972762645959</v>
      </c>
      <c r="K144">
        <f t="shared" si="73"/>
        <v>0.76887159533073968</v>
      </c>
      <c r="L144">
        <f t="shared" si="73"/>
        <v>0.82023346303501976</v>
      </c>
      <c r="M144">
        <f t="shared" si="73"/>
        <v>0.87159533073929985</v>
      </c>
      <c r="N144">
        <f t="shared" si="73"/>
        <v>0.92295719844357993</v>
      </c>
      <c r="O144">
        <f t="shared" si="73"/>
        <v>0.97431906614786001</v>
      </c>
      <c r="P144">
        <f t="shared" si="73"/>
        <v>1.02568093385214</v>
      </c>
      <c r="Q144">
        <f t="shared" si="73"/>
        <v>1.0770428015564202</v>
      </c>
      <c r="R144">
        <f t="shared" si="73"/>
        <v>1.1284046692607002</v>
      </c>
      <c r="S144">
        <f t="shared" si="73"/>
        <v>1.1797665369649804</v>
      </c>
      <c r="T144">
        <f t="shared" si="73"/>
        <v>1.2311284046692605</v>
      </c>
      <c r="U144">
        <f t="shared" si="73"/>
        <v>1.2824902723735405</v>
      </c>
    </row>
    <row r="145" spans="9:22" x14ac:dyDescent="0.25">
      <c r="I145">
        <v>3</v>
      </c>
      <c r="J145">
        <f t="shared" ref="J145:U145" si="74">J138/$V138</f>
        <v>0.82522869523351072</v>
      </c>
      <c r="K145">
        <f t="shared" si="74"/>
        <v>0.85700529610014509</v>
      </c>
      <c r="L145">
        <f t="shared" si="74"/>
        <v>0.88878189696677956</v>
      </c>
      <c r="M145">
        <f t="shared" si="74"/>
        <v>0.92055849783341404</v>
      </c>
      <c r="N145">
        <f t="shared" si="74"/>
        <v>0.95233509870004851</v>
      </c>
      <c r="O145">
        <f t="shared" si="74"/>
        <v>0.98411169956668298</v>
      </c>
      <c r="P145">
        <f t="shared" si="74"/>
        <v>1.0158883004333175</v>
      </c>
      <c r="Q145">
        <f t="shared" si="74"/>
        <v>1.0476649012999519</v>
      </c>
      <c r="R145">
        <f t="shared" si="74"/>
        <v>1.0794415021665862</v>
      </c>
      <c r="S145">
        <f t="shared" si="74"/>
        <v>1.1112181030332207</v>
      </c>
      <c r="T145">
        <f t="shared" si="74"/>
        <v>1.1429947038998551</v>
      </c>
      <c r="U145">
        <f t="shared" si="74"/>
        <v>1.1747713047664896</v>
      </c>
    </row>
    <row r="146" spans="9:22" x14ac:dyDescent="0.25">
      <c r="I146">
        <v>4</v>
      </c>
      <c r="J146">
        <f t="shared" ref="J146:U146" si="75">J139/$V139</f>
        <v>0.8734750784245372</v>
      </c>
      <c r="K146">
        <f t="shared" si="75"/>
        <v>0.89647960962007778</v>
      </c>
      <c r="L146">
        <f t="shared" si="75"/>
        <v>0.91948414081561614</v>
      </c>
      <c r="M146">
        <f t="shared" si="75"/>
        <v>0.9424886720111546</v>
      </c>
      <c r="N146">
        <f t="shared" si="75"/>
        <v>0.96549320320669296</v>
      </c>
      <c r="O146">
        <f t="shared" si="75"/>
        <v>0.98849773440223143</v>
      </c>
      <c r="P146">
        <f t="shared" si="75"/>
        <v>1.0115022655977699</v>
      </c>
      <c r="Q146">
        <f t="shared" si="75"/>
        <v>1.0345067967933081</v>
      </c>
      <c r="R146">
        <f t="shared" si="75"/>
        <v>1.0575113279888444</v>
      </c>
      <c r="S146">
        <f t="shared" si="75"/>
        <v>1.0805158591843851</v>
      </c>
      <c r="T146">
        <f t="shared" si="75"/>
        <v>1.1035203903799236</v>
      </c>
      <c r="U146">
        <f t="shared" si="75"/>
        <v>1.1265249215754618</v>
      </c>
    </row>
    <row r="147" spans="9:22" x14ac:dyDescent="0.25">
      <c r="I147" t="s">
        <v>77</v>
      </c>
      <c r="J147">
        <f>AVERAGE(J143:J146)</f>
        <v>0.68856041757464792</v>
      </c>
      <c r="K147">
        <f t="shared" ref="K147:U147" si="76">AVERAGE(K143:K146)</f>
        <v>0.73622292807964185</v>
      </c>
      <c r="L147">
        <f t="shared" si="76"/>
        <v>0.77784922128081246</v>
      </c>
      <c r="M147">
        <f t="shared" si="76"/>
        <v>0.84965660100109763</v>
      </c>
      <c r="N147">
        <f t="shared" si="76"/>
        <v>0.92146398072138291</v>
      </c>
      <c r="O147">
        <f t="shared" si="76"/>
        <v>0.96309027392255353</v>
      </c>
      <c r="P147">
        <f t="shared" si="76"/>
        <v>1.0278554001217119</v>
      </c>
      <c r="Q147">
        <f t="shared" si="76"/>
        <v>1.0875903452343514</v>
      </c>
      <c r="R147">
        <f t="shared" si="76"/>
        <v>1.147325290346991</v>
      </c>
      <c r="S147">
        <f t="shared" si="76"/>
        <v>1.2070602354596309</v>
      </c>
      <c r="T147">
        <f t="shared" si="76"/>
        <v>1.2667951805722704</v>
      </c>
      <c r="U147">
        <f t="shared" si="76"/>
        <v>1.3265301256849098</v>
      </c>
    </row>
    <row r="150" spans="9:22" x14ac:dyDescent="0.25">
      <c r="I150" t="s">
        <v>65</v>
      </c>
      <c r="J150" t="s">
        <v>63</v>
      </c>
      <c r="K150" t="s">
        <v>64</v>
      </c>
      <c r="L150" t="s">
        <v>66</v>
      </c>
      <c r="M150" t="s">
        <v>67</v>
      </c>
      <c r="N150" t="s">
        <v>68</v>
      </c>
      <c r="O150" t="s">
        <v>69</v>
      </c>
      <c r="P150" t="s">
        <v>70</v>
      </c>
      <c r="Q150" t="s">
        <v>71</v>
      </c>
      <c r="R150" t="s">
        <v>72</v>
      </c>
      <c r="S150" t="s">
        <v>73</v>
      </c>
      <c r="T150" t="s">
        <v>74</v>
      </c>
      <c r="U150" t="s">
        <v>75</v>
      </c>
      <c r="V150" t="s">
        <v>98</v>
      </c>
    </row>
    <row r="151" spans="9:22" x14ac:dyDescent="0.25">
      <c r="I151">
        <v>1</v>
      </c>
      <c r="J151">
        <f>J136/J$147</f>
        <v>40.664550684783556</v>
      </c>
      <c r="K151">
        <f t="shared" ref="K151:U151" si="77">K136/K$147</f>
        <v>47.539948383968053</v>
      </c>
      <c r="L151">
        <f t="shared" si="77"/>
        <v>51.423847843076445</v>
      </c>
      <c r="M151">
        <f t="shared" si="77"/>
        <v>64.732034018445702</v>
      </c>
      <c r="N151">
        <f t="shared" si="77"/>
        <v>75.966072971402937</v>
      </c>
      <c r="O151">
        <f t="shared" si="77"/>
        <v>77.874319812756298</v>
      </c>
      <c r="P151">
        <f t="shared" si="77"/>
        <v>85.290855752945191</v>
      </c>
      <c r="Q151">
        <f t="shared" si="77"/>
        <v>90.720432650959438</v>
      </c>
      <c r="R151">
        <f t="shared" si="77"/>
        <v>95.584632875563983</v>
      </c>
      <c r="S151">
        <f t="shared" si="77"/>
        <v>99.967394436383614</v>
      </c>
      <c r="T151">
        <f t="shared" si="77"/>
        <v>103.93682316283129</v>
      </c>
      <c r="U151">
        <f t="shared" si="77"/>
        <v>107.54875739667487</v>
      </c>
      <c r="V151">
        <f>AVERAGE(J151:U151)</f>
        <v>78.43747249914928</v>
      </c>
    </row>
    <row r="152" spans="9:22" x14ac:dyDescent="0.25">
      <c r="I152">
        <v>2</v>
      </c>
      <c r="J152">
        <f t="shared" ref="J152:U152" si="78">J137/J$147</f>
        <v>223.17092697244357</v>
      </c>
      <c r="K152">
        <f t="shared" si="78"/>
        <v>223.66413811124065</v>
      </c>
      <c r="L152">
        <f t="shared" si="78"/>
        <v>225.8363984441778</v>
      </c>
      <c r="M152">
        <f t="shared" si="78"/>
        <v>219.69660030502823</v>
      </c>
      <c r="N152">
        <f t="shared" si="78"/>
        <v>214.5137203430572</v>
      </c>
      <c r="O152">
        <f t="shared" si="78"/>
        <v>216.6636631234912</v>
      </c>
      <c r="P152">
        <f t="shared" si="78"/>
        <v>213.71358913000361</v>
      </c>
      <c r="Q152">
        <f t="shared" si="78"/>
        <v>212.08966011643244</v>
      </c>
      <c r="R152">
        <f t="shared" si="78"/>
        <v>210.63482928505707</v>
      </c>
      <c r="S152">
        <f t="shared" si="78"/>
        <v>209.32399166513443</v>
      </c>
      <c r="T152">
        <f t="shared" si="78"/>
        <v>208.13677752354292</v>
      </c>
      <c r="U152">
        <f t="shared" si="78"/>
        <v>207.05648620294394</v>
      </c>
      <c r="V152">
        <f t="shared" ref="V152:V154" si="79">AVERAGE(J152:U152)</f>
        <v>215.37506510187947</v>
      </c>
    </row>
    <row r="153" spans="9:22" x14ac:dyDescent="0.25">
      <c r="I153">
        <v>3</v>
      </c>
      <c r="J153">
        <f t="shared" ref="J153:U153" si="80">J138/J$147</f>
        <v>414.87523734356751</v>
      </c>
      <c r="K153">
        <f t="shared" si="80"/>
        <v>402.95765773077864</v>
      </c>
      <c r="L153">
        <f t="shared" si="80"/>
        <v>395.53509632633137</v>
      </c>
      <c r="M153">
        <f t="shared" si="80"/>
        <v>375.05348194929911</v>
      </c>
      <c r="N153">
        <f t="shared" si="80"/>
        <v>357.7640293748467</v>
      </c>
      <c r="O153">
        <f t="shared" si="80"/>
        <v>353.72246599394333</v>
      </c>
      <c r="P153">
        <f t="shared" si="80"/>
        <v>342.13632250706269</v>
      </c>
      <c r="Q153">
        <f t="shared" si="80"/>
        <v>333.45888758190608</v>
      </c>
      <c r="R153">
        <f t="shared" si="80"/>
        <v>325.68502569455103</v>
      </c>
      <c r="S153">
        <f t="shared" si="80"/>
        <v>318.68058889388607</v>
      </c>
      <c r="T153">
        <f t="shared" si="80"/>
        <v>312.3367318842553</v>
      </c>
      <c r="U153">
        <f t="shared" si="80"/>
        <v>306.56421500921374</v>
      </c>
      <c r="V153">
        <f t="shared" si="79"/>
        <v>353.23081169080348</v>
      </c>
    </row>
    <row r="154" spans="9:22" x14ac:dyDescent="0.25">
      <c r="I154">
        <v>4</v>
      </c>
      <c r="J154">
        <f t="shared" ref="J154:U154" si="81">J139/J$147</f>
        <v>606.57954771468997</v>
      </c>
      <c r="K154">
        <f t="shared" si="81"/>
        <v>582.25117735031677</v>
      </c>
      <c r="L154">
        <f t="shared" si="81"/>
        <v>565.23379420848494</v>
      </c>
      <c r="M154">
        <f t="shared" si="81"/>
        <v>530.41036359356997</v>
      </c>
      <c r="N154">
        <f t="shared" si="81"/>
        <v>501.01433840663617</v>
      </c>
      <c r="O154">
        <f t="shared" si="81"/>
        <v>490.78126886439549</v>
      </c>
      <c r="P154">
        <f t="shared" si="81"/>
        <v>470.55905588412179</v>
      </c>
      <c r="Q154">
        <f t="shared" si="81"/>
        <v>454.82811504737975</v>
      </c>
      <c r="R154">
        <f t="shared" si="81"/>
        <v>440.73522210404411</v>
      </c>
      <c r="S154">
        <f t="shared" si="81"/>
        <v>428.03718612263776</v>
      </c>
      <c r="T154">
        <f t="shared" si="81"/>
        <v>416.53668624496771</v>
      </c>
      <c r="U154">
        <f t="shared" si="81"/>
        <v>406.07194381548356</v>
      </c>
      <c r="V154">
        <f t="shared" si="79"/>
        <v>491.08655827972729</v>
      </c>
    </row>
    <row r="157" spans="9:22" x14ac:dyDescent="0.25">
      <c r="I157" s="7" t="s">
        <v>1</v>
      </c>
      <c r="J157" s="7">
        <v>1</v>
      </c>
      <c r="K157" s="7">
        <v>2</v>
      </c>
      <c r="L157">
        <v>3</v>
      </c>
      <c r="M157">
        <v>4</v>
      </c>
    </row>
    <row r="158" spans="9:22" x14ac:dyDescent="0.25">
      <c r="I158" s="7" t="s">
        <v>0</v>
      </c>
      <c r="J158" s="7">
        <f>V151</f>
        <v>78.43747249914928</v>
      </c>
      <c r="K158" s="7">
        <f>V152</f>
        <v>215.37506510187947</v>
      </c>
      <c r="L158">
        <f>V153</f>
        <v>353.23081169080348</v>
      </c>
      <c r="M158">
        <f>V154</f>
        <v>491.08655827972729</v>
      </c>
    </row>
    <row r="160" spans="9:22" x14ac:dyDescent="0.25">
      <c r="I160" s="7" t="s">
        <v>97</v>
      </c>
      <c r="J160" s="7" t="s">
        <v>13</v>
      </c>
      <c r="K160" s="7">
        <f>COUNT(J158:M158)</f>
        <v>4</v>
      </c>
      <c r="Q160" s="40" t="s">
        <v>99</v>
      </c>
    </row>
    <row r="161" spans="9:17" x14ac:dyDescent="0.25">
      <c r="I161" s="7"/>
      <c r="J161" s="7" t="s">
        <v>0</v>
      </c>
      <c r="K161" s="7">
        <f>SUM(J158:M158)</f>
        <v>1138.1299075715594</v>
      </c>
      <c r="Q161" s="40">
        <f>J147</f>
        <v>0.68856041757464792</v>
      </c>
    </row>
    <row r="162" spans="9:17" x14ac:dyDescent="0.25">
      <c r="I162" s="7"/>
      <c r="J162" s="7" t="s">
        <v>1</v>
      </c>
      <c r="K162" s="7">
        <f>SUM(J157:M157)</f>
        <v>10</v>
      </c>
      <c r="Q162" s="40">
        <f>K147</f>
        <v>0.73622292807964185</v>
      </c>
    </row>
    <row r="163" spans="9:17" x14ac:dyDescent="0.25">
      <c r="I163" s="7"/>
      <c r="J163" s="7" t="s">
        <v>14</v>
      </c>
      <c r="K163" s="7">
        <f>SUM(J168:M168)</f>
        <v>30</v>
      </c>
      <c r="Q163" s="40">
        <f>L147</f>
        <v>0.77784922128081246</v>
      </c>
    </row>
    <row r="164" spans="9:17" x14ac:dyDescent="0.25">
      <c r="I164" s="7"/>
      <c r="J164" s="7" t="s">
        <v>15</v>
      </c>
      <c r="K164" s="7">
        <f>SUM(J169:M169)</f>
        <v>3533.226270894228</v>
      </c>
      <c r="Q164" s="40">
        <f>M147</f>
        <v>0.84965660100109763</v>
      </c>
    </row>
    <row r="165" spans="9:17" x14ac:dyDescent="0.25">
      <c r="Q165" s="40">
        <f>N147</f>
        <v>0.92146398072138291</v>
      </c>
    </row>
    <row r="166" spans="9:17" x14ac:dyDescent="0.25">
      <c r="Q166" s="40">
        <f>O147</f>
        <v>0.96309027392255353</v>
      </c>
    </row>
    <row r="167" spans="9:17" x14ac:dyDescent="0.25">
      <c r="I167" s="47" t="s">
        <v>18</v>
      </c>
      <c r="J167" s="47"/>
      <c r="K167" s="47"/>
      <c r="L167" s="47"/>
      <c r="M167" s="47"/>
      <c r="Q167" s="40">
        <f>P147</f>
        <v>1.0278554001217119</v>
      </c>
    </row>
    <row r="168" spans="9:17" x14ac:dyDescent="0.25">
      <c r="I168" s="47" t="s">
        <v>14</v>
      </c>
      <c r="J168" s="47">
        <f>J157^2</f>
        <v>1</v>
      </c>
      <c r="K168" s="47">
        <f>K157^2</f>
        <v>4</v>
      </c>
      <c r="L168" s="47">
        <f>L157^2</f>
        <v>9</v>
      </c>
      <c r="M168" s="47">
        <f>M157^2</f>
        <v>16</v>
      </c>
      <c r="Q168" s="40">
        <f>Q147</f>
        <v>1.0875903452343514</v>
      </c>
    </row>
    <row r="169" spans="9:17" x14ac:dyDescent="0.25">
      <c r="I169" s="47" t="s">
        <v>15</v>
      </c>
      <c r="J169" s="47">
        <f>J158*J157</f>
        <v>78.43747249914928</v>
      </c>
      <c r="K169" s="47">
        <f>K158*K157</f>
        <v>430.75013020375894</v>
      </c>
      <c r="L169" s="47">
        <f>L158*L157</f>
        <v>1059.6924350724105</v>
      </c>
      <c r="M169" s="47">
        <f>M158*M157</f>
        <v>1964.3462331189091</v>
      </c>
      <c r="Q169" s="40">
        <f>R147</f>
        <v>1.147325290346991</v>
      </c>
    </row>
    <row r="170" spans="9:17" x14ac:dyDescent="0.25">
      <c r="Q170" s="40">
        <f>S147</f>
        <v>1.2070602354596309</v>
      </c>
    </row>
    <row r="171" spans="9:17" x14ac:dyDescent="0.25">
      <c r="Q171" s="40">
        <f>T147</f>
        <v>1.2667951805722704</v>
      </c>
    </row>
    <row r="172" spans="9:17" x14ac:dyDescent="0.25">
      <c r="Q172" s="40">
        <f>U147</f>
        <v>1.3265301256849098</v>
      </c>
    </row>
    <row r="173" spans="9:17" x14ac:dyDescent="0.25">
      <c r="I173" t="s">
        <v>80</v>
      </c>
      <c r="J173">
        <f>(K160*K164-K161*K162)/(K160*K163-(K162)^2)</f>
        <v>137.58030039306587</v>
      </c>
    </row>
    <row r="174" spans="9:17" x14ac:dyDescent="0.25">
      <c r="I174" t="s">
        <v>7</v>
      </c>
      <c r="J174">
        <f>(K161-J173*K162)/(K160)</f>
        <v>-59.418274089774798</v>
      </c>
    </row>
  </sheetData>
  <mergeCells count="1">
    <mergeCell ref="A50:M5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9E8EE-0BA8-44E0-85FF-36BCAC02381B}">
  <sheetPr codeName="גיליון17">
    <tabColor theme="9" tint="0.59999389629810485"/>
  </sheetPr>
  <dimension ref="A1:AA183"/>
  <sheetViews>
    <sheetView rightToLeft="1" zoomScale="40" zoomScaleNormal="40" workbookViewId="0"/>
  </sheetViews>
  <sheetFormatPr defaultRowHeight="13.8" x14ac:dyDescent="0.25"/>
  <cols>
    <col min="6" max="6" width="14.09765625" customWidth="1"/>
    <col min="14" max="14" width="11.8984375" bestFit="1" customWidth="1"/>
  </cols>
  <sheetData>
    <row r="1" spans="1:14" x14ac:dyDescent="0.25">
      <c r="A1" s="12" t="s">
        <v>65</v>
      </c>
      <c r="B1" s="14" t="s">
        <v>63</v>
      </c>
      <c r="C1" s="14" t="s">
        <v>64</v>
      </c>
      <c r="D1" s="14" t="s">
        <v>66</v>
      </c>
      <c r="E1" s="14" t="s">
        <v>67</v>
      </c>
      <c r="F1" s="14" t="s">
        <v>68</v>
      </c>
      <c r="G1" s="14" t="s">
        <v>69</v>
      </c>
      <c r="H1" s="14" t="s">
        <v>70</v>
      </c>
      <c r="I1" s="14" t="s">
        <v>71</v>
      </c>
      <c r="J1" s="14" t="s">
        <v>72</v>
      </c>
      <c r="K1" s="14" t="s">
        <v>73</v>
      </c>
      <c r="L1" s="14" t="s">
        <v>74</v>
      </c>
      <c r="M1" s="14" t="s">
        <v>75</v>
      </c>
      <c r="N1" s="8" t="s">
        <v>76</v>
      </c>
    </row>
    <row r="2" spans="1:14" x14ac:dyDescent="0.25">
      <c r="A2" s="29">
        <v>1</v>
      </c>
      <c r="B2" s="7">
        <f>'המרה למערך עונתי'!C6</f>
        <v>28</v>
      </c>
      <c r="C2" s="7">
        <f>'המרה למערך עונתי'!D6</f>
        <v>35</v>
      </c>
      <c r="D2" s="7">
        <f>'המרה למערך עונתי'!E6</f>
        <v>40</v>
      </c>
      <c r="E2" s="7">
        <f>'המרה למערך עונתי'!F6</f>
        <v>55</v>
      </c>
      <c r="F2" s="7">
        <f>'המרה למערך עונתי'!G6</f>
        <v>70</v>
      </c>
      <c r="G2" s="7">
        <f>'המרה למערך עונתי'!H6</f>
        <v>75</v>
      </c>
      <c r="H2" s="7">
        <f>'המרה למערך עונתי'!I6</f>
        <v>87.6666666666667</v>
      </c>
      <c r="I2" s="7">
        <f>'המרה למערך עונתי'!J6</f>
        <v>98.6666666666667</v>
      </c>
      <c r="J2" s="7">
        <f>'המרה למערך עונתי'!K6</f>
        <v>109.666666666667</v>
      </c>
      <c r="K2" s="7">
        <f>'המרה למערך עונתי'!L6</f>
        <v>120.666666666667</v>
      </c>
      <c r="L2" s="7">
        <f>'המרה למערך עונתי'!M6</f>
        <v>131.666666666667</v>
      </c>
      <c r="M2" s="7">
        <f>'המרה למערך עונתי'!N6</f>
        <v>142.666666666667</v>
      </c>
      <c r="N2" s="8">
        <f>AVERAGE(B2:M2)</f>
        <v>82.833333333333442</v>
      </c>
    </row>
    <row r="3" spans="1:14" x14ac:dyDescent="0.25">
      <c r="A3" s="29">
        <v>2</v>
      </c>
      <c r="B3" s="7">
        <f>'המרה למערך עונתי'!C7</f>
        <v>153.666666666667</v>
      </c>
      <c r="C3" s="7">
        <f>'המרה למערך עונתי'!D7</f>
        <v>164.666666666667</v>
      </c>
      <c r="D3" s="7">
        <f>'המרה למערך עונתי'!E7</f>
        <v>175.666666666667</v>
      </c>
      <c r="E3" s="7">
        <f>'המרה למערך עונתי'!F7</f>
        <v>186.666666666667</v>
      </c>
      <c r="F3" s="7">
        <f>'המרה למערך עונתי'!G7</f>
        <v>197.666666666667</v>
      </c>
      <c r="G3" s="7">
        <f>'המרה למערך עונתי'!H7</f>
        <v>208.666666666667</v>
      </c>
      <c r="H3" s="7">
        <f>'המרה למערך עונתי'!I7</f>
        <v>219.666666666667</v>
      </c>
      <c r="I3" s="7">
        <f>'המרה למערך עונתי'!J7</f>
        <v>230.666666666667</v>
      </c>
      <c r="J3" s="7">
        <f>'המרה למערך עונתי'!K7</f>
        <v>241.666666666667</v>
      </c>
      <c r="K3" s="7">
        <f>'המרה למערך עונתי'!L7</f>
        <v>252.666666666667</v>
      </c>
      <c r="L3" s="7">
        <f>'המרה למערך עונתי'!M7</f>
        <v>263.66666666666703</v>
      </c>
      <c r="M3" s="7">
        <f>'המרה למערך עונתי'!N7</f>
        <v>274.66666666666703</v>
      </c>
      <c r="N3" s="8">
        <f t="shared" ref="N3:N6" si="0">AVERAGE(B3:M3)</f>
        <v>214.166666666667</v>
      </c>
    </row>
    <row r="4" spans="1:14" x14ac:dyDescent="0.25">
      <c r="A4" s="29">
        <v>3</v>
      </c>
      <c r="B4" s="7">
        <f>'המרה למערך עונתי'!C8</f>
        <v>285.66666666666799</v>
      </c>
      <c r="C4" s="7">
        <f>'המרה למערך עונתי'!D8</f>
        <v>296.66666666666799</v>
      </c>
      <c r="D4" s="7">
        <f>'המרה למערך עונתי'!E8</f>
        <v>307.66666666666799</v>
      </c>
      <c r="E4" s="7">
        <f>'המרה למערך עונתי'!F8</f>
        <v>318.66666666666799</v>
      </c>
      <c r="F4" s="7">
        <f>'המרה למערך עונתי'!G8</f>
        <v>329.66666666666799</v>
      </c>
      <c r="G4" s="7">
        <f>'המרה למערך עונתי'!H8</f>
        <v>340.66666666666799</v>
      </c>
      <c r="H4" s="7">
        <f>'המרה למערך עונתי'!I8</f>
        <v>351.66666666666799</v>
      </c>
      <c r="I4" s="7">
        <f>'המרה למערך עונתי'!J8</f>
        <v>362.66666666666799</v>
      </c>
      <c r="J4" s="7">
        <f>'המרה למערך עונתי'!K8</f>
        <v>373.66666666666799</v>
      </c>
      <c r="K4" s="7">
        <f>'המרה למערך עונתי'!L8</f>
        <v>384.66666666666799</v>
      </c>
      <c r="L4" s="7">
        <f>'המרה למערך עונתי'!M8</f>
        <v>395.66666666666799</v>
      </c>
      <c r="M4" s="7">
        <f>'המרה למערך עונתי'!N8</f>
        <v>406.66666666666799</v>
      </c>
      <c r="N4" s="8">
        <f t="shared" si="0"/>
        <v>346.16666666666794</v>
      </c>
    </row>
    <row r="5" spans="1:14" x14ac:dyDescent="0.25">
      <c r="A5" s="29">
        <v>4</v>
      </c>
      <c r="B5" s="7">
        <f>'המרה למערך עונתי'!C9</f>
        <v>417.66666666666799</v>
      </c>
      <c r="C5" s="7">
        <f>'המרה למערך עונתי'!D9</f>
        <v>428.66666666666902</v>
      </c>
      <c r="D5" s="7">
        <f>'המרה למערך עונתי'!E9</f>
        <v>439.66666666666902</v>
      </c>
      <c r="E5" s="7">
        <f>'המרה למערך עונתי'!F9</f>
        <v>450.66666666666902</v>
      </c>
      <c r="F5" s="7">
        <f>'המרה למערך עונתי'!G9</f>
        <v>461.66666666666902</v>
      </c>
      <c r="G5" s="7">
        <f>'המרה למערך עונתי'!H9</f>
        <v>472.66666666666902</v>
      </c>
      <c r="H5" s="7">
        <f>'המרה למערך עונתי'!I9</f>
        <v>483.66666666666902</v>
      </c>
      <c r="I5" s="7">
        <f>'המרה למערך עונתי'!J9</f>
        <v>494.66666666666902</v>
      </c>
      <c r="J5" s="7">
        <f>'המרה למערך עונתי'!K9</f>
        <v>505.66666666666799</v>
      </c>
      <c r="K5" s="7">
        <f>'המרה למערך עונתי'!L9</f>
        <v>516.66666666666902</v>
      </c>
      <c r="L5" s="7">
        <f>'המרה למערך עונתי'!M9</f>
        <v>527.66666666666902</v>
      </c>
      <c r="M5" s="7">
        <f>'המרה למערך עונתי'!N9</f>
        <v>538.66666666666902</v>
      </c>
      <c r="N5" s="8">
        <f t="shared" si="0"/>
        <v>478.16666666666873</v>
      </c>
    </row>
    <row r="6" spans="1:14" x14ac:dyDescent="0.25">
      <c r="A6" s="29">
        <v>5</v>
      </c>
      <c r="B6" s="7">
        <f>'המרה למערך עונתי'!C10</f>
        <v>549.66666666666902</v>
      </c>
      <c r="C6" s="7">
        <f>'המרה למערך עונתי'!D10</f>
        <v>560.66666666666902</v>
      </c>
      <c r="D6" s="7">
        <f>'המרה למערך עונתי'!E10</f>
        <v>571.66666666666902</v>
      </c>
      <c r="E6" s="7">
        <f>'המרה למערך עונתי'!F10</f>
        <v>582.66666666666902</v>
      </c>
      <c r="F6" s="7">
        <f>'המרה למערך עונתי'!G10</f>
        <v>593.66666666666902</v>
      </c>
      <c r="G6" s="7">
        <f>'המרה למערך עונתי'!H10</f>
        <v>604.66666666666902</v>
      </c>
      <c r="H6" s="7">
        <f>'המרה למערך עונתי'!I10</f>
        <v>615.66666666666902</v>
      </c>
      <c r="I6" s="7">
        <f>'המרה למערך עונתי'!J10</f>
        <v>626.66666666666902</v>
      </c>
      <c r="J6" s="7">
        <f>'המרה למערך עונתי'!K10</f>
        <v>637.66666666666902</v>
      </c>
      <c r="K6" s="7">
        <f>'המרה למערך עונתי'!L10</f>
        <v>648.66666666666902</v>
      </c>
      <c r="L6" s="7">
        <f>'המרה למערך עונתי'!M10</f>
        <v>659.66666666666902</v>
      </c>
      <c r="M6" s="7">
        <f>'המרה למערך עונתי'!N10</f>
        <v>670.66666666666902</v>
      </c>
      <c r="N6" s="8">
        <f t="shared" si="0"/>
        <v>610.1666666666689</v>
      </c>
    </row>
    <row r="10" spans="1:14" x14ac:dyDescent="0.25">
      <c r="A10" s="12" t="s">
        <v>65</v>
      </c>
      <c r="B10" s="14" t="s">
        <v>63</v>
      </c>
      <c r="C10" s="14" t="s">
        <v>64</v>
      </c>
      <c r="D10" s="14" t="s">
        <v>66</v>
      </c>
      <c r="E10" s="14" t="s">
        <v>67</v>
      </c>
      <c r="F10" s="14" t="s">
        <v>68</v>
      </c>
      <c r="G10" s="14" t="s">
        <v>69</v>
      </c>
      <c r="H10" s="14" t="s">
        <v>70</v>
      </c>
      <c r="I10" s="14" t="s">
        <v>71</v>
      </c>
      <c r="J10" s="14" t="s">
        <v>72</v>
      </c>
      <c r="K10" s="14" t="s">
        <v>73</v>
      </c>
      <c r="L10" s="14" t="s">
        <v>74</v>
      </c>
      <c r="M10" s="14" t="s">
        <v>75</v>
      </c>
    </row>
    <row r="11" spans="1:14" x14ac:dyDescent="0.25">
      <c r="A11" s="29">
        <v>1</v>
      </c>
      <c r="B11" s="7">
        <f>B2/$N2</f>
        <v>0.33802816901408406</v>
      </c>
      <c r="C11" s="7">
        <f t="shared" ref="C11:M11" si="1">C2/$N2</f>
        <v>0.42253521126760507</v>
      </c>
      <c r="D11" s="7">
        <f t="shared" si="1"/>
        <v>0.4828973843058344</v>
      </c>
      <c r="E11" s="7">
        <f t="shared" si="1"/>
        <v>0.66398390342052227</v>
      </c>
      <c r="F11" s="7">
        <f t="shared" si="1"/>
        <v>0.84507042253521014</v>
      </c>
      <c r="G11" s="7">
        <f t="shared" si="1"/>
        <v>0.90543259557343947</v>
      </c>
      <c r="H11" s="7">
        <f t="shared" si="1"/>
        <v>1.0583501006036207</v>
      </c>
      <c r="I11" s="7">
        <f t="shared" si="1"/>
        <v>1.1911468812877253</v>
      </c>
      <c r="J11" s="7">
        <f t="shared" si="1"/>
        <v>1.3239436619718332</v>
      </c>
      <c r="K11" s="7">
        <f t="shared" si="1"/>
        <v>1.4567404426559376</v>
      </c>
      <c r="L11" s="7">
        <f t="shared" si="1"/>
        <v>1.5895372233400422</v>
      </c>
      <c r="M11" s="7">
        <f t="shared" si="1"/>
        <v>1.7223340040241466</v>
      </c>
    </row>
    <row r="12" spans="1:14" x14ac:dyDescent="0.25">
      <c r="A12" s="29">
        <v>2</v>
      </c>
      <c r="B12" s="7">
        <f>B3/$N3</f>
        <v>0.71750972762645959</v>
      </c>
      <c r="C12" s="7">
        <f t="shared" ref="C12:M12" si="2">C3/$N3</f>
        <v>0.76887159533073968</v>
      </c>
      <c r="D12" s="7">
        <f t="shared" si="2"/>
        <v>0.82023346303501976</v>
      </c>
      <c r="E12" s="7">
        <f t="shared" si="2"/>
        <v>0.87159533073929985</v>
      </c>
      <c r="F12" s="7">
        <f t="shared" si="2"/>
        <v>0.92295719844357993</v>
      </c>
      <c r="G12" s="7">
        <f t="shared" si="2"/>
        <v>0.97431906614786001</v>
      </c>
      <c r="H12" s="7">
        <f t="shared" si="2"/>
        <v>1.02568093385214</v>
      </c>
      <c r="I12" s="7">
        <f t="shared" si="2"/>
        <v>1.0770428015564202</v>
      </c>
      <c r="J12" s="7">
        <f t="shared" si="2"/>
        <v>1.1284046692607002</v>
      </c>
      <c r="K12" s="7">
        <f t="shared" si="2"/>
        <v>1.1797665369649804</v>
      </c>
      <c r="L12" s="7">
        <f t="shared" si="2"/>
        <v>1.2311284046692605</v>
      </c>
      <c r="M12" s="7">
        <f t="shared" si="2"/>
        <v>1.2824902723735405</v>
      </c>
    </row>
    <row r="13" spans="1:14" x14ac:dyDescent="0.25">
      <c r="A13" s="29">
        <v>3</v>
      </c>
      <c r="B13" s="7">
        <f t="shared" ref="B13:M13" si="3">B4/$N4</f>
        <v>0.82522869523351072</v>
      </c>
      <c r="C13" s="7">
        <f t="shared" si="3"/>
        <v>0.85700529610014509</v>
      </c>
      <c r="D13" s="7">
        <f t="shared" si="3"/>
        <v>0.88878189696677956</v>
      </c>
      <c r="E13" s="7">
        <f t="shared" si="3"/>
        <v>0.92055849783341404</v>
      </c>
      <c r="F13" s="7">
        <f t="shared" si="3"/>
        <v>0.95233509870004851</v>
      </c>
      <c r="G13" s="7">
        <f t="shared" si="3"/>
        <v>0.98411169956668298</v>
      </c>
      <c r="H13" s="7">
        <f t="shared" si="3"/>
        <v>1.0158883004333175</v>
      </c>
      <c r="I13" s="7">
        <f t="shared" si="3"/>
        <v>1.0476649012999519</v>
      </c>
      <c r="J13" s="7">
        <f t="shared" si="3"/>
        <v>1.0794415021665862</v>
      </c>
      <c r="K13" s="7">
        <f t="shared" si="3"/>
        <v>1.1112181030332207</v>
      </c>
      <c r="L13" s="7">
        <f t="shared" si="3"/>
        <v>1.1429947038998551</v>
      </c>
      <c r="M13" s="7">
        <f t="shared" si="3"/>
        <v>1.1747713047664896</v>
      </c>
    </row>
    <row r="14" spans="1:14" x14ac:dyDescent="0.25">
      <c r="A14" s="29">
        <v>4</v>
      </c>
      <c r="B14" s="7">
        <f t="shared" ref="B14:M14" si="4">B5/$N5</f>
        <v>0.8734750784245372</v>
      </c>
      <c r="C14" s="7">
        <f t="shared" si="4"/>
        <v>0.89647960962007778</v>
      </c>
      <c r="D14" s="7">
        <f t="shared" si="4"/>
        <v>0.91948414081561614</v>
      </c>
      <c r="E14" s="7">
        <f t="shared" si="4"/>
        <v>0.9424886720111546</v>
      </c>
      <c r="F14" s="7">
        <f t="shared" si="4"/>
        <v>0.96549320320669296</v>
      </c>
      <c r="G14" s="7">
        <f t="shared" si="4"/>
        <v>0.98849773440223143</v>
      </c>
      <c r="H14" s="7">
        <f t="shared" si="4"/>
        <v>1.0115022655977699</v>
      </c>
      <c r="I14" s="7">
        <f t="shared" si="4"/>
        <v>1.0345067967933081</v>
      </c>
      <c r="J14" s="7">
        <f t="shared" si="4"/>
        <v>1.0575113279888444</v>
      </c>
      <c r="K14" s="7">
        <f t="shared" si="4"/>
        <v>1.0805158591843851</v>
      </c>
      <c r="L14" s="7">
        <f t="shared" si="4"/>
        <v>1.1035203903799236</v>
      </c>
      <c r="M14" s="7">
        <f t="shared" si="4"/>
        <v>1.1265249215754618</v>
      </c>
    </row>
    <row r="15" spans="1:14" x14ac:dyDescent="0.25">
      <c r="A15" s="29">
        <v>5</v>
      </c>
      <c r="B15" s="7">
        <f t="shared" ref="B15:M15" si="5">B6/$N6</f>
        <v>0.90084676317945966</v>
      </c>
      <c r="C15" s="7">
        <f t="shared" si="5"/>
        <v>0.91887462441955803</v>
      </c>
      <c r="D15" s="7">
        <f t="shared" si="5"/>
        <v>0.93690248565965628</v>
      </c>
      <c r="E15" s="7">
        <f t="shared" si="5"/>
        <v>0.95493034689975453</v>
      </c>
      <c r="F15" s="7">
        <f t="shared" si="5"/>
        <v>0.97295820813985279</v>
      </c>
      <c r="G15" s="7">
        <f t="shared" si="5"/>
        <v>0.99098606937995104</v>
      </c>
      <c r="H15" s="7">
        <f t="shared" si="5"/>
        <v>1.0090139306200494</v>
      </c>
      <c r="I15" s="7">
        <f t="shared" si="5"/>
        <v>1.0270417918601475</v>
      </c>
      <c r="J15" s="7">
        <f t="shared" si="5"/>
        <v>1.0450696531002459</v>
      </c>
      <c r="K15" s="7">
        <f t="shared" si="5"/>
        <v>1.0630975143403441</v>
      </c>
      <c r="L15" s="7">
        <f t="shared" si="5"/>
        <v>1.0811253755804424</v>
      </c>
      <c r="M15" s="7">
        <f t="shared" si="5"/>
        <v>1.0991532368205406</v>
      </c>
    </row>
    <row r="16" spans="1:14" x14ac:dyDescent="0.25">
      <c r="A16" s="8" t="s">
        <v>77</v>
      </c>
      <c r="B16" s="8">
        <f>AVERAGE(B11:B15)</f>
        <v>0.73101768669561029</v>
      </c>
      <c r="C16" s="8">
        <f t="shared" ref="C16:M16" si="6">AVERAGE(C11:C15)</f>
        <v>0.77275326734762506</v>
      </c>
      <c r="D16" s="8">
        <f t="shared" si="6"/>
        <v>0.80965987415658114</v>
      </c>
      <c r="E16" s="8">
        <f t="shared" si="6"/>
        <v>0.87071135018082901</v>
      </c>
      <c r="F16" s="8">
        <f t="shared" si="6"/>
        <v>0.931762826205077</v>
      </c>
      <c r="G16" s="8">
        <f t="shared" si="6"/>
        <v>0.96866943301403308</v>
      </c>
      <c r="H16" s="8">
        <f t="shared" si="6"/>
        <v>1.0240871062213794</v>
      </c>
      <c r="I16" s="8">
        <f t="shared" si="6"/>
        <v>1.0754806345595107</v>
      </c>
      <c r="J16" s="8">
        <f t="shared" si="6"/>
        <v>1.126874162897642</v>
      </c>
      <c r="K16" s="8">
        <f t="shared" si="6"/>
        <v>1.1782676912357737</v>
      </c>
      <c r="L16" s="8">
        <f t="shared" si="6"/>
        <v>1.2296612195739047</v>
      </c>
      <c r="M16" s="8">
        <f t="shared" si="6"/>
        <v>1.281054747912036</v>
      </c>
    </row>
    <row r="20" spans="1:14" x14ac:dyDescent="0.25">
      <c r="A20" s="12" t="s">
        <v>65</v>
      </c>
      <c r="B20" s="14" t="s">
        <v>63</v>
      </c>
      <c r="C20" s="14" t="s">
        <v>64</v>
      </c>
      <c r="D20" s="14" t="s">
        <v>66</v>
      </c>
      <c r="E20" s="14" t="s">
        <v>67</v>
      </c>
      <c r="F20" s="14" t="s">
        <v>68</v>
      </c>
      <c r="G20" s="14" t="s">
        <v>69</v>
      </c>
      <c r="H20" s="14" t="s">
        <v>70</v>
      </c>
      <c r="I20" s="14" t="s">
        <v>71</v>
      </c>
      <c r="J20" s="14" t="s">
        <v>72</v>
      </c>
      <c r="K20" s="14" t="s">
        <v>73</v>
      </c>
      <c r="L20" s="14" t="s">
        <v>74</v>
      </c>
      <c r="M20" s="14" t="s">
        <v>75</v>
      </c>
      <c r="N20" s="8" t="s">
        <v>78</v>
      </c>
    </row>
    <row r="21" spans="1:14" x14ac:dyDescent="0.25">
      <c r="A21" s="29">
        <v>1</v>
      </c>
      <c r="B21" s="7">
        <f>B2/B$16</f>
        <v>38.302766827116415</v>
      </c>
      <c r="C21" s="7">
        <f t="shared" ref="C21:M21" si="7">C2/C$16</f>
        <v>45.292593999806613</v>
      </c>
      <c r="D21" s="7">
        <f t="shared" si="7"/>
        <v>49.403460980041537</v>
      </c>
      <c r="E21" s="7">
        <f t="shared" si="7"/>
        <v>63.166742903463494</v>
      </c>
      <c r="F21" s="7">
        <f t="shared" si="7"/>
        <v>75.126414181062529</v>
      </c>
      <c r="G21" s="7">
        <f t="shared" si="7"/>
        <v>77.425794026178878</v>
      </c>
      <c r="H21" s="7">
        <f t="shared" si="7"/>
        <v>85.604697231404828</v>
      </c>
      <c r="I21" s="7">
        <f t="shared" si="7"/>
        <v>91.741927744778067</v>
      </c>
      <c r="J21" s="7">
        <f t="shared" si="7"/>
        <v>97.319354970984833</v>
      </c>
      <c r="K21" s="7">
        <f t="shared" si="7"/>
        <v>102.41023119297375</v>
      </c>
      <c r="L21" s="7">
        <f t="shared" si="7"/>
        <v>107.07556241571267</v>
      </c>
      <c r="M21" s="7">
        <f t="shared" si="7"/>
        <v>111.36656485540246</v>
      </c>
      <c r="N21" s="8">
        <f>AVERAGE(B21:M21)</f>
        <v>78.686342610743836</v>
      </c>
    </row>
    <row r="22" spans="1:14" x14ac:dyDescent="0.25">
      <c r="A22" s="29">
        <v>2</v>
      </c>
      <c r="B22" s="7">
        <f t="shared" ref="B22:M25" si="8">B3/B$16</f>
        <v>210.20923222977029</v>
      </c>
      <c r="C22" s="7">
        <f t="shared" si="8"/>
        <v>213.09087081813823</v>
      </c>
      <c r="D22" s="7">
        <f t="shared" si="8"/>
        <v>216.96353280401618</v>
      </c>
      <c r="E22" s="7">
        <f t="shared" si="8"/>
        <v>214.38409712690679</v>
      </c>
      <c r="F22" s="7">
        <f t="shared" si="8"/>
        <v>212.1426838541436</v>
      </c>
      <c r="G22" s="7">
        <f t="shared" si="8"/>
        <v>215.4157647128358</v>
      </c>
      <c r="H22" s="7">
        <f t="shared" si="8"/>
        <v>214.49998279656214</v>
      </c>
      <c r="I22" s="7">
        <f t="shared" si="8"/>
        <v>214.47774999792733</v>
      </c>
      <c r="J22" s="7">
        <f t="shared" si="8"/>
        <v>214.4575451488264</v>
      </c>
      <c r="K22" s="7">
        <f t="shared" si="8"/>
        <v>214.43910288473478</v>
      </c>
      <c r="L22" s="7">
        <f t="shared" si="8"/>
        <v>214.42220220462943</v>
      </c>
      <c r="M22" s="7">
        <f t="shared" si="8"/>
        <v>214.40665757208302</v>
      </c>
      <c r="N22" s="8">
        <f t="shared" ref="N22:N25" si="9">AVERAGE(B22:M22)</f>
        <v>214.07578517921448</v>
      </c>
    </row>
    <row r="23" spans="1:14" x14ac:dyDescent="0.25">
      <c r="A23" s="29">
        <v>3</v>
      </c>
      <c r="B23" s="7">
        <f t="shared" si="8"/>
        <v>390.77941870046328</v>
      </c>
      <c r="C23" s="7">
        <f t="shared" si="8"/>
        <v>383.90865390312445</v>
      </c>
      <c r="D23" s="7">
        <f t="shared" si="8"/>
        <v>379.9949540381545</v>
      </c>
      <c r="E23" s="7">
        <f t="shared" si="8"/>
        <v>365.9842800952203</v>
      </c>
      <c r="F23" s="7">
        <f t="shared" si="8"/>
        <v>353.80963630986258</v>
      </c>
      <c r="G23" s="7">
        <f t="shared" si="8"/>
        <v>351.68516219891166</v>
      </c>
      <c r="H23" s="7">
        <f t="shared" si="8"/>
        <v>343.39526836172013</v>
      </c>
      <c r="I23" s="7">
        <f t="shared" si="8"/>
        <v>337.21357225107727</v>
      </c>
      <c r="J23" s="7">
        <f t="shared" si="8"/>
        <v>331.59573532666883</v>
      </c>
      <c r="K23" s="7">
        <f t="shared" si="8"/>
        <v>326.46797457649666</v>
      </c>
      <c r="L23" s="7">
        <f t="shared" si="8"/>
        <v>321.76884199354697</v>
      </c>
      <c r="M23" s="7">
        <f t="shared" si="8"/>
        <v>317.44675028876429</v>
      </c>
      <c r="N23" s="8">
        <f t="shared" si="9"/>
        <v>350.33752067033424</v>
      </c>
    </row>
    <row r="24" spans="1:14" x14ac:dyDescent="0.25">
      <c r="A24" s="29">
        <v>4</v>
      </c>
      <c r="B24" s="7">
        <f t="shared" si="8"/>
        <v>571.34960517115496</v>
      </c>
      <c r="C24" s="7">
        <f t="shared" si="8"/>
        <v>554.72643698811078</v>
      </c>
      <c r="D24" s="7">
        <f t="shared" si="8"/>
        <v>543.02637527229285</v>
      </c>
      <c r="E24" s="7">
        <f t="shared" si="8"/>
        <v>517.58446306353392</v>
      </c>
      <c r="F24" s="7">
        <f t="shared" si="8"/>
        <v>495.4765887655816</v>
      </c>
      <c r="G24" s="7">
        <f t="shared" si="8"/>
        <v>487.95455968498749</v>
      </c>
      <c r="H24" s="7">
        <f t="shared" si="8"/>
        <v>472.29055392687815</v>
      </c>
      <c r="I24" s="7">
        <f t="shared" si="8"/>
        <v>459.9493945042272</v>
      </c>
      <c r="J24" s="7">
        <f t="shared" si="8"/>
        <v>448.73392550451041</v>
      </c>
      <c r="K24" s="7">
        <f t="shared" si="8"/>
        <v>438.49684626825859</v>
      </c>
      <c r="L24" s="7">
        <f t="shared" si="8"/>
        <v>429.11548178246454</v>
      </c>
      <c r="M24" s="7">
        <f t="shared" si="8"/>
        <v>420.48684300544562</v>
      </c>
      <c r="N24" s="8">
        <f t="shared" si="9"/>
        <v>486.59925616145387</v>
      </c>
    </row>
    <row r="25" spans="1:14" x14ac:dyDescent="0.25">
      <c r="A25" s="29">
        <v>5</v>
      </c>
      <c r="B25" s="7">
        <f t="shared" si="8"/>
        <v>751.91979164184795</v>
      </c>
      <c r="C25" s="7">
        <f t="shared" si="8"/>
        <v>725.54422007309563</v>
      </c>
      <c r="D25" s="7">
        <f t="shared" si="8"/>
        <v>706.0577965064299</v>
      </c>
      <c r="E25" s="7">
        <f t="shared" si="8"/>
        <v>669.18464603184623</v>
      </c>
      <c r="F25" s="7">
        <f t="shared" si="8"/>
        <v>637.14354122129953</v>
      </c>
      <c r="G25" s="7">
        <f t="shared" si="8"/>
        <v>624.22395717106235</v>
      </c>
      <c r="H25" s="7">
        <f t="shared" si="8"/>
        <v>601.18583949203514</v>
      </c>
      <c r="I25" s="7">
        <f t="shared" si="8"/>
        <v>582.68521675737622</v>
      </c>
      <c r="J25" s="7">
        <f t="shared" si="8"/>
        <v>565.87211568235284</v>
      </c>
      <c r="K25" s="7">
        <f t="shared" si="8"/>
        <v>550.52571796001962</v>
      </c>
      <c r="L25" s="7">
        <f t="shared" si="8"/>
        <v>536.4621215713812</v>
      </c>
      <c r="M25" s="7">
        <f t="shared" si="8"/>
        <v>523.52693572212615</v>
      </c>
      <c r="N25" s="8">
        <f t="shared" si="9"/>
        <v>622.86099165257269</v>
      </c>
    </row>
    <row r="28" spans="1:14" x14ac:dyDescent="0.25">
      <c r="A28" s="7" t="s">
        <v>1</v>
      </c>
      <c r="B28" s="7">
        <v>1</v>
      </c>
      <c r="C28" s="7">
        <v>2</v>
      </c>
      <c r="D28" s="7">
        <v>3</v>
      </c>
      <c r="E28" s="7">
        <v>4</v>
      </c>
      <c r="F28" s="7">
        <v>5</v>
      </c>
    </row>
    <row r="29" spans="1:14" x14ac:dyDescent="0.25">
      <c r="A29" s="7" t="s">
        <v>0</v>
      </c>
      <c r="B29" s="7">
        <f>N21</f>
        <v>78.686342610743836</v>
      </c>
      <c r="C29" s="7">
        <f>N22</f>
        <v>214.07578517921448</v>
      </c>
      <c r="D29" s="7">
        <f>N23</f>
        <v>350.33752067033424</v>
      </c>
      <c r="E29" s="7">
        <f>N24</f>
        <v>486.59925616145387</v>
      </c>
      <c r="F29" s="7">
        <f>N25</f>
        <v>622.86099165257269</v>
      </c>
    </row>
    <row r="31" spans="1:14" x14ac:dyDescent="0.25">
      <c r="A31" s="30" t="s">
        <v>79</v>
      </c>
      <c r="B31" s="30">
        <f>B29*B28</f>
        <v>78.686342610743836</v>
      </c>
      <c r="C31" s="30">
        <f t="shared" ref="C31:F31" si="10">C29*C28</f>
        <v>428.15157035842896</v>
      </c>
      <c r="D31" s="30">
        <f t="shared" si="10"/>
        <v>1051.0125620110027</v>
      </c>
      <c r="E31" s="30">
        <f t="shared" si="10"/>
        <v>1946.3970246458155</v>
      </c>
      <c r="F31" s="30">
        <f t="shared" si="10"/>
        <v>3114.3049582628637</v>
      </c>
    </row>
    <row r="32" spans="1:14" x14ac:dyDescent="0.25">
      <c r="A32" s="30" t="s">
        <v>14</v>
      </c>
      <c r="B32" s="30">
        <f>B28^2</f>
        <v>1</v>
      </c>
      <c r="C32" s="30">
        <f t="shared" ref="C32:F32" si="11">C28^2</f>
        <v>4</v>
      </c>
      <c r="D32" s="30">
        <f t="shared" si="11"/>
        <v>9</v>
      </c>
      <c r="E32" s="30">
        <f t="shared" si="11"/>
        <v>16</v>
      </c>
      <c r="F32" s="30">
        <f t="shared" si="11"/>
        <v>25</v>
      </c>
    </row>
    <row r="33" spans="1:13" x14ac:dyDescent="0.25">
      <c r="A33" s="30" t="s">
        <v>52</v>
      </c>
      <c r="B33" s="30">
        <f>B28^4</f>
        <v>1</v>
      </c>
      <c r="C33" s="30">
        <f t="shared" ref="C33:F33" si="12">C28^4</f>
        <v>16</v>
      </c>
      <c r="D33" s="30">
        <f t="shared" si="12"/>
        <v>81</v>
      </c>
      <c r="E33" s="30">
        <f t="shared" si="12"/>
        <v>256</v>
      </c>
      <c r="F33" s="30">
        <f t="shared" si="12"/>
        <v>625</v>
      </c>
    </row>
    <row r="34" spans="1:13" x14ac:dyDescent="0.25">
      <c r="A34" s="30" t="s">
        <v>81</v>
      </c>
      <c r="B34" s="30">
        <f>B29*B32</f>
        <v>78.686342610743836</v>
      </c>
      <c r="C34" s="30">
        <f t="shared" ref="C34:F34" si="13">C29*C32</f>
        <v>856.30314071685791</v>
      </c>
      <c r="D34" s="30">
        <f t="shared" si="13"/>
        <v>3153.037686033008</v>
      </c>
      <c r="E34" s="30">
        <f t="shared" si="13"/>
        <v>7785.5880985832619</v>
      </c>
      <c r="F34" s="30">
        <f t="shared" si="13"/>
        <v>15571.524791314318</v>
      </c>
    </row>
    <row r="36" spans="1:13" x14ac:dyDescent="0.25">
      <c r="A36" t="s">
        <v>13</v>
      </c>
      <c r="B36">
        <f>COUNT(B29:F29)</f>
        <v>5</v>
      </c>
    </row>
    <row r="37" spans="1:13" x14ac:dyDescent="0.25">
      <c r="A37" t="s">
        <v>0</v>
      </c>
      <c r="B37">
        <f>SUM(B29:F29)</f>
        <v>1752.559896274319</v>
      </c>
    </row>
    <row r="38" spans="1:13" x14ac:dyDescent="0.25">
      <c r="A38" t="s">
        <v>52</v>
      </c>
      <c r="B38">
        <f>SUM(B33:F33)</f>
        <v>979</v>
      </c>
    </row>
    <row r="39" spans="1:13" x14ac:dyDescent="0.25">
      <c r="A39" t="s">
        <v>14</v>
      </c>
      <c r="B39">
        <f>SUM(B32:F32)</f>
        <v>55</v>
      </c>
    </row>
    <row r="40" spans="1:13" x14ac:dyDescent="0.25">
      <c r="A40" t="s">
        <v>51</v>
      </c>
      <c r="B40">
        <f>SUM(B34:F34)</f>
        <v>27445.140059258189</v>
      </c>
    </row>
    <row r="43" spans="1:13" x14ac:dyDescent="0.25">
      <c r="A43" t="s">
        <v>80</v>
      </c>
      <c r="B43">
        <f>(B36*B40-B37*B39)/(B36*B38-(B39)^2)</f>
        <v>21.836848128985778</v>
      </c>
    </row>
    <row r="44" spans="1:13" x14ac:dyDescent="0.25">
      <c r="A44" t="s">
        <v>7</v>
      </c>
      <c r="B44">
        <f>(B37-B43*B39)/(B36)</f>
        <v>110.30664983602023</v>
      </c>
    </row>
    <row r="47" spans="1:13" x14ac:dyDescent="0.25">
      <c r="A47" s="31" t="s">
        <v>6</v>
      </c>
      <c r="B47" s="7">
        <v>61</v>
      </c>
      <c r="C47" s="7">
        <v>62</v>
      </c>
      <c r="D47" s="7">
        <v>63</v>
      </c>
      <c r="E47" s="7">
        <v>64</v>
      </c>
      <c r="F47" s="7">
        <v>65</v>
      </c>
      <c r="G47" s="7">
        <v>66</v>
      </c>
      <c r="H47" s="7">
        <v>67</v>
      </c>
      <c r="I47" s="7">
        <v>68</v>
      </c>
      <c r="J47" s="7">
        <v>69</v>
      </c>
      <c r="K47" s="7">
        <v>70</v>
      </c>
      <c r="L47" s="7">
        <v>71</v>
      </c>
      <c r="M47" s="7">
        <v>72</v>
      </c>
    </row>
    <row r="48" spans="1:13" x14ac:dyDescent="0.25">
      <c r="A48" s="31" t="s">
        <v>3</v>
      </c>
      <c r="B48" s="7">
        <f>($B$44+$B$43*6^2)*B$16</f>
        <v>655.30851133335398</v>
      </c>
      <c r="C48" s="7">
        <f t="shared" ref="C48:M48" si="14">($B$44+$B$43*6^2)*C$16</f>
        <v>692.72167071986973</v>
      </c>
      <c r="D48" s="7">
        <f t="shared" si="14"/>
        <v>725.80597771614214</v>
      </c>
      <c r="E48" s="7">
        <f t="shared" si="14"/>
        <v>780.53454666363007</v>
      </c>
      <c r="F48" s="7">
        <f t="shared" si="14"/>
        <v>835.26311561111811</v>
      </c>
      <c r="G48" s="7">
        <f t="shared" si="14"/>
        <v>868.34742260739051</v>
      </c>
      <c r="H48" s="7">
        <f t="shared" si="14"/>
        <v>918.02566376626135</v>
      </c>
      <c r="I48" s="7">
        <f t="shared" si="14"/>
        <v>964.09652793326313</v>
      </c>
      <c r="J48" s="7">
        <f t="shared" si="14"/>
        <v>1010.1673921002649</v>
      </c>
      <c r="K48" s="7">
        <f t="shared" si="14"/>
        <v>1056.2382562672672</v>
      </c>
      <c r="L48" s="7">
        <f t="shared" si="14"/>
        <v>1102.3091204342688</v>
      </c>
      <c r="M48" s="7">
        <f t="shared" si="14"/>
        <v>1148.3799846012705</v>
      </c>
    </row>
    <row r="54" spans="1:24" x14ac:dyDescent="0.25">
      <c r="A54" s="78" t="s">
        <v>34</v>
      </c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</row>
    <row r="57" spans="1:24" x14ac:dyDescent="0.25">
      <c r="A57" t="s">
        <v>1</v>
      </c>
      <c r="B57" t="s">
        <v>0</v>
      </c>
      <c r="C57" t="s">
        <v>3</v>
      </c>
      <c r="D57" t="s">
        <v>4</v>
      </c>
      <c r="E57" t="s">
        <v>12</v>
      </c>
      <c r="F57" s="5" t="s">
        <v>22</v>
      </c>
    </row>
    <row r="58" spans="1:24" x14ac:dyDescent="0.25">
      <c r="A58">
        <v>1</v>
      </c>
      <c r="B58">
        <f>'הזנת נתונים'!A1</f>
        <v>28</v>
      </c>
      <c r="F58" s="48">
        <f>AVERAGE(E82:E117)</f>
        <v>44389.859205560824</v>
      </c>
    </row>
    <row r="59" spans="1:24" x14ac:dyDescent="0.25">
      <c r="A59">
        <v>2</v>
      </c>
      <c r="B59">
        <f>'הזנת נתונים'!A2</f>
        <v>35</v>
      </c>
      <c r="K59" t="s">
        <v>65</v>
      </c>
      <c r="L59" t="s">
        <v>63</v>
      </c>
      <c r="M59" t="s">
        <v>64</v>
      </c>
      <c r="N59" t="s">
        <v>66</v>
      </c>
      <c r="O59" t="s">
        <v>67</v>
      </c>
      <c r="P59" t="s">
        <v>68</v>
      </c>
      <c r="Q59" t="s">
        <v>69</v>
      </c>
      <c r="R59" t="s">
        <v>70</v>
      </c>
      <c r="S59" t="s">
        <v>71</v>
      </c>
      <c r="T59" t="s">
        <v>72</v>
      </c>
      <c r="U59" t="s">
        <v>73</v>
      </c>
      <c r="V59" t="s">
        <v>74</v>
      </c>
      <c r="W59" t="s">
        <v>75</v>
      </c>
      <c r="X59" t="s">
        <v>76</v>
      </c>
    </row>
    <row r="60" spans="1:24" x14ac:dyDescent="0.25">
      <c r="A60">
        <v>3</v>
      </c>
      <c r="B60">
        <f>'הזנת נתונים'!A3</f>
        <v>40</v>
      </c>
      <c r="K60">
        <v>1</v>
      </c>
      <c r="L60">
        <f>B2</f>
        <v>28</v>
      </c>
      <c r="M60">
        <f t="shared" ref="M60:W60" si="15">C2</f>
        <v>35</v>
      </c>
      <c r="N60">
        <f t="shared" si="15"/>
        <v>40</v>
      </c>
      <c r="O60">
        <f t="shared" si="15"/>
        <v>55</v>
      </c>
      <c r="P60">
        <f t="shared" si="15"/>
        <v>70</v>
      </c>
      <c r="Q60">
        <f t="shared" si="15"/>
        <v>75</v>
      </c>
      <c r="R60">
        <f t="shared" si="15"/>
        <v>87.6666666666667</v>
      </c>
      <c r="S60">
        <f t="shared" si="15"/>
        <v>98.6666666666667</v>
      </c>
      <c r="T60">
        <f t="shared" si="15"/>
        <v>109.666666666667</v>
      </c>
      <c r="U60">
        <f t="shared" si="15"/>
        <v>120.666666666667</v>
      </c>
      <c r="V60">
        <f t="shared" si="15"/>
        <v>131.666666666667</v>
      </c>
      <c r="W60">
        <f t="shared" si="15"/>
        <v>142.666666666667</v>
      </c>
      <c r="X60">
        <f>AVERAGE(L60:W60)</f>
        <v>82.833333333333442</v>
      </c>
    </row>
    <row r="61" spans="1:24" x14ac:dyDescent="0.25">
      <c r="A61">
        <v>4</v>
      </c>
      <c r="B61">
        <f>'הזנת נתונים'!A4</f>
        <v>55</v>
      </c>
      <c r="K61">
        <v>2</v>
      </c>
      <c r="L61">
        <f>B3</f>
        <v>153.666666666667</v>
      </c>
      <c r="M61">
        <f t="shared" ref="M61" si="16">C3</f>
        <v>164.666666666667</v>
      </c>
      <c r="N61">
        <f t="shared" ref="N61" si="17">D3</f>
        <v>175.666666666667</v>
      </c>
      <c r="O61">
        <f t="shared" ref="O61" si="18">E3</f>
        <v>186.666666666667</v>
      </c>
      <c r="P61">
        <f t="shared" ref="P61" si="19">F3</f>
        <v>197.666666666667</v>
      </c>
      <c r="Q61">
        <f t="shared" ref="Q61" si="20">G3</f>
        <v>208.666666666667</v>
      </c>
      <c r="R61">
        <f t="shared" ref="R61" si="21">H3</f>
        <v>219.666666666667</v>
      </c>
      <c r="S61">
        <f t="shared" ref="S61" si="22">I3</f>
        <v>230.666666666667</v>
      </c>
      <c r="T61">
        <f t="shared" ref="T61" si="23">J3</f>
        <v>241.666666666667</v>
      </c>
      <c r="U61">
        <f t="shared" ref="U61" si="24">K3</f>
        <v>252.666666666667</v>
      </c>
      <c r="V61">
        <f t="shared" ref="V61" si="25">L3</f>
        <v>263.66666666666703</v>
      </c>
      <c r="W61">
        <f t="shared" ref="W61" si="26">M3</f>
        <v>274.66666666666703</v>
      </c>
      <c r="X61">
        <f>AVERAGE(L61:W61)</f>
        <v>214.166666666667</v>
      </c>
    </row>
    <row r="62" spans="1:24" x14ac:dyDescent="0.25">
      <c r="A62">
        <v>5</v>
      </c>
      <c r="B62">
        <f>'הזנת נתונים'!A5</f>
        <v>70</v>
      </c>
    </row>
    <row r="63" spans="1:24" x14ac:dyDescent="0.25">
      <c r="A63">
        <v>6</v>
      </c>
      <c r="B63">
        <f>'הזנת נתונים'!A6</f>
        <v>75</v>
      </c>
    </row>
    <row r="64" spans="1:24" x14ac:dyDescent="0.25">
      <c r="A64">
        <v>7</v>
      </c>
      <c r="B64">
        <f>'הזנת נתונים'!A7</f>
        <v>87.6666666666667</v>
      </c>
      <c r="K64" t="s">
        <v>65</v>
      </c>
      <c r="L64" t="s">
        <v>63</v>
      </c>
      <c r="M64" t="s">
        <v>64</v>
      </c>
      <c r="N64" t="s">
        <v>66</v>
      </c>
      <c r="O64" t="s">
        <v>67</v>
      </c>
      <c r="P64" t="s">
        <v>68</v>
      </c>
      <c r="Q64" t="s">
        <v>69</v>
      </c>
      <c r="R64" t="s">
        <v>70</v>
      </c>
      <c r="S64" t="s">
        <v>71</v>
      </c>
      <c r="T64" t="s">
        <v>72</v>
      </c>
      <c r="U64" t="s">
        <v>73</v>
      </c>
      <c r="V64" t="s">
        <v>74</v>
      </c>
      <c r="W64" t="s">
        <v>75</v>
      </c>
    </row>
    <row r="65" spans="1:24" x14ac:dyDescent="0.25">
      <c r="A65">
        <v>8</v>
      </c>
      <c r="B65">
        <f>'הזנת נתונים'!A8</f>
        <v>98.6666666666667</v>
      </c>
      <c r="K65">
        <v>1</v>
      </c>
      <c r="L65">
        <f>L60/$X60</f>
        <v>0.33802816901408406</v>
      </c>
      <c r="M65">
        <f>M60/$X60</f>
        <v>0.42253521126760507</v>
      </c>
      <c r="N65">
        <f t="shared" ref="N65:W66" si="27">N60/$X60</f>
        <v>0.4828973843058344</v>
      </c>
      <c r="O65">
        <f t="shared" si="27"/>
        <v>0.66398390342052227</v>
      </c>
      <c r="P65">
        <f t="shared" si="27"/>
        <v>0.84507042253521014</v>
      </c>
      <c r="Q65">
        <f t="shared" si="27"/>
        <v>0.90543259557343947</v>
      </c>
      <c r="R65">
        <f t="shared" si="27"/>
        <v>1.0583501006036207</v>
      </c>
      <c r="S65">
        <f t="shared" si="27"/>
        <v>1.1911468812877253</v>
      </c>
      <c r="T65">
        <f t="shared" si="27"/>
        <v>1.3239436619718332</v>
      </c>
      <c r="U65">
        <f t="shared" si="27"/>
        <v>1.4567404426559376</v>
      </c>
      <c r="V65">
        <f t="shared" si="27"/>
        <v>1.5895372233400422</v>
      </c>
      <c r="W65">
        <f t="shared" si="27"/>
        <v>1.7223340040241466</v>
      </c>
    </row>
    <row r="66" spans="1:24" x14ac:dyDescent="0.25">
      <c r="A66">
        <v>9</v>
      </c>
      <c r="B66">
        <f>'הזנת נתונים'!A9</f>
        <v>109.666666666667</v>
      </c>
      <c r="K66">
        <v>2</v>
      </c>
      <c r="L66">
        <f>L61/$X61</f>
        <v>0.71750972762645959</v>
      </c>
      <c r="M66">
        <f>M61/$X61</f>
        <v>0.76887159533073968</v>
      </c>
      <c r="N66">
        <f t="shared" si="27"/>
        <v>0.82023346303501976</v>
      </c>
      <c r="O66">
        <f t="shared" si="27"/>
        <v>0.87159533073929985</v>
      </c>
      <c r="P66">
        <f t="shared" si="27"/>
        <v>0.92295719844357993</v>
      </c>
      <c r="Q66">
        <f t="shared" si="27"/>
        <v>0.97431906614786001</v>
      </c>
      <c r="R66">
        <f t="shared" si="27"/>
        <v>1.02568093385214</v>
      </c>
      <c r="S66">
        <f t="shared" si="27"/>
        <v>1.0770428015564202</v>
      </c>
      <c r="T66">
        <f t="shared" si="27"/>
        <v>1.1284046692607002</v>
      </c>
      <c r="U66">
        <f t="shared" si="27"/>
        <v>1.1797665369649804</v>
      </c>
      <c r="V66">
        <f t="shared" si="27"/>
        <v>1.2311284046692605</v>
      </c>
      <c r="W66">
        <f t="shared" si="27"/>
        <v>1.2824902723735405</v>
      </c>
    </row>
    <row r="67" spans="1:24" x14ac:dyDescent="0.25">
      <c r="A67">
        <v>10</v>
      </c>
      <c r="B67">
        <f>'הזנת נתונים'!A10</f>
        <v>120.666666666667</v>
      </c>
      <c r="K67" t="s">
        <v>77</v>
      </c>
      <c r="L67">
        <f>AVERAGE(L65:L66)</f>
        <v>0.52776894832027188</v>
      </c>
      <c r="M67">
        <f t="shared" ref="M67:W67" si="28">AVERAGE(M65:M66)</f>
        <v>0.59570340329917237</v>
      </c>
      <c r="N67">
        <f t="shared" si="28"/>
        <v>0.65156542367042714</v>
      </c>
      <c r="O67">
        <f t="shared" si="28"/>
        <v>0.767789617079911</v>
      </c>
      <c r="P67">
        <f t="shared" si="28"/>
        <v>0.88401381048939509</v>
      </c>
      <c r="Q67">
        <f t="shared" si="28"/>
        <v>0.93987583086064974</v>
      </c>
      <c r="R67">
        <f t="shared" si="28"/>
        <v>1.0420155172278802</v>
      </c>
      <c r="S67">
        <f t="shared" si="28"/>
        <v>1.1340948414220726</v>
      </c>
      <c r="T67">
        <f t="shared" si="28"/>
        <v>1.2261741656162668</v>
      </c>
      <c r="U67">
        <f t="shared" si="28"/>
        <v>1.318253489810459</v>
      </c>
      <c r="V67">
        <f t="shared" si="28"/>
        <v>1.4103328140046514</v>
      </c>
      <c r="W67">
        <f t="shared" si="28"/>
        <v>1.5024121381988436</v>
      </c>
    </row>
    <row r="68" spans="1:24" x14ac:dyDescent="0.25">
      <c r="A68">
        <v>11</v>
      </c>
      <c r="B68">
        <f>'הזנת נתונים'!A11</f>
        <v>131.666666666667</v>
      </c>
    </row>
    <row r="69" spans="1:24" x14ac:dyDescent="0.25">
      <c r="A69">
        <v>12</v>
      </c>
      <c r="B69">
        <f>'הזנת נתונים'!A12</f>
        <v>142.666666666667</v>
      </c>
    </row>
    <row r="70" spans="1:24" x14ac:dyDescent="0.25">
      <c r="A70">
        <v>13</v>
      </c>
      <c r="B70">
        <f>'הזנת נתונים'!A13</f>
        <v>153.666666666667</v>
      </c>
      <c r="K70" t="s">
        <v>65</v>
      </c>
      <c r="L70" t="s">
        <v>63</v>
      </c>
      <c r="M70" t="s">
        <v>64</v>
      </c>
      <c r="N70" t="s">
        <v>66</v>
      </c>
      <c r="O70" t="s">
        <v>67</v>
      </c>
      <c r="P70" t="s">
        <v>68</v>
      </c>
      <c r="Q70" t="s">
        <v>69</v>
      </c>
      <c r="R70" t="s">
        <v>70</v>
      </c>
      <c r="S70" t="s">
        <v>71</v>
      </c>
      <c r="T70" t="s">
        <v>72</v>
      </c>
      <c r="U70" t="s">
        <v>73</v>
      </c>
      <c r="V70" t="s">
        <v>74</v>
      </c>
      <c r="W70" t="s">
        <v>75</v>
      </c>
      <c r="X70" t="s">
        <v>98</v>
      </c>
    </row>
    <row r="71" spans="1:24" x14ac:dyDescent="0.25">
      <c r="A71">
        <v>14</v>
      </c>
      <c r="B71">
        <f>'הזנת נתונים'!A14</f>
        <v>164.666666666667</v>
      </c>
      <c r="K71">
        <v>1</v>
      </c>
      <c r="L71">
        <f>L60/L$67</f>
        <v>53.053519137712605</v>
      </c>
      <c r="M71">
        <f>M60/M$67</f>
        <v>58.754070912068308</v>
      </c>
      <c r="N71">
        <f t="shared" ref="N71:W72" si="29">N60/N$67</f>
        <v>61.390611820176446</v>
      </c>
      <c r="O71">
        <f t="shared" si="29"/>
        <v>71.634206528056808</v>
      </c>
      <c r="P71">
        <f t="shared" si="29"/>
        <v>79.184283287664471</v>
      </c>
      <c r="Q71">
        <f t="shared" si="29"/>
        <v>79.79777491599296</v>
      </c>
      <c r="R71">
        <f t="shared" si="29"/>
        <v>84.131824543160548</v>
      </c>
      <c r="S71">
        <f t="shared" si="29"/>
        <v>87.000366338802721</v>
      </c>
      <c r="T71">
        <f t="shared" si="29"/>
        <v>89.438082893835301</v>
      </c>
      <c r="U71">
        <f t="shared" si="29"/>
        <v>91.535252968696241</v>
      </c>
      <c r="V71">
        <f t="shared" si="29"/>
        <v>93.358578456951903</v>
      </c>
      <c r="W71">
        <f t="shared" si="29"/>
        <v>94.958409240291388</v>
      </c>
      <c r="X71">
        <f>AVERAGE(L71:W71)</f>
        <v>78.686415086950802</v>
      </c>
    </row>
    <row r="72" spans="1:24" x14ac:dyDescent="0.25">
      <c r="A72">
        <v>15</v>
      </c>
      <c r="B72">
        <f>'הזנת נתונים'!A15</f>
        <v>175.666666666667</v>
      </c>
      <c r="K72">
        <v>2</v>
      </c>
      <c r="L72">
        <f>L61/L$67</f>
        <v>291.16276574387575</v>
      </c>
      <c r="M72">
        <f>M61/M$67</f>
        <v>276.42391457677905</v>
      </c>
      <c r="N72">
        <f t="shared" si="29"/>
        <v>269.60710357694211</v>
      </c>
      <c r="O72">
        <f t="shared" si="29"/>
        <v>243.12215548916294</v>
      </c>
      <c r="P72">
        <f t="shared" si="29"/>
        <v>223.60133328373863</v>
      </c>
      <c r="Q72">
        <f t="shared" si="29"/>
        <v>222.015142655163</v>
      </c>
      <c r="R72">
        <f t="shared" si="29"/>
        <v>210.8094006613797</v>
      </c>
      <c r="S72">
        <f t="shared" si="29"/>
        <v>203.3927483326066</v>
      </c>
      <c r="T72">
        <f t="shared" si="29"/>
        <v>197.09000029796499</v>
      </c>
      <c r="U72">
        <f t="shared" si="29"/>
        <v>191.6677396416344</v>
      </c>
      <c r="V72">
        <f t="shared" si="29"/>
        <v>186.95350774544016</v>
      </c>
      <c r="W72">
        <f t="shared" si="29"/>
        <v>182.81712433177574</v>
      </c>
      <c r="X72">
        <f>AVERAGE(L72:W72)</f>
        <v>224.88857802803855</v>
      </c>
    </row>
    <row r="73" spans="1:24" x14ac:dyDescent="0.25">
      <c r="A73">
        <v>16</v>
      </c>
      <c r="B73">
        <f>'הזנת נתונים'!A16</f>
        <v>186.666666666667</v>
      </c>
    </row>
    <row r="74" spans="1:24" x14ac:dyDescent="0.25">
      <c r="A74">
        <v>17</v>
      </c>
      <c r="B74">
        <f>'הזנת נתונים'!A17</f>
        <v>197.666666666667</v>
      </c>
    </row>
    <row r="75" spans="1:24" x14ac:dyDescent="0.25">
      <c r="A75">
        <v>18</v>
      </c>
      <c r="B75">
        <f>'הזנת נתונים'!A18</f>
        <v>208.666666666667</v>
      </c>
      <c r="K75" t="s">
        <v>1</v>
      </c>
      <c r="L75">
        <v>1</v>
      </c>
      <c r="M75">
        <v>2</v>
      </c>
    </row>
    <row r="76" spans="1:24" x14ac:dyDescent="0.25">
      <c r="A76">
        <v>19</v>
      </c>
      <c r="B76">
        <f>'הזנת נתונים'!A19</f>
        <v>219.666666666667</v>
      </c>
      <c r="K76" t="s">
        <v>0</v>
      </c>
      <c r="L76">
        <f>X71</f>
        <v>78.686415086950802</v>
      </c>
      <c r="M76">
        <f>X72</f>
        <v>224.88857802803855</v>
      </c>
    </row>
    <row r="77" spans="1:24" x14ac:dyDescent="0.25">
      <c r="A77">
        <v>20</v>
      </c>
      <c r="B77">
        <f>'הזנת נתונים'!A20</f>
        <v>230.666666666667</v>
      </c>
    </row>
    <row r="78" spans="1:24" x14ac:dyDescent="0.25">
      <c r="A78">
        <v>21</v>
      </c>
      <c r="B78">
        <f>'הזנת נתונים'!A21</f>
        <v>241.666666666667</v>
      </c>
      <c r="K78" s="7" t="s">
        <v>97</v>
      </c>
      <c r="L78" s="7" t="s">
        <v>13</v>
      </c>
      <c r="M78" s="7">
        <f>COUNT(L76:M76)</f>
        <v>2</v>
      </c>
    </row>
    <row r="79" spans="1:24" x14ac:dyDescent="0.25">
      <c r="A79">
        <v>22</v>
      </c>
      <c r="B79">
        <f>'הזנת נתונים'!A22</f>
        <v>252.666666666667</v>
      </c>
      <c r="K79" s="7"/>
      <c r="L79" s="7" t="s">
        <v>0</v>
      </c>
      <c r="M79" s="7">
        <f>SUM(L76:M76)</f>
        <v>303.57499311498935</v>
      </c>
    </row>
    <row r="80" spans="1:24" x14ac:dyDescent="0.25">
      <c r="A80">
        <v>23</v>
      </c>
      <c r="B80">
        <f>'הזנת נתונים'!A23</f>
        <v>263.66666666666703</v>
      </c>
      <c r="K80" s="7"/>
      <c r="L80" s="7" t="s">
        <v>52</v>
      </c>
      <c r="M80" s="7">
        <f>SUM(L88:M88)</f>
        <v>17</v>
      </c>
    </row>
    <row r="81" spans="1:26" x14ac:dyDescent="0.25">
      <c r="A81">
        <v>24</v>
      </c>
      <c r="B81">
        <f>'הזנת נתונים'!A24</f>
        <v>274.66666666666703</v>
      </c>
      <c r="K81" s="7"/>
      <c r="L81" s="7" t="s">
        <v>14</v>
      </c>
      <c r="M81" s="7">
        <f>SUM(L87:M87)</f>
        <v>5</v>
      </c>
    </row>
    <row r="82" spans="1:26" x14ac:dyDescent="0.25">
      <c r="A82" s="27">
        <v>25</v>
      </c>
      <c r="B82">
        <f>'הזנת נתונים'!A25</f>
        <v>285.66666666666799</v>
      </c>
      <c r="C82" s="27">
        <f t="shared" ref="C82:C93" si="30">($L$94+$L$93*H82^2)*$R83</f>
        <v>247.29081127771076</v>
      </c>
      <c r="D82">
        <f>C82-B82</f>
        <v>-38.375855388957234</v>
      </c>
      <c r="E82">
        <f>D82^2</f>
        <v>1472.706276834158</v>
      </c>
      <c r="H82">
        <v>3</v>
      </c>
      <c r="K82" s="7"/>
      <c r="L82" s="7" t="s">
        <v>51</v>
      </c>
      <c r="M82" s="7">
        <f>SUM(L89:M89)</f>
        <v>978.24072719910498</v>
      </c>
      <c r="R82" s="30" t="s">
        <v>99</v>
      </c>
    </row>
    <row r="83" spans="1:26" x14ac:dyDescent="0.25">
      <c r="A83">
        <v>26</v>
      </c>
      <c r="B83">
        <f>'הזנת נתונים'!A26</f>
        <v>296.66666666666799</v>
      </c>
      <c r="C83" s="27">
        <f t="shared" si="30"/>
        <v>279.12210135059081</v>
      </c>
      <c r="D83">
        <f t="shared" ref="D83:D94" si="31">C83-B83</f>
        <v>-17.544565316077183</v>
      </c>
      <c r="E83">
        <f t="shared" ref="E83:E94" si="32">D83^2</f>
        <v>307.81177213009846</v>
      </c>
      <c r="H83">
        <v>3</v>
      </c>
      <c r="R83" s="30">
        <f>L67</f>
        <v>0.52776894832027188</v>
      </c>
    </row>
    <row r="84" spans="1:26" x14ac:dyDescent="0.25">
      <c r="A84">
        <v>27</v>
      </c>
      <c r="B84">
        <f>'הזנת נתונים'!A27</f>
        <v>307.66666666666799</v>
      </c>
      <c r="C84" s="27">
        <f t="shared" si="30"/>
        <v>305.2967453518832</v>
      </c>
      <c r="D84">
        <f t="shared" si="31"/>
        <v>-2.36992131478479</v>
      </c>
      <c r="E84">
        <f t="shared" si="32"/>
        <v>5.6165270382712675</v>
      </c>
      <c r="H84">
        <v>3</v>
      </c>
      <c r="R84" s="30">
        <f>M67</f>
        <v>0.59570340329917237</v>
      </c>
    </row>
    <row r="85" spans="1:26" x14ac:dyDescent="0.25">
      <c r="A85">
        <v>28</v>
      </c>
      <c r="B85">
        <f>'הזנת נתונים'!A28</f>
        <v>318.66666666666799</v>
      </c>
      <c r="C85" s="27">
        <f t="shared" si="30"/>
        <v>359.75461971111417</v>
      </c>
      <c r="D85">
        <f t="shared" si="31"/>
        <v>41.087953044446181</v>
      </c>
      <c r="E85">
        <f t="shared" si="32"/>
        <v>1688.2198853826142</v>
      </c>
      <c r="H85">
        <v>3</v>
      </c>
      <c r="K85" s="39" t="s">
        <v>18</v>
      </c>
      <c r="L85" s="39"/>
      <c r="M85" s="39"/>
      <c r="R85" s="30">
        <f>N67</f>
        <v>0.65156542367042714</v>
      </c>
    </row>
    <row r="86" spans="1:26" x14ac:dyDescent="0.25">
      <c r="A86">
        <v>29</v>
      </c>
      <c r="B86">
        <f>'הזנת נתונים'!A29</f>
        <v>329.66666666666799</v>
      </c>
      <c r="C86" s="27">
        <f t="shared" si="30"/>
        <v>414.21249407034526</v>
      </c>
      <c r="D86">
        <f t="shared" si="31"/>
        <v>84.545827403677265</v>
      </c>
      <c r="E86">
        <f t="shared" si="32"/>
        <v>7147.9969313723859</v>
      </c>
      <c r="H86">
        <v>3</v>
      </c>
      <c r="K86" s="39" t="s">
        <v>79</v>
      </c>
      <c r="L86" s="39">
        <f>L76*L75</f>
        <v>78.686415086950802</v>
      </c>
      <c r="M86" s="39">
        <f>M76*M75</f>
        <v>449.7771560560771</v>
      </c>
      <c r="R86" s="30">
        <f>O67</f>
        <v>0.767789617079911</v>
      </c>
    </row>
    <row r="87" spans="1:26" x14ac:dyDescent="0.25">
      <c r="A87">
        <v>30</v>
      </c>
      <c r="B87">
        <f>'הזנת נתונים'!A30</f>
        <v>340.66666666666799</v>
      </c>
      <c r="C87" s="27">
        <f t="shared" si="30"/>
        <v>440.38713807163759</v>
      </c>
      <c r="D87">
        <f t="shared" si="31"/>
        <v>99.720471404969601</v>
      </c>
      <c r="E87">
        <f t="shared" si="32"/>
        <v>9944.1724172293598</v>
      </c>
      <c r="H87">
        <v>3</v>
      </c>
      <c r="K87" s="39" t="s">
        <v>14</v>
      </c>
      <c r="L87" s="39">
        <f>L75^2</f>
        <v>1</v>
      </c>
      <c r="M87" s="39">
        <f>M75^2</f>
        <v>4</v>
      </c>
      <c r="R87" s="30">
        <f>P67</f>
        <v>0.88401381048939509</v>
      </c>
    </row>
    <row r="88" spans="1:26" x14ac:dyDescent="0.25">
      <c r="A88">
        <v>31</v>
      </c>
      <c r="B88">
        <f>'הזנת נתונים'!A31</f>
        <v>351.66666666666799</v>
      </c>
      <c r="C88" s="27">
        <f t="shared" si="30"/>
        <v>488.24559201401627</v>
      </c>
      <c r="D88">
        <f t="shared" si="31"/>
        <v>136.57892534734827</v>
      </c>
      <c r="E88">
        <f t="shared" si="32"/>
        <v>18653.802849036532</v>
      </c>
      <c r="H88">
        <v>3</v>
      </c>
      <c r="K88" s="39" t="s">
        <v>52</v>
      </c>
      <c r="L88" s="39">
        <f>L75^4</f>
        <v>1</v>
      </c>
      <c r="M88" s="39">
        <f>M75^4</f>
        <v>16</v>
      </c>
      <c r="R88" s="30">
        <f>Q67</f>
        <v>0.93987583086064974</v>
      </c>
    </row>
    <row r="89" spans="1:26" x14ac:dyDescent="0.25">
      <c r="A89">
        <v>32</v>
      </c>
      <c r="B89">
        <f>'הזנת נתונים'!A32</f>
        <v>362.66666666666799</v>
      </c>
      <c r="C89" s="27">
        <f t="shared" si="30"/>
        <v>531.39017423007192</v>
      </c>
      <c r="D89">
        <f t="shared" si="31"/>
        <v>168.72350756340393</v>
      </c>
      <c r="E89">
        <f t="shared" si="32"/>
        <v>28467.622004498022</v>
      </c>
      <c r="H89">
        <v>3</v>
      </c>
      <c r="K89" s="39" t="s">
        <v>81</v>
      </c>
      <c r="L89" s="39">
        <f>L76*L87</f>
        <v>78.686415086950802</v>
      </c>
      <c r="M89" s="39">
        <f>M76*M87</f>
        <v>899.55431211215421</v>
      </c>
      <c r="R89" s="30">
        <f>R67</f>
        <v>1.0420155172278802</v>
      </c>
    </row>
    <row r="90" spans="1:26" x14ac:dyDescent="0.25">
      <c r="A90">
        <v>33</v>
      </c>
      <c r="B90">
        <f>'הזנת נתונים'!A33</f>
        <v>373.66666666666799</v>
      </c>
      <c r="C90" s="27">
        <f t="shared" si="30"/>
        <v>574.53475644612831</v>
      </c>
      <c r="D90">
        <f t="shared" si="31"/>
        <v>200.86808977946032</v>
      </c>
      <c r="E90">
        <f t="shared" si="32"/>
        <v>40347.989491649329</v>
      </c>
      <c r="H90">
        <v>3</v>
      </c>
      <c r="R90" s="30">
        <f>S67</f>
        <v>1.1340948414220726</v>
      </c>
    </row>
    <row r="91" spans="1:26" x14ac:dyDescent="0.25">
      <c r="A91">
        <v>34</v>
      </c>
      <c r="B91">
        <f>'הזנת נתונים'!A34</f>
        <v>384.66666666666799</v>
      </c>
      <c r="C91" s="27">
        <f t="shared" si="30"/>
        <v>617.67933866218391</v>
      </c>
      <c r="D91">
        <f t="shared" si="31"/>
        <v>233.01267199551592</v>
      </c>
      <c r="E91">
        <f t="shared" si="32"/>
        <v>54294.905310489885</v>
      </c>
      <c r="H91">
        <v>3</v>
      </c>
      <c r="R91" s="30">
        <f>T67</f>
        <v>1.2261741656162668</v>
      </c>
    </row>
    <row r="92" spans="1:26" x14ac:dyDescent="0.25">
      <c r="A92">
        <v>35</v>
      </c>
      <c r="B92">
        <f>'הזנת נתונים'!A35</f>
        <v>395.66666666666799</v>
      </c>
      <c r="C92" s="27">
        <f t="shared" si="30"/>
        <v>660.82392087823951</v>
      </c>
      <c r="D92">
        <f t="shared" si="31"/>
        <v>265.15725421157151</v>
      </c>
      <c r="E92">
        <f t="shared" si="32"/>
        <v>70308.36946101996</v>
      </c>
      <c r="H92">
        <v>3</v>
      </c>
      <c r="R92" s="30">
        <f>U67</f>
        <v>1.318253489810459</v>
      </c>
    </row>
    <row r="93" spans="1:26" x14ac:dyDescent="0.25">
      <c r="A93">
        <v>36</v>
      </c>
      <c r="B93">
        <f>'הזנת נתונים'!A36</f>
        <v>406.66666666666799</v>
      </c>
      <c r="C93" s="27">
        <f t="shared" si="30"/>
        <v>703.96850309429499</v>
      </c>
      <c r="D93">
        <f t="shared" si="31"/>
        <v>297.30183642762699</v>
      </c>
      <c r="E93">
        <f t="shared" si="32"/>
        <v>88388.381943239481</v>
      </c>
      <c r="H93">
        <v>3</v>
      </c>
      <c r="K93" t="s">
        <v>80</v>
      </c>
      <c r="L93">
        <f>(M78*M82-M79*M81)/(M78*M80-(M81)^2)</f>
        <v>48.734054313695907</v>
      </c>
      <c r="R93" s="30">
        <f>V67</f>
        <v>1.4103328140046514</v>
      </c>
    </row>
    <row r="94" spans="1:26" x14ac:dyDescent="0.25">
      <c r="A94">
        <v>37</v>
      </c>
      <c r="B94">
        <f>'הזנת נתונים'!A37</f>
        <v>417.66666666666799</v>
      </c>
      <c r="C94" s="27">
        <f>($L$138+$L$137*H94^2)*S123</f>
        <v>446.3894837039104</v>
      </c>
      <c r="D94">
        <f t="shared" si="31"/>
        <v>28.722817037242407</v>
      </c>
      <c r="E94">
        <f t="shared" si="32"/>
        <v>825.00021855490274</v>
      </c>
      <c r="H94">
        <v>4</v>
      </c>
      <c r="K94" t="s">
        <v>7</v>
      </c>
      <c r="L94">
        <f>(M79-L93*M81)/(M78)</f>
        <v>29.95236077325491</v>
      </c>
      <c r="R94" s="30">
        <f>W67</f>
        <v>1.5024121381988436</v>
      </c>
    </row>
    <row r="95" spans="1:26" x14ac:dyDescent="0.25">
      <c r="A95">
        <v>38</v>
      </c>
      <c r="B95">
        <f>'הזנת נתונים'!A38</f>
        <v>428.66666666666902</v>
      </c>
      <c r="C95" s="27">
        <f t="shared" ref="C95:C105" si="33">($L$138+$L$137*H95^2)*S124</f>
        <v>486.17921271415923</v>
      </c>
      <c r="D95">
        <f t="shared" ref="D95:D106" si="34">C95-B95</f>
        <v>57.512546047490218</v>
      </c>
      <c r="E95">
        <f t="shared" ref="E95:E106" si="35">D95^2</f>
        <v>3307.6929528646829</v>
      </c>
      <c r="H95">
        <v>4</v>
      </c>
    </row>
    <row r="96" spans="1:26" x14ac:dyDescent="0.25">
      <c r="A96">
        <v>39</v>
      </c>
      <c r="B96">
        <f>'הזנת נתונים'!A39</f>
        <v>439.66666666666902</v>
      </c>
      <c r="C96" s="27">
        <f t="shared" si="33"/>
        <v>520.2382913876362</v>
      </c>
      <c r="D96">
        <f t="shared" si="34"/>
        <v>80.571624720967179</v>
      </c>
      <c r="E96">
        <f t="shared" si="35"/>
        <v>6491.7867101763695</v>
      </c>
      <c r="H96">
        <v>4</v>
      </c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4" x14ac:dyDescent="0.25">
      <c r="A97">
        <v>40</v>
      </c>
      <c r="B97">
        <f>'הזנת נתונים'!A40</f>
        <v>450.66666666666902</v>
      </c>
      <c r="C97" s="27">
        <f t="shared" si="33"/>
        <v>582.95062174497298</v>
      </c>
      <c r="D97">
        <f t="shared" si="34"/>
        <v>132.28395507830396</v>
      </c>
      <c r="E97">
        <f t="shared" si="35"/>
        <v>17499.04477115874</v>
      </c>
      <c r="H97">
        <v>4</v>
      </c>
    </row>
    <row r="98" spans="1:24" x14ac:dyDescent="0.25">
      <c r="A98">
        <v>41</v>
      </c>
      <c r="B98">
        <f>'הזנת נתונים'!A41</f>
        <v>461.66666666666902</v>
      </c>
      <c r="C98" s="27">
        <f t="shared" si="33"/>
        <v>645.66295210230999</v>
      </c>
      <c r="D98">
        <f t="shared" si="34"/>
        <v>183.99628543564097</v>
      </c>
      <c r="E98">
        <f t="shared" si="35"/>
        <v>33854.633054113867</v>
      </c>
      <c r="H98">
        <v>4</v>
      </c>
    </row>
    <row r="99" spans="1:24" x14ac:dyDescent="0.25">
      <c r="A99">
        <v>42</v>
      </c>
      <c r="B99">
        <f>'הזנת נתונים'!A42</f>
        <v>472.66666666666902</v>
      </c>
      <c r="C99" s="27">
        <f t="shared" si="33"/>
        <v>679.72203077578683</v>
      </c>
      <c r="D99">
        <f t="shared" si="34"/>
        <v>207.05536410911782</v>
      </c>
      <c r="E99">
        <f t="shared" si="35"/>
        <v>42871.923806359358</v>
      </c>
      <c r="H99">
        <v>4</v>
      </c>
      <c r="K99" t="s">
        <v>65</v>
      </c>
      <c r="L99" t="s">
        <v>63</v>
      </c>
      <c r="M99" t="s">
        <v>64</v>
      </c>
      <c r="N99" t="s">
        <v>66</v>
      </c>
      <c r="O99" t="s">
        <v>67</v>
      </c>
      <c r="P99" t="s">
        <v>68</v>
      </c>
      <c r="Q99" t="s">
        <v>69</v>
      </c>
      <c r="R99" t="s">
        <v>70</v>
      </c>
      <c r="S99" t="s">
        <v>71</v>
      </c>
      <c r="T99" t="s">
        <v>72</v>
      </c>
      <c r="U99" t="s">
        <v>73</v>
      </c>
      <c r="V99" t="s">
        <v>74</v>
      </c>
      <c r="W99" t="s">
        <v>75</v>
      </c>
      <c r="X99" t="s">
        <v>76</v>
      </c>
    </row>
    <row r="100" spans="1:24" x14ac:dyDescent="0.25">
      <c r="A100">
        <v>43</v>
      </c>
      <c r="B100">
        <f>'הזנת נתונים'!A43</f>
        <v>483.66666666666902</v>
      </c>
      <c r="C100" s="27">
        <f t="shared" si="33"/>
        <v>735.74860240688974</v>
      </c>
      <c r="D100">
        <f t="shared" si="34"/>
        <v>252.08193574022073</v>
      </c>
      <c r="E100">
        <f t="shared" si="35"/>
        <v>63545.302326536774</v>
      </c>
      <c r="H100">
        <v>4</v>
      </c>
      <c r="K100">
        <v>1</v>
      </c>
      <c r="L100">
        <f>B2</f>
        <v>28</v>
      </c>
      <c r="M100">
        <f t="shared" ref="M100:W102" si="36">C2</f>
        <v>35</v>
      </c>
      <c r="N100">
        <f t="shared" si="36"/>
        <v>40</v>
      </c>
      <c r="O100">
        <f t="shared" si="36"/>
        <v>55</v>
      </c>
      <c r="P100">
        <f t="shared" si="36"/>
        <v>70</v>
      </c>
      <c r="Q100">
        <f t="shared" si="36"/>
        <v>75</v>
      </c>
      <c r="R100">
        <f t="shared" si="36"/>
        <v>87.6666666666667</v>
      </c>
      <c r="S100">
        <f t="shared" si="36"/>
        <v>98.6666666666667</v>
      </c>
      <c r="T100">
        <f t="shared" si="36"/>
        <v>109.666666666667</v>
      </c>
      <c r="U100">
        <f t="shared" si="36"/>
        <v>120.666666666667</v>
      </c>
      <c r="V100">
        <f t="shared" si="36"/>
        <v>131.666666666667</v>
      </c>
      <c r="W100">
        <f t="shared" si="36"/>
        <v>142.666666666667</v>
      </c>
      <c r="X100">
        <f>AVERAGE(L100:W100)</f>
        <v>82.833333333333442</v>
      </c>
    </row>
    <row r="101" spans="1:24" x14ac:dyDescent="0.25">
      <c r="A101">
        <v>44</v>
      </c>
      <c r="B101">
        <f>'הזנת נתונים'!A44</f>
        <v>494.66666666666902</v>
      </c>
      <c r="C101" s="27">
        <f t="shared" si="33"/>
        <v>786.99963209068267</v>
      </c>
      <c r="D101">
        <f t="shared" si="34"/>
        <v>292.33296542401365</v>
      </c>
      <c r="E101">
        <f t="shared" si="35"/>
        <v>85458.562673597567</v>
      </c>
      <c r="H101">
        <v>4</v>
      </c>
      <c r="K101">
        <v>2</v>
      </c>
      <c r="L101">
        <f t="shared" ref="L101:L102" si="37">B3</f>
        <v>153.666666666667</v>
      </c>
      <c r="M101">
        <f t="shared" si="36"/>
        <v>164.666666666667</v>
      </c>
      <c r="N101">
        <f t="shared" si="36"/>
        <v>175.666666666667</v>
      </c>
      <c r="O101">
        <f t="shared" si="36"/>
        <v>186.666666666667</v>
      </c>
      <c r="P101">
        <f t="shared" si="36"/>
        <v>197.666666666667</v>
      </c>
      <c r="Q101">
        <f t="shared" si="36"/>
        <v>208.666666666667</v>
      </c>
      <c r="R101">
        <f t="shared" si="36"/>
        <v>219.666666666667</v>
      </c>
      <c r="S101">
        <f t="shared" si="36"/>
        <v>230.666666666667</v>
      </c>
      <c r="T101">
        <f t="shared" si="36"/>
        <v>241.666666666667</v>
      </c>
      <c r="U101">
        <f t="shared" si="36"/>
        <v>252.666666666667</v>
      </c>
      <c r="V101">
        <f t="shared" si="36"/>
        <v>263.66666666666703</v>
      </c>
      <c r="W101">
        <f t="shared" si="36"/>
        <v>274.66666666666703</v>
      </c>
      <c r="X101">
        <f t="shared" ref="X101:X102" si="38">AVERAGE(L101:W101)</f>
        <v>214.166666666667</v>
      </c>
    </row>
    <row r="102" spans="1:24" x14ac:dyDescent="0.25">
      <c r="A102">
        <v>45</v>
      </c>
      <c r="B102">
        <f>'הזנת נתונים'!A45</f>
        <v>505.66666666666799</v>
      </c>
      <c r="C102" s="27">
        <f t="shared" si="33"/>
        <v>838.25066177447638</v>
      </c>
      <c r="D102">
        <f t="shared" si="34"/>
        <v>332.58399510780839</v>
      </c>
      <c r="E102">
        <f t="shared" si="35"/>
        <v>110612.11380187071</v>
      </c>
      <c r="H102">
        <v>4</v>
      </c>
      <c r="K102">
        <v>3</v>
      </c>
      <c r="L102">
        <f t="shared" si="37"/>
        <v>285.66666666666799</v>
      </c>
      <c r="M102">
        <f t="shared" si="36"/>
        <v>296.66666666666799</v>
      </c>
      <c r="N102">
        <f t="shared" si="36"/>
        <v>307.66666666666799</v>
      </c>
      <c r="O102">
        <f t="shared" si="36"/>
        <v>318.66666666666799</v>
      </c>
      <c r="P102">
        <f t="shared" si="36"/>
        <v>329.66666666666799</v>
      </c>
      <c r="Q102">
        <f t="shared" si="36"/>
        <v>340.66666666666799</v>
      </c>
      <c r="R102">
        <f t="shared" si="36"/>
        <v>351.66666666666799</v>
      </c>
      <c r="S102">
        <f t="shared" si="36"/>
        <v>362.66666666666799</v>
      </c>
      <c r="T102">
        <f t="shared" si="36"/>
        <v>373.66666666666799</v>
      </c>
      <c r="U102">
        <f t="shared" si="36"/>
        <v>384.66666666666799</v>
      </c>
      <c r="V102">
        <f t="shared" si="36"/>
        <v>395.66666666666799</v>
      </c>
      <c r="W102">
        <f t="shared" si="36"/>
        <v>406.66666666666799</v>
      </c>
      <c r="X102">
        <f t="shared" si="38"/>
        <v>346.16666666666794</v>
      </c>
    </row>
    <row r="103" spans="1:24" x14ac:dyDescent="0.25">
      <c r="A103">
        <v>46</v>
      </c>
      <c r="B103">
        <f>'הזנת נתונים'!A46</f>
        <v>516.66666666666902</v>
      </c>
      <c r="C103" s="27">
        <f t="shared" si="33"/>
        <v>889.50169145826919</v>
      </c>
      <c r="D103">
        <f t="shared" si="34"/>
        <v>372.83502479160018</v>
      </c>
      <c r="E103">
        <f t="shared" si="35"/>
        <v>139005.9557113531</v>
      </c>
      <c r="H103">
        <v>4</v>
      </c>
    </row>
    <row r="104" spans="1:24" x14ac:dyDescent="0.25">
      <c r="A104">
        <v>47</v>
      </c>
      <c r="B104">
        <f>'הזנת נתונים'!A47</f>
        <v>527.66666666666902</v>
      </c>
      <c r="C104" s="27">
        <f t="shared" si="33"/>
        <v>940.75272114206211</v>
      </c>
      <c r="D104">
        <f t="shared" si="34"/>
        <v>413.0860544753931</v>
      </c>
      <c r="E104">
        <f t="shared" si="35"/>
        <v>170640.08840204743</v>
      </c>
      <c r="H104">
        <v>4</v>
      </c>
    </row>
    <row r="105" spans="1:24" x14ac:dyDescent="0.25">
      <c r="A105">
        <v>48</v>
      </c>
      <c r="B105">
        <f>'הזנת נתונים'!A48</f>
        <v>538.66666666666902</v>
      </c>
      <c r="C105" s="27">
        <f t="shared" si="33"/>
        <v>992.00375082585515</v>
      </c>
      <c r="D105">
        <f t="shared" si="34"/>
        <v>453.33708415918613</v>
      </c>
      <c r="E105">
        <f t="shared" si="35"/>
        <v>205514.51187395302</v>
      </c>
      <c r="H105">
        <v>4</v>
      </c>
      <c r="K105" t="s">
        <v>65</v>
      </c>
      <c r="L105" t="s">
        <v>63</v>
      </c>
      <c r="M105" t="s">
        <v>64</v>
      </c>
      <c r="N105" t="s">
        <v>66</v>
      </c>
      <c r="O105" t="s">
        <v>67</v>
      </c>
      <c r="P105" t="s">
        <v>68</v>
      </c>
      <c r="Q105" t="s">
        <v>69</v>
      </c>
      <c r="R105" t="s">
        <v>70</v>
      </c>
      <c r="S105" t="s">
        <v>71</v>
      </c>
      <c r="T105" t="s">
        <v>72</v>
      </c>
      <c r="U105" t="s">
        <v>73</v>
      </c>
      <c r="V105" t="s">
        <v>74</v>
      </c>
      <c r="W105" t="s">
        <v>75</v>
      </c>
    </row>
    <row r="106" spans="1:24" x14ac:dyDescent="0.25">
      <c r="A106">
        <v>49</v>
      </c>
      <c r="B106">
        <f>'הזנת נתונים'!A49</f>
        <v>549.66666666666902</v>
      </c>
      <c r="C106" s="27">
        <f>($L$183+$L$182*H106^2)*S168</f>
        <v>517.28575695498137</v>
      </c>
      <c r="D106">
        <f t="shared" si="34"/>
        <v>-32.38090971168765</v>
      </c>
      <c r="E106">
        <f t="shared" si="35"/>
        <v>1048.5233137564676</v>
      </c>
      <c r="H106">
        <v>5</v>
      </c>
      <c r="K106">
        <v>1</v>
      </c>
      <c r="L106">
        <f>L100/$X100</f>
        <v>0.33802816901408406</v>
      </c>
      <c r="M106">
        <f t="shared" ref="M106:W106" si="39">M100/$X100</f>
        <v>0.42253521126760507</v>
      </c>
      <c r="N106">
        <f t="shared" si="39"/>
        <v>0.4828973843058344</v>
      </c>
      <c r="O106">
        <f t="shared" si="39"/>
        <v>0.66398390342052227</v>
      </c>
      <c r="P106">
        <f t="shared" si="39"/>
        <v>0.84507042253521014</v>
      </c>
      <c r="Q106">
        <f t="shared" si="39"/>
        <v>0.90543259557343947</v>
      </c>
      <c r="R106">
        <f t="shared" si="39"/>
        <v>1.0583501006036207</v>
      </c>
      <c r="S106">
        <f t="shared" si="39"/>
        <v>1.1911468812877253</v>
      </c>
      <c r="T106">
        <f t="shared" si="39"/>
        <v>1.3239436619718332</v>
      </c>
      <c r="U106">
        <f t="shared" si="39"/>
        <v>1.4567404426559376</v>
      </c>
      <c r="V106">
        <f t="shared" si="39"/>
        <v>1.5895372233400422</v>
      </c>
      <c r="W106">
        <f t="shared" si="39"/>
        <v>1.7223340040241466</v>
      </c>
    </row>
    <row r="107" spans="1:24" x14ac:dyDescent="0.25">
      <c r="A107">
        <v>50</v>
      </c>
      <c r="B107">
        <f>'הזנת נתונים'!A50</f>
        <v>560.66666666666902</v>
      </c>
      <c r="C107" s="27">
        <f t="shared" ref="C107:C117" si="40">($L$183+$L$182*H107^2)*S169</f>
        <v>553.09254630223222</v>
      </c>
      <c r="D107">
        <f t="shared" ref="D107:D117" si="41">C107-B107</f>
        <v>-7.5741203644367943</v>
      </c>
      <c r="E107">
        <f t="shared" ref="E107:E117" si="42">D107^2</f>
        <v>57.367299294976156</v>
      </c>
      <c r="H107">
        <v>5</v>
      </c>
      <c r="K107">
        <v>2</v>
      </c>
      <c r="L107">
        <f t="shared" ref="L107:W107" si="43">L101/$X101</f>
        <v>0.71750972762645959</v>
      </c>
      <c r="M107">
        <f t="shared" si="43"/>
        <v>0.76887159533073968</v>
      </c>
      <c r="N107">
        <f t="shared" si="43"/>
        <v>0.82023346303501976</v>
      </c>
      <c r="O107">
        <f t="shared" si="43"/>
        <v>0.87159533073929985</v>
      </c>
      <c r="P107">
        <f t="shared" si="43"/>
        <v>0.92295719844357993</v>
      </c>
      <c r="Q107">
        <f t="shared" si="43"/>
        <v>0.97431906614786001</v>
      </c>
      <c r="R107">
        <f t="shared" si="43"/>
        <v>1.02568093385214</v>
      </c>
      <c r="S107">
        <f t="shared" si="43"/>
        <v>1.0770428015564202</v>
      </c>
      <c r="T107">
        <f t="shared" si="43"/>
        <v>1.1284046692607002</v>
      </c>
      <c r="U107">
        <f t="shared" si="43"/>
        <v>1.1797665369649804</v>
      </c>
      <c r="V107">
        <f t="shared" si="43"/>
        <v>1.2311284046692605</v>
      </c>
      <c r="W107">
        <f t="shared" si="43"/>
        <v>1.2824902723735405</v>
      </c>
    </row>
    <row r="108" spans="1:24" x14ac:dyDescent="0.25">
      <c r="A108">
        <v>51</v>
      </c>
      <c r="B108">
        <f>'הזנת נתונים'!A51</f>
        <v>571.66666666666902</v>
      </c>
      <c r="C108" s="27">
        <f t="shared" si="40"/>
        <v>584.36458581859483</v>
      </c>
      <c r="D108">
        <f t="shared" si="41"/>
        <v>12.697919151925817</v>
      </c>
      <c r="E108">
        <f t="shared" si="42"/>
        <v>161.23715078884445</v>
      </c>
      <c r="H108">
        <v>5</v>
      </c>
      <c r="K108">
        <v>3</v>
      </c>
      <c r="L108">
        <f t="shared" ref="L108:W108" si="44">L102/$X102</f>
        <v>0.82522869523351072</v>
      </c>
      <c r="M108">
        <f t="shared" si="44"/>
        <v>0.85700529610014509</v>
      </c>
      <c r="N108">
        <f t="shared" si="44"/>
        <v>0.88878189696677956</v>
      </c>
      <c r="O108">
        <f t="shared" si="44"/>
        <v>0.92055849783341404</v>
      </c>
      <c r="P108">
        <f t="shared" si="44"/>
        <v>0.95233509870004851</v>
      </c>
      <c r="Q108">
        <f t="shared" si="44"/>
        <v>0.98411169956668298</v>
      </c>
      <c r="R108">
        <f t="shared" si="44"/>
        <v>1.0158883004333175</v>
      </c>
      <c r="S108">
        <f t="shared" si="44"/>
        <v>1.0476649012999519</v>
      </c>
      <c r="T108">
        <f t="shared" si="44"/>
        <v>1.0794415021665862</v>
      </c>
      <c r="U108">
        <f t="shared" si="44"/>
        <v>1.1112181030332207</v>
      </c>
      <c r="V108">
        <f t="shared" si="44"/>
        <v>1.1429947038998551</v>
      </c>
      <c r="W108">
        <f t="shared" si="44"/>
        <v>1.1747713047664896</v>
      </c>
    </row>
    <row r="109" spans="1:24" x14ac:dyDescent="0.25">
      <c r="A109">
        <v>52</v>
      </c>
      <c r="B109">
        <f>'הזנת נתונים'!A52</f>
        <v>582.66666666666902</v>
      </c>
      <c r="C109" s="27">
        <f t="shared" si="40"/>
        <v>638.31037448939742</v>
      </c>
      <c r="D109">
        <f t="shared" si="41"/>
        <v>55.643707822728402</v>
      </c>
      <c r="E109">
        <f t="shared" si="42"/>
        <v>3096.2222202611661</v>
      </c>
      <c r="H109">
        <v>5</v>
      </c>
      <c r="K109" t="s">
        <v>77</v>
      </c>
      <c r="L109">
        <f>AVERAGE(L106:L108)</f>
        <v>0.62692219729135157</v>
      </c>
      <c r="M109">
        <f t="shared" ref="M109:W109" si="45">AVERAGE(M106:M108)</f>
        <v>0.68280403423282987</v>
      </c>
      <c r="N109">
        <f t="shared" si="45"/>
        <v>0.73063758143587787</v>
      </c>
      <c r="O109">
        <f t="shared" si="45"/>
        <v>0.81871257733107861</v>
      </c>
      <c r="P109">
        <f t="shared" si="45"/>
        <v>0.90678757322627968</v>
      </c>
      <c r="Q109">
        <f t="shared" si="45"/>
        <v>0.95462112042932745</v>
      </c>
      <c r="R109">
        <f t="shared" si="45"/>
        <v>1.033306444963026</v>
      </c>
      <c r="S109">
        <f t="shared" si="45"/>
        <v>1.1052848613813657</v>
      </c>
      <c r="T109">
        <f t="shared" si="45"/>
        <v>1.1772632777997065</v>
      </c>
      <c r="U109">
        <f t="shared" si="45"/>
        <v>1.2492416942180462</v>
      </c>
      <c r="V109">
        <f t="shared" si="45"/>
        <v>1.3212201106363859</v>
      </c>
      <c r="W109">
        <f t="shared" si="45"/>
        <v>1.3931985270547258</v>
      </c>
    </row>
    <row r="110" spans="1:24" x14ac:dyDescent="0.25">
      <c r="A110">
        <v>53</v>
      </c>
      <c r="B110">
        <f>'הזנת נתונים'!A53</f>
        <v>593.66666666666902</v>
      </c>
      <c r="C110" s="27">
        <f t="shared" si="40"/>
        <v>692.2561631602</v>
      </c>
      <c r="D110">
        <f t="shared" si="41"/>
        <v>98.589496493530987</v>
      </c>
      <c r="E110">
        <f t="shared" si="42"/>
        <v>9719.8888188479596</v>
      </c>
      <c r="H110">
        <v>5</v>
      </c>
    </row>
    <row r="111" spans="1:24" x14ac:dyDescent="0.25">
      <c r="A111">
        <v>54</v>
      </c>
      <c r="B111">
        <f>'הזנת נתונים'!A54</f>
        <v>604.66666666666902</v>
      </c>
      <c r="C111" s="27">
        <f t="shared" si="40"/>
        <v>723.52820267656261</v>
      </c>
      <c r="D111">
        <f t="shared" si="41"/>
        <v>118.8615360098936</v>
      </c>
      <c r="E111">
        <f t="shared" si="42"/>
        <v>14128.064742631232</v>
      </c>
      <c r="H111">
        <v>5</v>
      </c>
    </row>
    <row r="112" spans="1:24" x14ac:dyDescent="0.25">
      <c r="A112">
        <v>55</v>
      </c>
      <c r="B112">
        <f>'הזנת נתונים'!A55</f>
        <v>615.66666666666902</v>
      </c>
      <c r="C112" s="27">
        <f t="shared" si="40"/>
        <v>772.18344987799583</v>
      </c>
      <c r="D112">
        <f t="shared" si="41"/>
        <v>156.51678321132681</v>
      </c>
      <c r="E112">
        <f t="shared" si="42"/>
        <v>24497.503426821473</v>
      </c>
      <c r="H112">
        <v>5</v>
      </c>
      <c r="K112" t="s">
        <v>65</v>
      </c>
      <c r="L112" t="s">
        <v>63</v>
      </c>
      <c r="M112" t="s">
        <v>64</v>
      </c>
      <c r="N112" t="s">
        <v>66</v>
      </c>
      <c r="O112" t="s">
        <v>67</v>
      </c>
      <c r="P112" t="s">
        <v>68</v>
      </c>
      <c r="Q112" t="s">
        <v>69</v>
      </c>
      <c r="R112" t="s">
        <v>70</v>
      </c>
      <c r="S112" t="s">
        <v>71</v>
      </c>
      <c r="T112" t="s">
        <v>72</v>
      </c>
      <c r="U112" t="s">
        <v>73</v>
      </c>
      <c r="V112" t="s">
        <v>74</v>
      </c>
      <c r="W112" t="s">
        <v>75</v>
      </c>
      <c r="X112" t="s">
        <v>98</v>
      </c>
    </row>
    <row r="113" spans="1:24" x14ac:dyDescent="0.25">
      <c r="A113">
        <v>56</v>
      </c>
      <c r="B113">
        <f>'הזנת נתונים'!A56</f>
        <v>626.66666666666902</v>
      </c>
      <c r="C113" s="27">
        <f t="shared" si="40"/>
        <v>817.05973888702249</v>
      </c>
      <c r="D113">
        <f t="shared" si="41"/>
        <v>190.39307222035347</v>
      </c>
      <c r="E113">
        <f t="shared" si="42"/>
        <v>36249.521949504735</v>
      </c>
      <c r="H113">
        <v>5</v>
      </c>
      <c r="K113">
        <v>1</v>
      </c>
      <c r="L113">
        <f>L100/L$109</f>
        <v>44.662639352977749</v>
      </c>
      <c r="M113">
        <f t="shared" ref="M113:W113" si="46">M100/M$109</f>
        <v>51.25921676682028</v>
      </c>
      <c r="N113">
        <f t="shared" si="46"/>
        <v>54.746704818263545</v>
      </c>
      <c r="O113">
        <f t="shared" si="46"/>
        <v>67.178643058464445</v>
      </c>
      <c r="P113">
        <f t="shared" si="46"/>
        <v>77.195588103336533</v>
      </c>
      <c r="Q113">
        <f t="shared" si="46"/>
        <v>78.565200784861958</v>
      </c>
      <c r="R113">
        <f t="shared" si="46"/>
        <v>84.84091732322797</v>
      </c>
      <c r="S113">
        <f t="shared" si="46"/>
        <v>89.268088358104194</v>
      </c>
      <c r="T113">
        <f t="shared" si="46"/>
        <v>93.153900860335099</v>
      </c>
      <c r="U113">
        <f t="shared" si="46"/>
        <v>96.591930308728152</v>
      </c>
      <c r="V113">
        <f t="shared" si="46"/>
        <v>99.655360682670604</v>
      </c>
      <c r="W113">
        <f t="shared" si="46"/>
        <v>102.40225200946035</v>
      </c>
      <c r="X113">
        <f>AVERAGE(L113:W113)</f>
        <v>78.293370202270893</v>
      </c>
    </row>
    <row r="114" spans="1:24" x14ac:dyDescent="0.25">
      <c r="A114">
        <v>57</v>
      </c>
      <c r="B114">
        <f>'הזנת נתונים'!A57</f>
        <v>637.66666666666902</v>
      </c>
      <c r="C114" s="27">
        <f t="shared" si="40"/>
        <v>861.93602789604927</v>
      </c>
      <c r="D114">
        <f t="shared" si="41"/>
        <v>224.26936122938025</v>
      </c>
      <c r="E114">
        <f t="shared" si="42"/>
        <v>50296.746386234248</v>
      </c>
      <c r="H114">
        <v>5</v>
      </c>
      <c r="K114">
        <v>2</v>
      </c>
      <c r="L114">
        <f t="shared" ref="L114:W115" si="47">L101/L$109</f>
        <v>245.1128183538427</v>
      </c>
      <c r="M114">
        <f t="shared" si="47"/>
        <v>241.16241031246923</v>
      </c>
      <c r="N114">
        <f t="shared" si="47"/>
        <v>240.42927866020787</v>
      </c>
      <c r="O114">
        <f t="shared" si="47"/>
        <v>228.0002431075161</v>
      </c>
      <c r="P114">
        <f t="shared" si="47"/>
        <v>217.98563688227924</v>
      </c>
      <c r="Q114">
        <f t="shared" si="47"/>
        <v>218.58584751699408</v>
      </c>
      <c r="R114">
        <f t="shared" si="47"/>
        <v>212.58617686694788</v>
      </c>
      <c r="S114">
        <f t="shared" si="47"/>
        <v>208.69431467502761</v>
      </c>
      <c r="T114">
        <f t="shared" si="47"/>
        <v>205.27835295970468</v>
      </c>
      <c r="U114">
        <f t="shared" si="47"/>
        <v>202.25603086744704</v>
      </c>
      <c r="V114">
        <f t="shared" si="47"/>
        <v>199.56301341770217</v>
      </c>
      <c r="W114">
        <f t="shared" si="47"/>
        <v>197.14826087802626</v>
      </c>
      <c r="X114">
        <f t="shared" ref="X114:X115" si="48">AVERAGE(L114:W114)</f>
        <v>218.06686537484708</v>
      </c>
    </row>
    <row r="115" spans="1:24" x14ac:dyDescent="0.25">
      <c r="A115">
        <v>58</v>
      </c>
      <c r="B115">
        <f>'הזנת נתונים'!A58</f>
        <v>648.66666666666902</v>
      </c>
      <c r="C115" s="27">
        <f t="shared" si="40"/>
        <v>906.81231690507616</v>
      </c>
      <c r="D115">
        <f t="shared" si="41"/>
        <v>258.14565023840714</v>
      </c>
      <c r="E115">
        <f t="shared" si="42"/>
        <v>66639.176737010028</v>
      </c>
      <c r="H115">
        <v>5</v>
      </c>
      <c r="K115">
        <v>3</v>
      </c>
      <c r="L115">
        <f t="shared" si="47"/>
        <v>455.66526101788224</v>
      </c>
      <c r="M115">
        <f t="shared" si="47"/>
        <v>434.48288497590715</v>
      </c>
      <c r="N115">
        <f t="shared" si="47"/>
        <v>421.09340456047892</v>
      </c>
      <c r="O115">
        <f t="shared" si="47"/>
        <v>389.22898644783197</v>
      </c>
      <c r="P115">
        <f t="shared" si="47"/>
        <v>363.55446016285782</v>
      </c>
      <c r="Q115">
        <f t="shared" si="47"/>
        <v>356.86060089835217</v>
      </c>
      <c r="R115">
        <f t="shared" si="47"/>
        <v>340.33143641066846</v>
      </c>
      <c r="S115">
        <f t="shared" si="47"/>
        <v>328.12054099195166</v>
      </c>
      <c r="T115">
        <f t="shared" si="47"/>
        <v>317.40280505907509</v>
      </c>
      <c r="U115">
        <f t="shared" si="47"/>
        <v>307.92013142616673</v>
      </c>
      <c r="V115">
        <f t="shared" si="47"/>
        <v>299.47066615273445</v>
      </c>
      <c r="W115">
        <f t="shared" si="47"/>
        <v>291.89426974659284</v>
      </c>
      <c r="X115">
        <f t="shared" si="48"/>
        <v>358.8354539875416</v>
      </c>
    </row>
    <row r="116" spans="1:24" x14ac:dyDescent="0.25">
      <c r="A116">
        <v>59</v>
      </c>
      <c r="B116">
        <f>'הזנת נתונים'!A59</f>
        <v>659.66666666666902</v>
      </c>
      <c r="C116" s="27">
        <f t="shared" si="40"/>
        <v>951.68860591410282</v>
      </c>
      <c r="D116">
        <f t="shared" si="41"/>
        <v>292.02193924743381</v>
      </c>
      <c r="E116">
        <f t="shared" si="42"/>
        <v>85276.813001831921</v>
      </c>
      <c r="H116">
        <v>5</v>
      </c>
    </row>
    <row r="117" spans="1:24" x14ac:dyDescent="0.25">
      <c r="A117">
        <v>60</v>
      </c>
      <c r="B117">
        <f>'הזנת נתונים'!A60</f>
        <v>670.66666666666902</v>
      </c>
      <c r="C117" s="27">
        <f t="shared" si="40"/>
        <v>996.56489492312949</v>
      </c>
      <c r="D117">
        <f t="shared" si="41"/>
        <v>325.89822825646047</v>
      </c>
      <c r="E117">
        <f t="shared" si="42"/>
        <v>106209.65518070001</v>
      </c>
      <c r="H117">
        <v>5</v>
      </c>
    </row>
    <row r="119" spans="1:24" x14ac:dyDescent="0.25">
      <c r="K119" s="7" t="s">
        <v>1</v>
      </c>
      <c r="L119" s="7">
        <v>1</v>
      </c>
      <c r="M119" s="7">
        <v>2</v>
      </c>
      <c r="N119">
        <v>3</v>
      </c>
    </row>
    <row r="120" spans="1:24" x14ac:dyDescent="0.25">
      <c r="K120" s="7" t="s">
        <v>0</v>
      </c>
      <c r="L120" s="7">
        <f>X113</f>
        <v>78.293370202270893</v>
      </c>
      <c r="M120" s="7">
        <f>X114</f>
        <v>218.06686537484708</v>
      </c>
      <c r="N120">
        <f>X115</f>
        <v>358.8354539875416</v>
      </c>
    </row>
    <row r="122" spans="1:24" x14ac:dyDescent="0.25">
      <c r="K122" s="7" t="s">
        <v>97</v>
      </c>
      <c r="L122" s="7" t="s">
        <v>13</v>
      </c>
      <c r="M122" s="7">
        <f>COUNT(L120:N120)</f>
        <v>3</v>
      </c>
      <c r="S122" s="40" t="s">
        <v>99</v>
      </c>
    </row>
    <row r="123" spans="1:24" x14ac:dyDescent="0.25">
      <c r="K123" s="7"/>
      <c r="L123" s="7" t="s">
        <v>0</v>
      </c>
      <c r="M123" s="7">
        <f>SUM(L120:N120)</f>
        <v>655.19568956465957</v>
      </c>
      <c r="S123" s="40">
        <f>L109</f>
        <v>0.62692219729135157</v>
      </c>
    </row>
    <row r="124" spans="1:24" x14ac:dyDescent="0.25">
      <c r="K124" s="7"/>
      <c r="L124" s="7" t="s">
        <v>52</v>
      </c>
      <c r="M124" s="7">
        <f>SUM(L132:N132)</f>
        <v>98</v>
      </c>
      <c r="S124" s="40">
        <f>M109</f>
        <v>0.68280403423282987</v>
      </c>
    </row>
    <row r="125" spans="1:24" x14ac:dyDescent="0.25">
      <c r="K125" s="7"/>
      <c r="L125" s="7" t="s">
        <v>14</v>
      </c>
      <c r="M125" s="7">
        <f>SUM(L131:M131)</f>
        <v>5</v>
      </c>
      <c r="S125" s="40">
        <f>N109</f>
        <v>0.73063758143587787</v>
      </c>
    </row>
    <row r="126" spans="1:24" x14ac:dyDescent="0.25">
      <c r="K126" s="7"/>
      <c r="L126" s="7" t="s">
        <v>51</v>
      </c>
      <c r="M126" s="7">
        <f>SUM(L133:N133)</f>
        <v>4180.0799175895336</v>
      </c>
      <c r="S126" s="40">
        <f>O109</f>
        <v>0.81871257733107861</v>
      </c>
    </row>
    <row r="127" spans="1:24" x14ac:dyDescent="0.25">
      <c r="S127" s="40">
        <f>P109</f>
        <v>0.90678757322627968</v>
      </c>
    </row>
    <row r="128" spans="1:24" x14ac:dyDescent="0.25">
      <c r="S128" s="40">
        <f>Q109</f>
        <v>0.95462112042932745</v>
      </c>
    </row>
    <row r="129" spans="11:27" x14ac:dyDescent="0.25">
      <c r="K129" s="39" t="s">
        <v>18</v>
      </c>
      <c r="L129" s="39"/>
      <c r="M129" s="39"/>
      <c r="S129" s="40">
        <f>R109</f>
        <v>1.033306444963026</v>
      </c>
    </row>
    <row r="130" spans="11:27" x14ac:dyDescent="0.25">
      <c r="K130" s="39" t="s">
        <v>79</v>
      </c>
      <c r="L130" s="39">
        <f>L120*L119</f>
        <v>78.293370202270893</v>
      </c>
      <c r="M130" s="39">
        <f>M120*M119</f>
        <v>436.13373074969417</v>
      </c>
      <c r="N130" s="39">
        <f>N120*N119</f>
        <v>1076.5063619626249</v>
      </c>
      <c r="S130" s="40">
        <f>S109</f>
        <v>1.1052848613813657</v>
      </c>
    </row>
    <row r="131" spans="11:27" x14ac:dyDescent="0.25">
      <c r="K131" s="39" t="s">
        <v>14</v>
      </c>
      <c r="L131" s="39">
        <f>L119^2</f>
        <v>1</v>
      </c>
      <c r="M131" s="39">
        <f>M119^2</f>
        <v>4</v>
      </c>
      <c r="N131" s="39">
        <f>N119^2</f>
        <v>9</v>
      </c>
      <c r="S131" s="40">
        <f>T109</f>
        <v>1.1772632777997065</v>
      </c>
    </row>
    <row r="132" spans="11:27" x14ac:dyDescent="0.25">
      <c r="K132" s="39" t="s">
        <v>52</v>
      </c>
      <c r="L132" s="39">
        <f>L119^4</f>
        <v>1</v>
      </c>
      <c r="M132" s="39">
        <f>M119^4</f>
        <v>16</v>
      </c>
      <c r="N132" s="39">
        <f>N119^4</f>
        <v>81</v>
      </c>
      <c r="S132" s="40">
        <f>U109</f>
        <v>1.2492416942180462</v>
      </c>
    </row>
    <row r="133" spans="11:27" x14ac:dyDescent="0.25">
      <c r="K133" s="39" t="s">
        <v>81</v>
      </c>
      <c r="L133" s="39">
        <f>L120*L131</f>
        <v>78.293370202270893</v>
      </c>
      <c r="M133" s="39">
        <f t="shared" ref="M133:N133" si="49">M120*M131</f>
        <v>872.26746149938833</v>
      </c>
      <c r="N133" s="39">
        <f t="shared" si="49"/>
        <v>3229.5190858878746</v>
      </c>
      <c r="S133" s="40">
        <f>V109</f>
        <v>1.3212201106363859</v>
      </c>
    </row>
    <row r="134" spans="11:27" x14ac:dyDescent="0.25">
      <c r="S134" s="40">
        <f>W109</f>
        <v>1.3931985270547258</v>
      </c>
    </row>
    <row r="137" spans="11:27" x14ac:dyDescent="0.25">
      <c r="K137" t="s">
        <v>80</v>
      </c>
      <c r="L137">
        <f>(M122*M126-M123*M125)/(M122*M124-(M125)^2)</f>
        <v>34.439633103885882</v>
      </c>
    </row>
    <row r="138" spans="11:27" x14ac:dyDescent="0.25">
      <c r="K138" t="s">
        <v>7</v>
      </c>
      <c r="L138">
        <f>(M123-L137*M125)/(M122)</f>
        <v>160.9991746817434</v>
      </c>
    </row>
    <row r="139" spans="11:27" x14ac:dyDescent="0.25"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</row>
    <row r="142" spans="11:27" x14ac:dyDescent="0.25">
      <c r="K142" t="s">
        <v>65</v>
      </c>
      <c r="L142" t="s">
        <v>63</v>
      </c>
      <c r="M142" t="s">
        <v>64</v>
      </c>
      <c r="N142" t="s">
        <v>66</v>
      </c>
      <c r="O142" t="s">
        <v>67</v>
      </c>
      <c r="P142" t="s">
        <v>68</v>
      </c>
      <c r="Q142" t="s">
        <v>69</v>
      </c>
      <c r="R142" t="s">
        <v>70</v>
      </c>
      <c r="S142" t="s">
        <v>71</v>
      </c>
      <c r="T142" t="s">
        <v>72</v>
      </c>
      <c r="U142" t="s">
        <v>73</v>
      </c>
      <c r="V142" t="s">
        <v>74</v>
      </c>
      <c r="W142" t="s">
        <v>75</v>
      </c>
      <c r="X142" t="s">
        <v>76</v>
      </c>
    </row>
    <row r="143" spans="11:27" x14ac:dyDescent="0.25">
      <c r="K143">
        <v>1</v>
      </c>
      <c r="L143">
        <f>B2</f>
        <v>28</v>
      </c>
      <c r="M143">
        <f t="shared" ref="M143:W143" si="50">C2</f>
        <v>35</v>
      </c>
      <c r="N143">
        <f t="shared" si="50"/>
        <v>40</v>
      </c>
      <c r="O143">
        <f t="shared" si="50"/>
        <v>55</v>
      </c>
      <c r="P143">
        <f t="shared" si="50"/>
        <v>70</v>
      </c>
      <c r="Q143">
        <f t="shared" si="50"/>
        <v>75</v>
      </c>
      <c r="R143">
        <f t="shared" si="50"/>
        <v>87.6666666666667</v>
      </c>
      <c r="S143">
        <f t="shared" si="50"/>
        <v>98.6666666666667</v>
      </c>
      <c r="T143">
        <f t="shared" si="50"/>
        <v>109.666666666667</v>
      </c>
      <c r="U143">
        <f t="shared" si="50"/>
        <v>120.666666666667</v>
      </c>
      <c r="V143">
        <f t="shared" si="50"/>
        <v>131.666666666667</v>
      </c>
      <c r="W143">
        <f t="shared" si="50"/>
        <v>142.666666666667</v>
      </c>
      <c r="X143">
        <f>AVERAGE(L143:W143)</f>
        <v>82.833333333333442</v>
      </c>
    </row>
    <row r="144" spans="11:27" x14ac:dyDescent="0.25">
      <c r="K144">
        <v>2</v>
      </c>
      <c r="L144">
        <f t="shared" ref="L144:L146" si="51">B3</f>
        <v>153.666666666667</v>
      </c>
      <c r="M144">
        <f t="shared" ref="M144:M146" si="52">C3</f>
        <v>164.666666666667</v>
      </c>
      <c r="N144">
        <f t="shared" ref="N144:N146" si="53">D3</f>
        <v>175.666666666667</v>
      </c>
      <c r="O144">
        <f t="shared" ref="O144:O146" si="54">E3</f>
        <v>186.666666666667</v>
      </c>
      <c r="P144">
        <f t="shared" ref="P144:P146" si="55">F3</f>
        <v>197.666666666667</v>
      </c>
      <c r="Q144">
        <f t="shared" ref="Q144:Q146" si="56">G3</f>
        <v>208.666666666667</v>
      </c>
      <c r="R144">
        <f t="shared" ref="R144:R146" si="57">H3</f>
        <v>219.666666666667</v>
      </c>
      <c r="S144">
        <f t="shared" ref="S144:S146" si="58">I3</f>
        <v>230.666666666667</v>
      </c>
      <c r="T144">
        <f t="shared" ref="T144:T146" si="59">J3</f>
        <v>241.666666666667</v>
      </c>
      <c r="U144">
        <f t="shared" ref="U144:U146" si="60">K3</f>
        <v>252.666666666667</v>
      </c>
      <c r="V144">
        <f t="shared" ref="V144:V146" si="61">L3</f>
        <v>263.66666666666703</v>
      </c>
      <c r="W144">
        <f t="shared" ref="W144:W146" si="62">M3</f>
        <v>274.66666666666703</v>
      </c>
      <c r="X144">
        <f t="shared" ref="X144:X146" si="63">AVERAGE(L144:W144)</f>
        <v>214.166666666667</v>
      </c>
    </row>
    <row r="145" spans="11:24" x14ac:dyDescent="0.25">
      <c r="K145">
        <v>3</v>
      </c>
      <c r="L145">
        <f t="shared" si="51"/>
        <v>285.66666666666799</v>
      </c>
      <c r="M145">
        <f t="shared" si="52"/>
        <v>296.66666666666799</v>
      </c>
      <c r="N145">
        <f t="shared" si="53"/>
        <v>307.66666666666799</v>
      </c>
      <c r="O145">
        <f t="shared" si="54"/>
        <v>318.66666666666799</v>
      </c>
      <c r="P145">
        <f t="shared" si="55"/>
        <v>329.66666666666799</v>
      </c>
      <c r="Q145">
        <f t="shared" si="56"/>
        <v>340.66666666666799</v>
      </c>
      <c r="R145">
        <f t="shared" si="57"/>
        <v>351.66666666666799</v>
      </c>
      <c r="S145">
        <f t="shared" si="58"/>
        <v>362.66666666666799</v>
      </c>
      <c r="T145">
        <f t="shared" si="59"/>
        <v>373.66666666666799</v>
      </c>
      <c r="U145">
        <f t="shared" si="60"/>
        <v>384.66666666666799</v>
      </c>
      <c r="V145">
        <f t="shared" si="61"/>
        <v>395.66666666666799</v>
      </c>
      <c r="W145">
        <f t="shared" si="62"/>
        <v>406.66666666666799</v>
      </c>
      <c r="X145">
        <f t="shared" si="63"/>
        <v>346.16666666666794</v>
      </c>
    </row>
    <row r="146" spans="11:24" x14ac:dyDescent="0.25">
      <c r="K146">
        <v>4</v>
      </c>
      <c r="L146">
        <f t="shared" si="51"/>
        <v>417.66666666666799</v>
      </c>
      <c r="M146">
        <f t="shared" si="52"/>
        <v>428.66666666666902</v>
      </c>
      <c r="N146">
        <f t="shared" si="53"/>
        <v>439.66666666666902</v>
      </c>
      <c r="O146">
        <f t="shared" si="54"/>
        <v>450.66666666666902</v>
      </c>
      <c r="P146">
        <f t="shared" si="55"/>
        <v>461.66666666666902</v>
      </c>
      <c r="Q146">
        <f t="shared" si="56"/>
        <v>472.66666666666902</v>
      </c>
      <c r="R146">
        <f t="shared" si="57"/>
        <v>483.66666666666902</v>
      </c>
      <c r="S146">
        <f t="shared" si="58"/>
        <v>494.66666666666902</v>
      </c>
      <c r="T146">
        <f t="shared" si="59"/>
        <v>505.66666666666799</v>
      </c>
      <c r="U146">
        <f t="shared" si="60"/>
        <v>516.66666666666902</v>
      </c>
      <c r="V146">
        <f t="shared" si="61"/>
        <v>527.66666666666902</v>
      </c>
      <c r="W146">
        <f t="shared" si="62"/>
        <v>538.66666666666902</v>
      </c>
      <c r="X146">
        <f t="shared" si="63"/>
        <v>478.16666666666873</v>
      </c>
    </row>
    <row r="149" spans="11:24" x14ac:dyDescent="0.25">
      <c r="K149" t="s">
        <v>65</v>
      </c>
      <c r="L149" t="s">
        <v>63</v>
      </c>
      <c r="M149" t="s">
        <v>64</v>
      </c>
      <c r="N149" t="s">
        <v>66</v>
      </c>
      <c r="O149" t="s">
        <v>67</v>
      </c>
      <c r="P149" t="s">
        <v>68</v>
      </c>
      <c r="Q149" t="s">
        <v>69</v>
      </c>
      <c r="R149" t="s">
        <v>70</v>
      </c>
      <c r="S149" t="s">
        <v>71</v>
      </c>
      <c r="T149" t="s">
        <v>72</v>
      </c>
      <c r="U149" t="s">
        <v>73</v>
      </c>
      <c r="V149" t="s">
        <v>74</v>
      </c>
      <c r="W149" t="s">
        <v>75</v>
      </c>
    </row>
    <row r="150" spans="11:24" x14ac:dyDescent="0.25">
      <c r="K150">
        <v>1</v>
      </c>
      <c r="L150">
        <f>L143/$X143</f>
        <v>0.33802816901408406</v>
      </c>
      <c r="M150">
        <f t="shared" ref="M150:W150" si="64">M143/$X143</f>
        <v>0.42253521126760507</v>
      </c>
      <c r="N150">
        <f t="shared" si="64"/>
        <v>0.4828973843058344</v>
      </c>
      <c r="O150">
        <f t="shared" si="64"/>
        <v>0.66398390342052227</v>
      </c>
      <c r="P150">
        <f t="shared" si="64"/>
        <v>0.84507042253521014</v>
      </c>
      <c r="Q150">
        <f t="shared" si="64"/>
        <v>0.90543259557343947</v>
      </c>
      <c r="R150">
        <f t="shared" si="64"/>
        <v>1.0583501006036207</v>
      </c>
      <c r="S150">
        <f t="shared" si="64"/>
        <v>1.1911468812877253</v>
      </c>
      <c r="T150">
        <f t="shared" si="64"/>
        <v>1.3239436619718332</v>
      </c>
      <c r="U150">
        <f t="shared" si="64"/>
        <v>1.4567404426559376</v>
      </c>
      <c r="V150">
        <f t="shared" si="64"/>
        <v>1.5895372233400422</v>
      </c>
      <c r="W150">
        <f t="shared" si="64"/>
        <v>1.7223340040241466</v>
      </c>
    </row>
    <row r="151" spans="11:24" x14ac:dyDescent="0.25">
      <c r="K151">
        <v>2</v>
      </c>
      <c r="L151">
        <f t="shared" ref="L151:W151" si="65">L144/$X144</f>
        <v>0.71750972762645959</v>
      </c>
      <c r="M151">
        <f t="shared" si="65"/>
        <v>0.76887159533073968</v>
      </c>
      <c r="N151">
        <f t="shared" si="65"/>
        <v>0.82023346303501976</v>
      </c>
      <c r="O151">
        <f t="shared" si="65"/>
        <v>0.87159533073929985</v>
      </c>
      <c r="P151">
        <f t="shared" si="65"/>
        <v>0.92295719844357993</v>
      </c>
      <c r="Q151">
        <f t="shared" si="65"/>
        <v>0.97431906614786001</v>
      </c>
      <c r="R151">
        <f t="shared" si="65"/>
        <v>1.02568093385214</v>
      </c>
      <c r="S151">
        <f t="shared" si="65"/>
        <v>1.0770428015564202</v>
      </c>
      <c r="T151">
        <f t="shared" si="65"/>
        <v>1.1284046692607002</v>
      </c>
      <c r="U151">
        <f t="shared" si="65"/>
        <v>1.1797665369649804</v>
      </c>
      <c r="V151">
        <f t="shared" si="65"/>
        <v>1.2311284046692605</v>
      </c>
      <c r="W151">
        <f t="shared" si="65"/>
        <v>1.2824902723735405</v>
      </c>
    </row>
    <row r="152" spans="11:24" x14ac:dyDescent="0.25">
      <c r="K152">
        <v>3</v>
      </c>
      <c r="L152">
        <f t="shared" ref="L152:W152" si="66">L145/$X145</f>
        <v>0.82522869523351072</v>
      </c>
      <c r="M152">
        <f t="shared" si="66"/>
        <v>0.85700529610014509</v>
      </c>
      <c r="N152">
        <f t="shared" si="66"/>
        <v>0.88878189696677956</v>
      </c>
      <c r="O152">
        <f t="shared" si="66"/>
        <v>0.92055849783341404</v>
      </c>
      <c r="P152">
        <f t="shared" si="66"/>
        <v>0.95233509870004851</v>
      </c>
      <c r="Q152">
        <f t="shared" si="66"/>
        <v>0.98411169956668298</v>
      </c>
      <c r="R152">
        <f t="shared" si="66"/>
        <v>1.0158883004333175</v>
      </c>
      <c r="S152">
        <f t="shared" si="66"/>
        <v>1.0476649012999519</v>
      </c>
      <c r="T152">
        <f t="shared" si="66"/>
        <v>1.0794415021665862</v>
      </c>
      <c r="U152">
        <f t="shared" si="66"/>
        <v>1.1112181030332207</v>
      </c>
      <c r="V152">
        <f t="shared" si="66"/>
        <v>1.1429947038998551</v>
      </c>
      <c r="W152">
        <f t="shared" si="66"/>
        <v>1.1747713047664896</v>
      </c>
    </row>
    <row r="153" spans="11:24" x14ac:dyDescent="0.25">
      <c r="K153">
        <v>4</v>
      </c>
      <c r="L153">
        <f t="shared" ref="L153:W153" si="67">L146/$X146</f>
        <v>0.8734750784245372</v>
      </c>
      <c r="M153">
        <f t="shared" si="67"/>
        <v>0.89647960962007778</v>
      </c>
      <c r="N153">
        <f t="shared" si="67"/>
        <v>0.91948414081561614</v>
      </c>
      <c r="O153">
        <f>O146/$X146</f>
        <v>0.9424886720111546</v>
      </c>
      <c r="P153">
        <f t="shared" si="67"/>
        <v>0.96549320320669296</v>
      </c>
      <c r="Q153">
        <f t="shared" si="67"/>
        <v>0.98849773440223143</v>
      </c>
      <c r="R153">
        <f t="shared" si="67"/>
        <v>1.0115022655977699</v>
      </c>
      <c r="S153">
        <f t="shared" si="67"/>
        <v>1.0345067967933081</v>
      </c>
      <c r="T153">
        <f t="shared" si="67"/>
        <v>1.0575113279888444</v>
      </c>
      <c r="U153">
        <f t="shared" si="67"/>
        <v>1.0805158591843851</v>
      </c>
      <c r="V153">
        <f t="shared" si="67"/>
        <v>1.1035203903799236</v>
      </c>
      <c r="W153">
        <f t="shared" si="67"/>
        <v>1.1265249215754618</v>
      </c>
    </row>
    <row r="154" spans="11:24" x14ac:dyDescent="0.25">
      <c r="K154" t="s">
        <v>77</v>
      </c>
      <c r="L154">
        <f>AVERAGE(L150:L153)</f>
        <v>0.68856041757464792</v>
      </c>
      <c r="M154">
        <f t="shared" ref="M154:W154" si="68">AVERAGE(M150:M153)</f>
        <v>0.73622292807964185</v>
      </c>
      <c r="N154">
        <f t="shared" si="68"/>
        <v>0.77784922128081246</v>
      </c>
      <c r="O154">
        <f t="shared" si="68"/>
        <v>0.84965660100109763</v>
      </c>
      <c r="P154">
        <f t="shared" si="68"/>
        <v>0.92146398072138291</v>
      </c>
      <c r="Q154">
        <f t="shared" si="68"/>
        <v>0.96309027392255353</v>
      </c>
      <c r="R154">
        <f t="shared" si="68"/>
        <v>1.0278554001217119</v>
      </c>
      <c r="S154">
        <f t="shared" si="68"/>
        <v>1.0875903452343514</v>
      </c>
      <c r="T154">
        <f t="shared" si="68"/>
        <v>1.147325290346991</v>
      </c>
      <c r="U154">
        <f t="shared" si="68"/>
        <v>1.2070602354596309</v>
      </c>
      <c r="V154">
        <f t="shared" si="68"/>
        <v>1.2667951805722704</v>
      </c>
      <c r="W154">
        <f t="shared" si="68"/>
        <v>1.3265301256849098</v>
      </c>
    </row>
    <row r="157" spans="11:24" x14ac:dyDescent="0.25">
      <c r="K157" t="s">
        <v>65</v>
      </c>
      <c r="L157" t="s">
        <v>63</v>
      </c>
      <c r="M157" t="s">
        <v>64</v>
      </c>
      <c r="N157" t="s">
        <v>66</v>
      </c>
      <c r="O157" t="s">
        <v>67</v>
      </c>
      <c r="P157" t="s">
        <v>68</v>
      </c>
      <c r="Q157" t="s">
        <v>69</v>
      </c>
      <c r="R157" t="s">
        <v>70</v>
      </c>
      <c r="S157" t="s">
        <v>71</v>
      </c>
      <c r="T157" t="s">
        <v>72</v>
      </c>
      <c r="U157" t="s">
        <v>73</v>
      </c>
      <c r="V157" t="s">
        <v>74</v>
      </c>
      <c r="W157" t="s">
        <v>75</v>
      </c>
      <c r="X157" t="s">
        <v>98</v>
      </c>
    </row>
    <row r="158" spans="11:24" x14ac:dyDescent="0.25">
      <c r="K158">
        <v>1</v>
      </c>
      <c r="L158">
        <f>L143/L$154</f>
        <v>40.664550684783556</v>
      </c>
      <c r="M158">
        <f t="shared" ref="M158:W158" si="69">M143/M$154</f>
        <v>47.539948383968053</v>
      </c>
      <c r="N158">
        <f t="shared" si="69"/>
        <v>51.423847843076445</v>
      </c>
      <c r="O158">
        <f t="shared" si="69"/>
        <v>64.732034018445702</v>
      </c>
      <c r="P158">
        <f t="shared" si="69"/>
        <v>75.966072971402937</v>
      </c>
      <c r="Q158">
        <f t="shared" si="69"/>
        <v>77.874319812756298</v>
      </c>
      <c r="R158">
        <f t="shared" si="69"/>
        <v>85.290855752945191</v>
      </c>
      <c r="S158">
        <f t="shared" si="69"/>
        <v>90.720432650959438</v>
      </c>
      <c r="T158">
        <f t="shared" si="69"/>
        <v>95.584632875563983</v>
      </c>
      <c r="U158">
        <f t="shared" si="69"/>
        <v>99.967394436383614</v>
      </c>
      <c r="V158">
        <f t="shared" si="69"/>
        <v>103.93682316283129</v>
      </c>
      <c r="W158">
        <f t="shared" si="69"/>
        <v>107.54875739667487</v>
      </c>
      <c r="X158">
        <f>AVERAGE(L158:W158)</f>
        <v>78.43747249914928</v>
      </c>
    </row>
    <row r="159" spans="11:24" x14ac:dyDescent="0.25">
      <c r="K159">
        <v>2</v>
      </c>
      <c r="L159">
        <f t="shared" ref="L159:W159" si="70">L144/L$154</f>
        <v>223.17092697244357</v>
      </c>
      <c r="M159">
        <f t="shared" si="70"/>
        <v>223.66413811124065</v>
      </c>
      <c r="N159">
        <f t="shared" si="70"/>
        <v>225.8363984441778</v>
      </c>
      <c r="O159">
        <f t="shared" si="70"/>
        <v>219.69660030502823</v>
      </c>
      <c r="P159">
        <f t="shared" si="70"/>
        <v>214.5137203430572</v>
      </c>
      <c r="Q159">
        <f t="shared" si="70"/>
        <v>216.6636631234912</v>
      </c>
      <c r="R159">
        <f t="shared" si="70"/>
        <v>213.71358913000361</v>
      </c>
      <c r="S159">
        <f t="shared" si="70"/>
        <v>212.08966011643244</v>
      </c>
      <c r="T159">
        <f t="shared" si="70"/>
        <v>210.63482928505707</v>
      </c>
      <c r="U159">
        <f t="shared" si="70"/>
        <v>209.32399166513443</v>
      </c>
      <c r="V159">
        <f t="shared" si="70"/>
        <v>208.13677752354292</v>
      </c>
      <c r="W159">
        <f t="shared" si="70"/>
        <v>207.05648620294394</v>
      </c>
      <c r="X159">
        <f t="shared" ref="X159:X161" si="71">AVERAGE(L159:W159)</f>
        <v>215.37506510187947</v>
      </c>
    </row>
    <row r="160" spans="11:24" x14ac:dyDescent="0.25">
      <c r="K160">
        <v>3</v>
      </c>
      <c r="L160">
        <f t="shared" ref="L160:W160" si="72">L145/L$154</f>
        <v>414.87523734356751</v>
      </c>
      <c r="M160">
        <f t="shared" si="72"/>
        <v>402.95765773077864</v>
      </c>
      <c r="N160">
        <f t="shared" si="72"/>
        <v>395.53509632633137</v>
      </c>
      <c r="O160">
        <f>O145/O$154</f>
        <v>375.05348194929911</v>
      </c>
      <c r="P160">
        <f t="shared" si="72"/>
        <v>357.7640293748467</v>
      </c>
      <c r="Q160">
        <f t="shared" si="72"/>
        <v>353.72246599394333</v>
      </c>
      <c r="R160">
        <f t="shared" si="72"/>
        <v>342.13632250706269</v>
      </c>
      <c r="S160">
        <f t="shared" si="72"/>
        <v>333.45888758190608</v>
      </c>
      <c r="T160">
        <f t="shared" si="72"/>
        <v>325.68502569455103</v>
      </c>
      <c r="U160">
        <f t="shared" si="72"/>
        <v>318.68058889388607</v>
      </c>
      <c r="V160">
        <f t="shared" si="72"/>
        <v>312.3367318842553</v>
      </c>
      <c r="W160">
        <f t="shared" si="72"/>
        <v>306.56421500921374</v>
      </c>
      <c r="X160">
        <f t="shared" si="71"/>
        <v>353.23081169080348</v>
      </c>
    </row>
    <row r="161" spans="11:24" x14ac:dyDescent="0.25">
      <c r="K161">
        <v>4</v>
      </c>
      <c r="L161">
        <f t="shared" ref="L161:W161" si="73">L146/L$154</f>
        <v>606.57954771468997</v>
      </c>
      <c r="M161">
        <f t="shared" si="73"/>
        <v>582.25117735031677</v>
      </c>
      <c r="N161">
        <f t="shared" si="73"/>
        <v>565.23379420848494</v>
      </c>
      <c r="O161">
        <f t="shared" si="73"/>
        <v>530.41036359356997</v>
      </c>
      <c r="P161">
        <f t="shared" si="73"/>
        <v>501.01433840663617</v>
      </c>
      <c r="Q161">
        <f t="shared" si="73"/>
        <v>490.78126886439549</v>
      </c>
      <c r="R161">
        <f t="shared" si="73"/>
        <v>470.55905588412179</v>
      </c>
      <c r="S161">
        <f t="shared" si="73"/>
        <v>454.82811504737975</v>
      </c>
      <c r="T161">
        <f t="shared" si="73"/>
        <v>440.73522210404411</v>
      </c>
      <c r="U161">
        <f t="shared" si="73"/>
        <v>428.03718612263776</v>
      </c>
      <c r="V161">
        <f t="shared" si="73"/>
        <v>416.53668624496771</v>
      </c>
      <c r="W161">
        <f t="shared" si="73"/>
        <v>406.07194381548356</v>
      </c>
      <c r="X161">
        <f t="shared" si="71"/>
        <v>491.08655827972729</v>
      </c>
    </row>
    <row r="164" spans="11:24" x14ac:dyDescent="0.25">
      <c r="K164" s="7" t="s">
        <v>1</v>
      </c>
      <c r="L164" s="7">
        <v>1</v>
      </c>
      <c r="M164" s="7">
        <v>2</v>
      </c>
      <c r="N164" s="7">
        <v>3</v>
      </c>
      <c r="O164" s="7">
        <v>4</v>
      </c>
    </row>
    <row r="165" spans="11:24" x14ac:dyDescent="0.25">
      <c r="K165" s="7" t="s">
        <v>0</v>
      </c>
      <c r="L165" s="7">
        <f>X158</f>
        <v>78.43747249914928</v>
      </c>
      <c r="M165" s="7">
        <f>X159</f>
        <v>215.37506510187947</v>
      </c>
      <c r="N165" s="7">
        <f>X160</f>
        <v>353.23081169080348</v>
      </c>
      <c r="O165" s="7">
        <f>X161</f>
        <v>491.08655827972729</v>
      </c>
    </row>
    <row r="167" spans="11:24" x14ac:dyDescent="0.25">
      <c r="K167" s="7" t="s">
        <v>97</v>
      </c>
      <c r="L167" s="7" t="s">
        <v>13</v>
      </c>
      <c r="M167" s="7">
        <f>COUNT(L165:O165)</f>
        <v>4</v>
      </c>
      <c r="S167" s="40" t="s">
        <v>99</v>
      </c>
    </row>
    <row r="168" spans="11:24" x14ac:dyDescent="0.25">
      <c r="K168" s="7"/>
      <c r="L168" s="7" t="s">
        <v>0</v>
      </c>
      <c r="M168" s="7">
        <f>SUM(L165:O165)</f>
        <v>1138.1299075715594</v>
      </c>
      <c r="S168" s="40">
        <f>L154</f>
        <v>0.68856041757464792</v>
      </c>
    </row>
    <row r="169" spans="11:24" x14ac:dyDescent="0.25">
      <c r="K169" s="7"/>
      <c r="L169" s="7" t="s">
        <v>52</v>
      </c>
      <c r="M169" s="7">
        <f>SUM(L177:O177)</f>
        <v>354</v>
      </c>
      <c r="S169" s="40">
        <f>M154</f>
        <v>0.73622292807964185</v>
      </c>
    </row>
    <row r="170" spans="11:24" x14ac:dyDescent="0.25">
      <c r="K170" s="7"/>
      <c r="L170" s="7" t="s">
        <v>14</v>
      </c>
      <c r="M170" s="7">
        <f>SUM(L176:O176)</f>
        <v>30</v>
      </c>
      <c r="S170" s="40">
        <f>N154</f>
        <v>0.77784922128081246</v>
      </c>
    </row>
    <row r="171" spans="11:24" x14ac:dyDescent="0.25">
      <c r="K171" s="7"/>
      <c r="L171" s="7" t="s">
        <v>51</v>
      </c>
      <c r="M171" s="7">
        <f>SUM(L178:O178)</f>
        <v>11976.399970599534</v>
      </c>
      <c r="S171" s="40">
        <f>O154</f>
        <v>0.84965660100109763</v>
      </c>
    </row>
    <row r="172" spans="11:24" x14ac:dyDescent="0.25">
      <c r="S172" s="40">
        <f>P154</f>
        <v>0.92146398072138291</v>
      </c>
    </row>
    <row r="173" spans="11:24" x14ac:dyDescent="0.25">
      <c r="S173" s="40">
        <f>Q154</f>
        <v>0.96309027392255353</v>
      </c>
    </row>
    <row r="174" spans="11:24" x14ac:dyDescent="0.25">
      <c r="K174" s="39" t="s">
        <v>18</v>
      </c>
      <c r="L174" s="39"/>
      <c r="M174" s="39"/>
      <c r="N174" s="39"/>
      <c r="O174" s="39"/>
      <c r="S174" s="40">
        <f>R154</f>
        <v>1.0278554001217119</v>
      </c>
    </row>
    <row r="175" spans="11:24" x14ac:dyDescent="0.25">
      <c r="K175" s="39" t="s">
        <v>79</v>
      </c>
      <c r="L175" s="39">
        <f>L165*L164</f>
        <v>78.43747249914928</v>
      </c>
      <c r="M175" s="39">
        <f>M165*M164</f>
        <v>430.75013020375894</v>
      </c>
      <c r="N175" s="39">
        <f t="shared" ref="N175:O175" si="74">N165*N164</f>
        <v>1059.6924350724105</v>
      </c>
      <c r="O175" s="39">
        <f t="shared" si="74"/>
        <v>1964.3462331189091</v>
      </c>
      <c r="S175" s="40">
        <f>S154</f>
        <v>1.0875903452343514</v>
      </c>
    </row>
    <row r="176" spans="11:24" x14ac:dyDescent="0.25">
      <c r="K176" s="39" t="s">
        <v>14</v>
      </c>
      <c r="L176" s="39">
        <f>L164^2</f>
        <v>1</v>
      </c>
      <c r="M176" s="39">
        <f>M164^2</f>
        <v>4</v>
      </c>
      <c r="N176" s="39">
        <f t="shared" ref="N176:O176" si="75">N164^2</f>
        <v>9</v>
      </c>
      <c r="O176" s="39">
        <f t="shared" si="75"/>
        <v>16</v>
      </c>
      <c r="S176" s="40">
        <f>T154</f>
        <v>1.147325290346991</v>
      </c>
    </row>
    <row r="177" spans="11:19" x14ac:dyDescent="0.25">
      <c r="K177" s="39" t="s">
        <v>52</v>
      </c>
      <c r="L177" s="39">
        <f>L164^4</f>
        <v>1</v>
      </c>
      <c r="M177" s="39">
        <f>M164^4</f>
        <v>16</v>
      </c>
      <c r="N177" s="39">
        <f t="shared" ref="N177:O177" si="76">N164^4</f>
        <v>81</v>
      </c>
      <c r="O177" s="39">
        <f t="shared" si="76"/>
        <v>256</v>
      </c>
      <c r="S177" s="40">
        <f>U154</f>
        <v>1.2070602354596309</v>
      </c>
    </row>
    <row r="178" spans="11:19" x14ac:dyDescent="0.25">
      <c r="K178" s="39" t="s">
        <v>81</v>
      </c>
      <c r="L178" s="39">
        <f>L165*L176</f>
        <v>78.43747249914928</v>
      </c>
      <c r="M178" s="39">
        <f t="shared" ref="M178:O178" si="77">M165*M176</f>
        <v>861.50026040751789</v>
      </c>
      <c r="N178" s="39">
        <f t="shared" si="77"/>
        <v>3179.0773052172312</v>
      </c>
      <c r="O178" s="39">
        <f t="shared" si="77"/>
        <v>7857.3849324756366</v>
      </c>
      <c r="S178" s="40">
        <f>V154</f>
        <v>1.2667951805722704</v>
      </c>
    </row>
    <row r="179" spans="11:19" x14ac:dyDescent="0.25">
      <c r="S179" s="40">
        <f>W154</f>
        <v>1.3265301256849098</v>
      </c>
    </row>
    <row r="182" spans="11:19" x14ac:dyDescent="0.25">
      <c r="K182" t="s">
        <v>80</v>
      </c>
      <c r="L182">
        <f>(M167*M171-M168*M170)/(M167*M169-(M170)^2)</f>
        <v>26.669966386146026</v>
      </c>
    </row>
    <row r="183" spans="11:19" x14ac:dyDescent="0.25">
      <c r="K183" t="s">
        <v>7</v>
      </c>
      <c r="L183">
        <f>(M168-L182*M170)/(M167)</f>
        <v>84.507728996794668</v>
      </c>
    </row>
  </sheetData>
  <mergeCells count="1">
    <mergeCell ref="A54:M5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FD3A-FBF9-406A-99F6-AE2E4ADD2E9D}">
  <sheetPr>
    <tabColor theme="2" tint="-0.499984740745262"/>
  </sheetPr>
  <dimension ref="A2:H66"/>
  <sheetViews>
    <sheetView rightToLeft="1" workbookViewId="0"/>
  </sheetViews>
  <sheetFormatPr defaultRowHeight="13.8" x14ac:dyDescent="0.25"/>
  <sheetData>
    <row r="2" spans="1:8" x14ac:dyDescent="0.25">
      <c r="A2">
        <v>28</v>
      </c>
    </row>
    <row r="3" spans="1:8" x14ac:dyDescent="0.25">
      <c r="A3">
        <v>35</v>
      </c>
    </row>
    <row r="4" spans="1:8" x14ac:dyDescent="0.25">
      <c r="A4">
        <v>40</v>
      </c>
    </row>
    <row r="5" spans="1:8" x14ac:dyDescent="0.25">
      <c r="A5">
        <v>55</v>
      </c>
    </row>
    <row r="6" spans="1:8" x14ac:dyDescent="0.25">
      <c r="A6">
        <v>70</v>
      </c>
    </row>
    <row r="7" spans="1:8" x14ac:dyDescent="0.25">
      <c r="A7">
        <v>75</v>
      </c>
    </row>
    <row r="8" spans="1:8" x14ac:dyDescent="0.25">
      <c r="A8">
        <v>87.6666666666667</v>
      </c>
      <c r="H8">
        <v>1</v>
      </c>
    </row>
    <row r="9" spans="1:8" x14ac:dyDescent="0.25">
      <c r="A9">
        <v>98.6666666666667</v>
      </c>
      <c r="H9">
        <v>2</v>
      </c>
    </row>
    <row r="10" spans="1:8" x14ac:dyDescent="0.25">
      <c r="A10">
        <v>109.666666666667</v>
      </c>
      <c r="H10">
        <v>3</v>
      </c>
    </row>
    <row r="11" spans="1:8" x14ac:dyDescent="0.25">
      <c r="A11">
        <v>120.666666666667</v>
      </c>
      <c r="H11">
        <v>5</v>
      </c>
    </row>
    <row r="12" spans="1:8" x14ac:dyDescent="0.25">
      <c r="A12">
        <v>131.666666666667</v>
      </c>
      <c r="H12">
        <v>8</v>
      </c>
    </row>
    <row r="13" spans="1:8" x14ac:dyDescent="0.25">
      <c r="A13">
        <v>142.666666666667</v>
      </c>
      <c r="H13">
        <v>13</v>
      </c>
    </row>
    <row r="14" spans="1:8" x14ac:dyDescent="0.25">
      <c r="A14">
        <v>153.666666666667</v>
      </c>
      <c r="H14">
        <v>21</v>
      </c>
    </row>
    <row r="15" spans="1:8" x14ac:dyDescent="0.25">
      <c r="A15">
        <v>164.666666666667</v>
      </c>
      <c r="H15">
        <v>34</v>
      </c>
    </row>
    <row r="16" spans="1:8" x14ac:dyDescent="0.25">
      <c r="A16">
        <v>175.666666666667</v>
      </c>
      <c r="H16">
        <v>55</v>
      </c>
    </row>
    <row r="17" spans="1:8" x14ac:dyDescent="0.25">
      <c r="A17">
        <v>186.666666666667</v>
      </c>
      <c r="H17">
        <v>89</v>
      </c>
    </row>
    <row r="18" spans="1:8" x14ac:dyDescent="0.25">
      <c r="A18">
        <v>197.666666666667</v>
      </c>
      <c r="H18">
        <v>144</v>
      </c>
    </row>
    <row r="19" spans="1:8" x14ac:dyDescent="0.25">
      <c r="A19">
        <v>208.666666666667</v>
      </c>
      <c r="H19">
        <v>233</v>
      </c>
    </row>
    <row r="20" spans="1:8" x14ac:dyDescent="0.25">
      <c r="A20">
        <v>219.666666666667</v>
      </c>
      <c r="H20">
        <v>377</v>
      </c>
    </row>
    <row r="21" spans="1:8" x14ac:dyDescent="0.25">
      <c r="A21">
        <v>230.666666666667</v>
      </c>
      <c r="H21">
        <v>610</v>
      </c>
    </row>
    <row r="22" spans="1:8" x14ac:dyDescent="0.25">
      <c r="A22">
        <v>241.666666666667</v>
      </c>
      <c r="H22">
        <v>987</v>
      </c>
    </row>
    <row r="23" spans="1:8" x14ac:dyDescent="0.25">
      <c r="A23">
        <v>252.666666666667</v>
      </c>
      <c r="H23">
        <v>1597</v>
      </c>
    </row>
    <row r="24" spans="1:8" x14ac:dyDescent="0.25">
      <c r="A24">
        <v>263.66666666666703</v>
      </c>
      <c r="H24">
        <v>2584</v>
      </c>
    </row>
    <row r="25" spans="1:8" x14ac:dyDescent="0.25">
      <c r="A25">
        <v>274.66666666666703</v>
      </c>
      <c r="H25">
        <v>4181</v>
      </c>
    </row>
    <row r="26" spans="1:8" x14ac:dyDescent="0.25">
      <c r="A26">
        <v>285.66666666666799</v>
      </c>
      <c r="H26">
        <v>6765</v>
      </c>
    </row>
    <row r="27" spans="1:8" x14ac:dyDescent="0.25">
      <c r="A27">
        <v>296.66666666666799</v>
      </c>
      <c r="H27">
        <v>10946</v>
      </c>
    </row>
    <row r="28" spans="1:8" x14ac:dyDescent="0.25">
      <c r="A28">
        <v>307.66666666666799</v>
      </c>
      <c r="H28">
        <v>17711</v>
      </c>
    </row>
    <row r="29" spans="1:8" x14ac:dyDescent="0.25">
      <c r="A29">
        <v>318.66666666666799</v>
      </c>
      <c r="H29">
        <v>28657</v>
      </c>
    </row>
    <row r="30" spans="1:8" x14ac:dyDescent="0.25">
      <c r="A30">
        <v>329.66666666666799</v>
      </c>
      <c r="H30">
        <v>46368</v>
      </c>
    </row>
    <row r="31" spans="1:8" x14ac:dyDescent="0.25">
      <c r="A31">
        <v>340.66666666666799</v>
      </c>
      <c r="H31">
        <v>75025</v>
      </c>
    </row>
    <row r="32" spans="1:8" x14ac:dyDescent="0.25">
      <c r="A32">
        <v>351.66666666666799</v>
      </c>
      <c r="H32">
        <v>121393</v>
      </c>
    </row>
    <row r="33" spans="1:8" x14ac:dyDescent="0.25">
      <c r="A33">
        <v>362.66666666666799</v>
      </c>
      <c r="H33">
        <v>196418</v>
      </c>
    </row>
    <row r="34" spans="1:8" x14ac:dyDescent="0.25">
      <c r="A34">
        <v>373.66666666666799</v>
      </c>
      <c r="H34">
        <v>317811</v>
      </c>
    </row>
    <row r="35" spans="1:8" x14ac:dyDescent="0.25">
      <c r="A35">
        <v>384.66666666666799</v>
      </c>
      <c r="H35">
        <v>514229</v>
      </c>
    </row>
    <row r="36" spans="1:8" x14ac:dyDescent="0.25">
      <c r="A36">
        <v>395.66666666666799</v>
      </c>
      <c r="H36">
        <v>832040</v>
      </c>
    </row>
    <row r="37" spans="1:8" x14ac:dyDescent="0.25">
      <c r="A37">
        <v>406.66666666666799</v>
      </c>
      <c r="H37">
        <v>1346269</v>
      </c>
    </row>
    <row r="38" spans="1:8" x14ac:dyDescent="0.25">
      <c r="A38">
        <v>417.66666666666799</v>
      </c>
      <c r="H38">
        <v>2178309</v>
      </c>
    </row>
    <row r="39" spans="1:8" x14ac:dyDescent="0.25">
      <c r="A39">
        <v>428.66666666666902</v>
      </c>
      <c r="H39">
        <v>3524578</v>
      </c>
    </row>
    <row r="40" spans="1:8" x14ac:dyDescent="0.25">
      <c r="A40">
        <v>439.66666666666902</v>
      </c>
      <c r="H40">
        <v>5702887</v>
      </c>
    </row>
    <row r="41" spans="1:8" x14ac:dyDescent="0.25">
      <c r="A41">
        <v>450.66666666666902</v>
      </c>
      <c r="H41">
        <v>9227465</v>
      </c>
    </row>
    <row r="42" spans="1:8" x14ac:dyDescent="0.25">
      <c r="A42">
        <v>461.66666666666902</v>
      </c>
      <c r="H42">
        <v>14930352</v>
      </c>
    </row>
    <row r="43" spans="1:8" x14ac:dyDescent="0.25">
      <c r="A43">
        <v>472.66666666666902</v>
      </c>
      <c r="H43">
        <v>24157817</v>
      </c>
    </row>
    <row r="44" spans="1:8" x14ac:dyDescent="0.25">
      <c r="A44">
        <v>483.66666666666902</v>
      </c>
      <c r="H44">
        <v>39088169</v>
      </c>
    </row>
    <row r="45" spans="1:8" x14ac:dyDescent="0.25">
      <c r="A45">
        <v>494.66666666666902</v>
      </c>
      <c r="H45">
        <v>63245986</v>
      </c>
    </row>
    <row r="46" spans="1:8" x14ac:dyDescent="0.25">
      <c r="A46">
        <v>505.66666666666799</v>
      </c>
      <c r="H46">
        <v>102334155</v>
      </c>
    </row>
    <row r="47" spans="1:8" x14ac:dyDescent="0.25">
      <c r="A47">
        <v>516.66666666666902</v>
      </c>
      <c r="H47">
        <v>165580141</v>
      </c>
    </row>
    <row r="48" spans="1:8" x14ac:dyDescent="0.25">
      <c r="A48">
        <v>527.66666666666902</v>
      </c>
      <c r="H48">
        <v>267914296</v>
      </c>
    </row>
    <row r="49" spans="1:8" x14ac:dyDescent="0.25">
      <c r="A49">
        <v>538.66666666666902</v>
      </c>
      <c r="H49">
        <v>433494437</v>
      </c>
    </row>
    <row r="50" spans="1:8" x14ac:dyDescent="0.25">
      <c r="A50">
        <v>549.66666666666902</v>
      </c>
      <c r="H50">
        <v>701408733</v>
      </c>
    </row>
    <row r="51" spans="1:8" x14ac:dyDescent="0.25">
      <c r="A51">
        <v>560.66666666666902</v>
      </c>
      <c r="H51">
        <v>1134903170</v>
      </c>
    </row>
    <row r="52" spans="1:8" x14ac:dyDescent="0.25">
      <c r="A52">
        <v>571.66666666666902</v>
      </c>
      <c r="H52">
        <v>1836311903</v>
      </c>
    </row>
    <row r="53" spans="1:8" x14ac:dyDescent="0.25">
      <c r="A53">
        <v>582.66666666666902</v>
      </c>
      <c r="H53">
        <v>2971215073</v>
      </c>
    </row>
    <row r="54" spans="1:8" x14ac:dyDescent="0.25">
      <c r="A54">
        <v>593.66666666666902</v>
      </c>
      <c r="H54">
        <v>4807526976</v>
      </c>
    </row>
    <row r="55" spans="1:8" x14ac:dyDescent="0.25">
      <c r="A55">
        <v>604.66666666666902</v>
      </c>
      <c r="H55">
        <v>7778742049</v>
      </c>
    </row>
    <row r="56" spans="1:8" x14ac:dyDescent="0.25">
      <c r="A56">
        <v>615.66666666666902</v>
      </c>
      <c r="H56">
        <v>12586269025</v>
      </c>
    </row>
    <row r="57" spans="1:8" x14ac:dyDescent="0.25">
      <c r="A57">
        <v>626.66666666666902</v>
      </c>
      <c r="H57">
        <v>20365011074</v>
      </c>
    </row>
    <row r="58" spans="1:8" x14ac:dyDescent="0.25">
      <c r="A58">
        <v>637.66666666666902</v>
      </c>
      <c r="H58">
        <v>32951280099</v>
      </c>
    </row>
    <row r="59" spans="1:8" x14ac:dyDescent="0.25">
      <c r="A59">
        <v>648.66666666666902</v>
      </c>
      <c r="H59">
        <v>53316291173</v>
      </c>
    </row>
    <row r="60" spans="1:8" x14ac:dyDescent="0.25">
      <c r="A60">
        <v>659.66666666666902</v>
      </c>
      <c r="H60">
        <v>86267571272</v>
      </c>
    </row>
    <row r="61" spans="1:8" x14ac:dyDescent="0.25">
      <c r="A61">
        <v>670.66666666666902</v>
      </c>
      <c r="H61">
        <v>139583862445</v>
      </c>
    </row>
    <row r="62" spans="1:8" x14ac:dyDescent="0.25">
      <c r="H62">
        <v>225851433717</v>
      </c>
    </row>
    <row r="63" spans="1:8" x14ac:dyDescent="0.25">
      <c r="H63">
        <v>365435296162</v>
      </c>
    </row>
    <row r="64" spans="1:8" x14ac:dyDescent="0.25">
      <c r="H64">
        <v>591286729879</v>
      </c>
    </row>
    <row r="65" spans="8:8" x14ac:dyDescent="0.25">
      <c r="H65">
        <v>956722026041</v>
      </c>
    </row>
    <row r="66" spans="8:8" x14ac:dyDescent="0.25">
      <c r="H66">
        <v>1548008755920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17</vt:i4>
      </vt:variant>
      <vt:variant>
        <vt:lpstr>טווחים בעלי שם</vt:lpstr>
      </vt:variant>
      <vt:variant>
        <vt:i4>2</vt:i4>
      </vt:variant>
    </vt:vector>
  </HeadingPairs>
  <TitlesOfParts>
    <vt:vector size="19" baseType="lpstr">
      <vt:lpstr>גליון פתיחה</vt:lpstr>
      <vt:lpstr>הזנת נתונים</vt:lpstr>
      <vt:lpstr>המרה למערך עונתי</vt:lpstr>
      <vt:lpstr>קבוע בזמן- ממוצע פשוט</vt:lpstr>
      <vt:lpstr>קבוע בזמן - ממוצע נע</vt:lpstr>
      <vt:lpstr>קבוע בזמן - החלקה אקספוננציאלית</vt:lpstr>
      <vt:lpstr>לינארי-רגרסיה</vt:lpstr>
      <vt:lpstr>לינארי - הולט</vt:lpstr>
      <vt:lpstr>לינארי-ממוצע נע כפול</vt:lpstr>
      <vt:lpstr>לינארי בראון</vt:lpstr>
      <vt:lpstr>אקספו' ריגרסיה</vt:lpstr>
      <vt:lpstr>אקספו' הולט</vt:lpstr>
      <vt:lpstr>מעריכי רגרסיה</vt:lpstr>
      <vt:lpstr>עונתי קבוע- דקומפוזיציה </vt:lpstr>
      <vt:lpstr>עונתי לינארי- דקומפוזיציה</vt:lpstr>
      <vt:lpstr>עונתי אקספו'- דקומפוזיציה</vt:lpstr>
      <vt:lpstr>גיליון עזר</vt:lpstr>
      <vt:lpstr>alpha_brown</vt:lpstr>
      <vt:lpstr>'לינארי-ממוצע נע כפול'!K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barel</dc:creator>
  <cp:lastModifiedBy>itzik</cp:lastModifiedBy>
  <dcterms:created xsi:type="dcterms:W3CDTF">2023-05-11T07:36:15Z</dcterms:created>
  <dcterms:modified xsi:type="dcterms:W3CDTF">2023-08-04T11:18:43Z</dcterms:modified>
</cp:coreProperties>
</file>